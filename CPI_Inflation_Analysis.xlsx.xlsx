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E:\data analystics\Excel\"/>
    </mc:Choice>
  </mc:AlternateContent>
  <xr:revisionPtr revIDLastSave="0" documentId="13_ncr:1_{CA5FBB44-2219-4A53-894E-41ABC3C425DA}" xr6:coauthVersionLast="47" xr6:coauthVersionMax="47" xr10:uidLastSave="{00000000-0000-0000-0000-000000000000}"/>
  <bookViews>
    <workbookView xWindow="-108" yWindow="-108" windowWidth="23256" windowHeight="13176" activeTab="2" xr2:uid="{495D06E5-7ACE-420B-89DC-312964406579}"/>
  </bookViews>
  <sheets>
    <sheet name="Dashboard" sheetId="21" r:id="rId1"/>
    <sheet name="Cpi data " sheetId="14" r:id="rId2"/>
    <sheet name="Problem statement " sheetId="2" r:id="rId3"/>
    <sheet name="Data Dictionary " sheetId="3" r:id="rId4"/>
    <sheet name="Handle missing value sheet only" sheetId="4" r:id="rId5"/>
    <sheet name="Solution 1" sheetId="17" r:id="rId6"/>
    <sheet name="Solution 2 " sheetId="19" r:id="rId7"/>
    <sheet name="solution 3 " sheetId="27" r:id="rId8"/>
    <sheet name="solution 4 " sheetId="34" r:id="rId9"/>
    <sheet name="solution 5 " sheetId="35" r:id="rId10"/>
  </sheets>
  <definedNames>
    <definedName name="_xlnm._FilterDatabase" localSheetId="1" hidden="1">'Cpi data '!$A$1:$AO$373</definedName>
    <definedName name="_xlnm._FilterDatabase" localSheetId="4" hidden="1">'Handle missing value sheet only'!$A$1:$A$1</definedName>
    <definedName name="_xlnm._FilterDatabase" localSheetId="5" hidden="1">'Solution 1'!$A$1:$AN$4</definedName>
    <definedName name="_xlnm._FilterDatabase" localSheetId="7" hidden="1">'solution 3 '!$A$1:$BD$37</definedName>
    <definedName name="_xlnm._FilterDatabase" localSheetId="8" hidden="1">'solution 4 '!$A$1:$F$46</definedName>
    <definedName name="_xlnm._FilterDatabase" localSheetId="9" hidden="1">'solution 5 '!$A$1:$AP$88</definedName>
    <definedName name="Slicer_Sector">#N/A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8" i="35" l="1"/>
  <c r="E123" i="35"/>
  <c r="E122" i="35"/>
  <c r="E121" i="35"/>
  <c r="E120" i="35"/>
  <c r="E119" i="35"/>
  <c r="E118" i="35"/>
  <c r="E117" i="35"/>
  <c r="E116" i="35"/>
  <c r="E115" i="35"/>
  <c r="E114" i="35"/>
  <c r="E113" i="35"/>
  <c r="E112" i="35"/>
  <c r="E111" i="35"/>
  <c r="E110" i="35"/>
  <c r="E109" i="35"/>
  <c r="E108" i="35"/>
  <c r="E107" i="35"/>
  <c r="E106" i="35"/>
  <c r="E105" i="35"/>
  <c r="E104" i="35"/>
  <c r="E103" i="35"/>
  <c r="M90" i="35"/>
  <c r="E102" i="35"/>
  <c r="E101" i="35"/>
  <c r="E100" i="35"/>
  <c r="E99" i="35"/>
  <c r="E98" i="35"/>
  <c r="AE90" i="35"/>
  <c r="AF90" i="35"/>
  <c r="AG90" i="35"/>
  <c r="Z90" i="35"/>
  <c r="AA90" i="35"/>
  <c r="AB90" i="35"/>
  <c r="AC90" i="35"/>
  <c r="AD90" i="35"/>
  <c r="I90" i="35"/>
  <c r="J90" i="35"/>
  <c r="K90" i="35"/>
  <c r="L90" i="35"/>
  <c r="N90" i="35"/>
  <c r="O90" i="35"/>
  <c r="P90" i="35"/>
  <c r="Q90" i="35"/>
  <c r="R90" i="35"/>
  <c r="S90" i="35"/>
  <c r="T90" i="35"/>
  <c r="U90" i="35"/>
  <c r="V90" i="35"/>
  <c r="W90" i="35"/>
  <c r="X90" i="35"/>
  <c r="Y90" i="35"/>
  <c r="H90" i="35"/>
  <c r="T54" i="34" l="1"/>
  <c r="U54" i="34"/>
  <c r="T53" i="34"/>
  <c r="U53" i="34"/>
  <c r="T52" i="34"/>
  <c r="U52" i="34"/>
  <c r="T51" i="34"/>
  <c r="U51" i="34"/>
  <c r="T50" i="34"/>
  <c r="U50" i="34"/>
  <c r="S54" i="34"/>
  <c r="S53" i="34"/>
  <c r="S52" i="34"/>
  <c r="S51" i="34"/>
  <c r="S50" i="34"/>
  <c r="M54" i="34"/>
  <c r="N54" i="34"/>
  <c r="M53" i="34"/>
  <c r="N53" i="34"/>
  <c r="M52" i="34"/>
  <c r="N52" i="34"/>
  <c r="M51" i="34"/>
  <c r="N51" i="34"/>
  <c r="L54" i="34"/>
  <c r="L53" i="34"/>
  <c r="L52" i="34"/>
  <c r="L51" i="34"/>
  <c r="M50" i="34"/>
  <c r="N50" i="34"/>
  <c r="L50" i="34"/>
  <c r="G54" i="34"/>
  <c r="F54" i="34"/>
  <c r="G53" i="34"/>
  <c r="F53" i="34"/>
  <c r="G52" i="34"/>
  <c r="F52" i="34"/>
  <c r="G51" i="34"/>
  <c r="F51" i="34"/>
  <c r="G50" i="34"/>
  <c r="F50" i="34"/>
  <c r="E54" i="34"/>
  <c r="E53" i="34"/>
  <c r="E52" i="34"/>
  <c r="E51" i="34"/>
  <c r="E50" i="34"/>
  <c r="BH15" i="27"/>
  <c r="BG15" i="27"/>
  <c r="BF15" i="27"/>
  <c r="BH14" i="27"/>
  <c r="BG14" i="27"/>
  <c r="BF14" i="27"/>
  <c r="BH13" i="27"/>
  <c r="BG13" i="27"/>
  <c r="BF13" i="27"/>
  <c r="BH12" i="27"/>
  <c r="BG12" i="27"/>
  <c r="BF12" i="27"/>
  <c r="BH11" i="27"/>
  <c r="BG11" i="27"/>
  <c r="BF11" i="27"/>
  <c r="BH10" i="27"/>
  <c r="BG10" i="27"/>
  <c r="BF10" i="27"/>
  <c r="BH9" i="27"/>
  <c r="BG9" i="27"/>
  <c r="BF9" i="27"/>
  <c r="BH8" i="27"/>
  <c r="BG8" i="27"/>
  <c r="BF8" i="27"/>
  <c r="BH7" i="27"/>
  <c r="BG7" i="27"/>
  <c r="BF7" i="27"/>
  <c r="BH6" i="27"/>
  <c r="BG6" i="27"/>
  <c r="BF6" i="27"/>
  <c r="BH5" i="27"/>
  <c r="BG5" i="27"/>
  <c r="BF5" i="27"/>
  <c r="BH4" i="27"/>
  <c r="BG4" i="27"/>
  <c r="BF4" i="27"/>
  <c r="BH3" i="27"/>
  <c r="BG3" i="27"/>
  <c r="BF3" i="27"/>
  <c r="BH2" i="27"/>
  <c r="BG2" i="27"/>
  <c r="BF2" i="27"/>
  <c r="AH36" i="27"/>
  <c r="AH33" i="27"/>
  <c r="AH30" i="27"/>
  <c r="AH27" i="27"/>
  <c r="AH24" i="27"/>
  <c r="AH21" i="27"/>
  <c r="AH18" i="27"/>
  <c r="AH15" i="27"/>
  <c r="AH12" i="27"/>
  <c r="AH9" i="27"/>
  <c r="AH6" i="27"/>
  <c r="AF36" i="27"/>
  <c r="AF33" i="27"/>
  <c r="AF30" i="27"/>
  <c r="AF27" i="27"/>
  <c r="AF24" i="27"/>
  <c r="AF21" i="27"/>
  <c r="AF18" i="27"/>
  <c r="AF15" i="27"/>
  <c r="AF12" i="27"/>
  <c r="AF9" i="27"/>
  <c r="AF6" i="27"/>
  <c r="AD36" i="27"/>
  <c r="AD33" i="27"/>
  <c r="AD30" i="27"/>
  <c r="AD27" i="27"/>
  <c r="AD24" i="27"/>
  <c r="AD21" i="27"/>
  <c r="AD18" i="27"/>
  <c r="AD15" i="27"/>
  <c r="AD12" i="27"/>
  <c r="AD9" i="27"/>
  <c r="AD6" i="27"/>
  <c r="AB36" i="27"/>
  <c r="AB33" i="27"/>
  <c r="AB30" i="27"/>
  <c r="AB27" i="27"/>
  <c r="AB24" i="27"/>
  <c r="AB21" i="27"/>
  <c r="AB18" i="27"/>
  <c r="AB15" i="27"/>
  <c r="AB12" i="27"/>
  <c r="AB9" i="27"/>
  <c r="AB6" i="27"/>
  <c r="Z36" i="27"/>
  <c r="Z33" i="27"/>
  <c r="Z30" i="27"/>
  <c r="Z27" i="27"/>
  <c r="Z24" i="27"/>
  <c r="Z21" i="27"/>
  <c r="Z18" i="27"/>
  <c r="Z15" i="27"/>
  <c r="Z12" i="27"/>
  <c r="Z9" i="27"/>
  <c r="Z6" i="27"/>
  <c r="X36" i="27"/>
  <c r="X33" i="27"/>
  <c r="X30" i="27"/>
  <c r="X27" i="27"/>
  <c r="X24" i="27"/>
  <c r="X21" i="27"/>
  <c r="X18" i="27"/>
  <c r="X15" i="27"/>
  <c r="X12" i="27"/>
  <c r="X9" i="27"/>
  <c r="X6" i="27"/>
  <c r="V36" i="27"/>
  <c r="V33" i="27"/>
  <c r="V30" i="27"/>
  <c r="V27" i="27"/>
  <c r="V24" i="27"/>
  <c r="V21" i="27"/>
  <c r="V18" i="27"/>
  <c r="V15" i="27"/>
  <c r="V12" i="27"/>
  <c r="V9" i="27"/>
  <c r="V6" i="27"/>
  <c r="T36" i="27"/>
  <c r="T33" i="27"/>
  <c r="T30" i="27"/>
  <c r="T27" i="27"/>
  <c r="T24" i="27"/>
  <c r="T21" i="27"/>
  <c r="T18" i="27"/>
  <c r="T15" i="27"/>
  <c r="T12" i="27"/>
  <c r="T9" i="27"/>
  <c r="T6" i="27"/>
  <c r="R36" i="27"/>
  <c r="R33" i="27"/>
  <c r="R30" i="27"/>
  <c r="R27" i="27"/>
  <c r="R24" i="27"/>
  <c r="R21" i="27"/>
  <c r="R18" i="27"/>
  <c r="R15" i="27"/>
  <c r="R12" i="27"/>
  <c r="R9" i="27"/>
  <c r="R6" i="27"/>
  <c r="P36" i="27"/>
  <c r="P33" i="27"/>
  <c r="P30" i="27"/>
  <c r="P27" i="27"/>
  <c r="P24" i="27"/>
  <c r="P21" i="27"/>
  <c r="P18" i="27"/>
  <c r="P15" i="27"/>
  <c r="P12" i="27"/>
  <c r="P9" i="27"/>
  <c r="P6" i="27"/>
  <c r="N36" i="27"/>
  <c r="N33" i="27"/>
  <c r="N30" i="27"/>
  <c r="N27" i="27"/>
  <c r="N24" i="27"/>
  <c r="N21" i="27"/>
  <c r="N18" i="27"/>
  <c r="N15" i="27"/>
  <c r="N12" i="27"/>
  <c r="N9" i="27"/>
  <c r="N6" i="27"/>
  <c r="L36" i="27"/>
  <c r="L33" i="27"/>
  <c r="L30" i="27"/>
  <c r="L27" i="27"/>
  <c r="L24" i="27"/>
  <c r="L21" i="27"/>
  <c r="L18" i="27"/>
  <c r="L15" i="27"/>
  <c r="L12" i="27"/>
  <c r="L9" i="27"/>
  <c r="L6" i="27"/>
  <c r="J36" i="27"/>
  <c r="J33" i="27"/>
  <c r="J30" i="27"/>
  <c r="J27" i="27"/>
  <c r="J24" i="27"/>
  <c r="J21" i="27"/>
  <c r="J18" i="27"/>
  <c r="J15" i="27"/>
  <c r="J12" i="27"/>
  <c r="J9" i="27"/>
  <c r="J6" i="27"/>
  <c r="H36" i="27"/>
  <c r="H33" i="27"/>
  <c r="H30" i="27"/>
  <c r="H27" i="27"/>
  <c r="H24" i="27"/>
  <c r="H21" i="27"/>
  <c r="H18" i="27"/>
  <c r="H15" i="27"/>
  <c r="H12" i="27"/>
  <c r="H9" i="27"/>
  <c r="H6" i="27"/>
  <c r="AH37" i="27"/>
  <c r="AH34" i="27"/>
  <c r="AH31" i="27"/>
  <c r="AH28" i="27"/>
  <c r="AH25" i="27"/>
  <c r="AH22" i="27"/>
  <c r="AH19" i="27"/>
  <c r="AH16" i="27"/>
  <c r="AH13" i="27"/>
  <c r="AH10" i="27"/>
  <c r="AH7" i="27"/>
  <c r="AF37" i="27"/>
  <c r="AF34" i="27"/>
  <c r="AF31" i="27"/>
  <c r="AF28" i="27"/>
  <c r="AF25" i="27"/>
  <c r="AF22" i="27"/>
  <c r="AF19" i="27"/>
  <c r="AF16" i="27"/>
  <c r="AF13" i="27"/>
  <c r="AF10" i="27"/>
  <c r="AF7" i="27"/>
  <c r="AD37" i="27"/>
  <c r="AD34" i="27"/>
  <c r="AD31" i="27"/>
  <c r="AD28" i="27"/>
  <c r="AD25" i="27"/>
  <c r="AD22" i="27"/>
  <c r="AD19" i="27"/>
  <c r="AD16" i="27"/>
  <c r="AD13" i="27"/>
  <c r="AD10" i="27"/>
  <c r="AD7" i="27"/>
  <c r="AB37" i="27"/>
  <c r="AB34" i="27"/>
  <c r="AB31" i="27"/>
  <c r="AB28" i="27"/>
  <c r="AB25" i="27"/>
  <c r="AB22" i="27"/>
  <c r="AB19" i="27"/>
  <c r="AB16" i="27"/>
  <c r="AB13" i="27"/>
  <c r="AB10" i="27"/>
  <c r="AB7" i="27"/>
  <c r="Z37" i="27"/>
  <c r="Z34" i="27"/>
  <c r="Z31" i="27"/>
  <c r="Z28" i="27"/>
  <c r="Z25" i="27"/>
  <c r="Z22" i="27"/>
  <c r="Z19" i="27"/>
  <c r="Z16" i="27"/>
  <c r="Z13" i="27"/>
  <c r="Z10" i="27"/>
  <c r="Z7" i="27"/>
  <c r="X37" i="27"/>
  <c r="X34" i="27"/>
  <c r="X31" i="27"/>
  <c r="X28" i="27"/>
  <c r="X25" i="27"/>
  <c r="X22" i="27"/>
  <c r="X19" i="27"/>
  <c r="X16" i="27"/>
  <c r="X13" i="27"/>
  <c r="X10" i="27"/>
  <c r="X7" i="27"/>
  <c r="V37" i="27"/>
  <c r="V34" i="27"/>
  <c r="V31" i="27"/>
  <c r="V28" i="27"/>
  <c r="V25" i="27"/>
  <c r="V22" i="27"/>
  <c r="V19" i="27"/>
  <c r="V16" i="27"/>
  <c r="V13" i="27"/>
  <c r="V10" i="27"/>
  <c r="V7" i="27"/>
  <c r="T37" i="27"/>
  <c r="T34" i="27"/>
  <c r="T31" i="27"/>
  <c r="T28" i="27"/>
  <c r="T25" i="27"/>
  <c r="T22" i="27"/>
  <c r="T19" i="27"/>
  <c r="T16" i="27"/>
  <c r="T13" i="27"/>
  <c r="T10" i="27"/>
  <c r="T7" i="27"/>
  <c r="R37" i="27"/>
  <c r="R34" i="27"/>
  <c r="R31" i="27"/>
  <c r="R28" i="27"/>
  <c r="R25" i="27"/>
  <c r="R22" i="27"/>
  <c r="R19" i="27"/>
  <c r="R16" i="27"/>
  <c r="R13" i="27"/>
  <c r="R10" i="27"/>
  <c r="R7" i="27"/>
  <c r="P37" i="27"/>
  <c r="P34" i="27"/>
  <c r="P31" i="27"/>
  <c r="P28" i="27"/>
  <c r="P25" i="27"/>
  <c r="P22" i="27"/>
  <c r="P19" i="27"/>
  <c r="P16" i="27"/>
  <c r="P13" i="27"/>
  <c r="P10" i="27"/>
  <c r="P7" i="27"/>
  <c r="N37" i="27"/>
  <c r="N34" i="27"/>
  <c r="N31" i="27"/>
  <c r="N28" i="27"/>
  <c r="N25" i="27"/>
  <c r="N22" i="27"/>
  <c r="N19" i="27"/>
  <c r="N16" i="27"/>
  <c r="N13" i="27"/>
  <c r="N10" i="27"/>
  <c r="N7" i="27"/>
  <c r="L37" i="27"/>
  <c r="L34" i="27"/>
  <c r="L31" i="27"/>
  <c r="L28" i="27"/>
  <c r="L25" i="27"/>
  <c r="L22" i="27"/>
  <c r="L19" i="27"/>
  <c r="L16" i="27"/>
  <c r="L13" i="27"/>
  <c r="L10" i="27"/>
  <c r="L7" i="27"/>
  <c r="J37" i="27"/>
  <c r="J34" i="27"/>
  <c r="J31" i="27"/>
  <c r="J28" i="27"/>
  <c r="J25" i="27"/>
  <c r="J22" i="27"/>
  <c r="J19" i="27"/>
  <c r="J16" i="27"/>
  <c r="J13" i="27"/>
  <c r="J10" i="27"/>
  <c r="J7" i="27"/>
  <c r="H37" i="27"/>
  <c r="H34" i="27"/>
  <c r="H31" i="27"/>
  <c r="H28" i="27"/>
  <c r="H25" i="27"/>
  <c r="H22" i="27"/>
  <c r="H19" i="27"/>
  <c r="H16" i="27"/>
  <c r="H13" i="27"/>
  <c r="H10" i="27"/>
  <c r="H7" i="27"/>
  <c r="AH35" i="27"/>
  <c r="AH32" i="27"/>
  <c r="AH29" i="27"/>
  <c r="AH26" i="27"/>
  <c r="AH23" i="27"/>
  <c r="AH20" i="27"/>
  <c r="AH17" i="27"/>
  <c r="AH14" i="27"/>
  <c r="AH11" i="27"/>
  <c r="AH8" i="27"/>
  <c r="AH5" i="27"/>
  <c r="AF35" i="27"/>
  <c r="AF32" i="27"/>
  <c r="AF29" i="27"/>
  <c r="AF26" i="27"/>
  <c r="AF23" i="27"/>
  <c r="AF20" i="27"/>
  <c r="AF17" i="27"/>
  <c r="AF14" i="27"/>
  <c r="AF11" i="27"/>
  <c r="AF8" i="27"/>
  <c r="AF5" i="27"/>
  <c r="AD35" i="27"/>
  <c r="AD32" i="27"/>
  <c r="AD29" i="27"/>
  <c r="AD26" i="27"/>
  <c r="AD23" i="27"/>
  <c r="AD20" i="27"/>
  <c r="AD17" i="27"/>
  <c r="AD14" i="27"/>
  <c r="AD11" i="27"/>
  <c r="AD8" i="27"/>
  <c r="AD5" i="27"/>
  <c r="AB35" i="27"/>
  <c r="AB32" i="27"/>
  <c r="AB29" i="27"/>
  <c r="AB26" i="27"/>
  <c r="AB23" i="27"/>
  <c r="AB20" i="27"/>
  <c r="AB17" i="27"/>
  <c r="AB14" i="27"/>
  <c r="AB11" i="27"/>
  <c r="AB8" i="27"/>
  <c r="AB5" i="27"/>
  <c r="Z35" i="27"/>
  <c r="Z32" i="27"/>
  <c r="Z29" i="27"/>
  <c r="Z26" i="27"/>
  <c r="Z23" i="27"/>
  <c r="Z20" i="27"/>
  <c r="Z17" i="27"/>
  <c r="Z14" i="27"/>
  <c r="Z11" i="27"/>
  <c r="Z8" i="27"/>
  <c r="Z5" i="27"/>
  <c r="X35" i="27"/>
  <c r="X32" i="27"/>
  <c r="X29" i="27"/>
  <c r="X26" i="27"/>
  <c r="X23" i="27"/>
  <c r="X20" i="27"/>
  <c r="X17" i="27"/>
  <c r="X14" i="27"/>
  <c r="X11" i="27"/>
  <c r="X8" i="27"/>
  <c r="X5" i="27"/>
  <c r="V35" i="27"/>
  <c r="V32" i="27"/>
  <c r="V29" i="27"/>
  <c r="V26" i="27"/>
  <c r="V23" i="27"/>
  <c r="V20" i="27"/>
  <c r="V17" i="27"/>
  <c r="V14" i="27"/>
  <c r="V11" i="27"/>
  <c r="V8" i="27"/>
  <c r="V5" i="27"/>
  <c r="T35" i="27"/>
  <c r="T32" i="27"/>
  <c r="T29" i="27"/>
  <c r="T26" i="27"/>
  <c r="T23" i="27"/>
  <c r="T20" i="27"/>
  <c r="T17" i="27"/>
  <c r="T14" i="27"/>
  <c r="T11" i="27"/>
  <c r="T8" i="27"/>
  <c r="T5" i="27"/>
  <c r="R35" i="27"/>
  <c r="R32" i="27"/>
  <c r="R29" i="27"/>
  <c r="R26" i="27"/>
  <c r="R23" i="27"/>
  <c r="R20" i="27"/>
  <c r="R17" i="27"/>
  <c r="R14" i="27"/>
  <c r="R11" i="27"/>
  <c r="R8" i="27"/>
  <c r="R5" i="27"/>
  <c r="P35" i="27"/>
  <c r="P32" i="27"/>
  <c r="P29" i="27"/>
  <c r="P26" i="27"/>
  <c r="P23" i="27"/>
  <c r="P20" i="27"/>
  <c r="P17" i="27"/>
  <c r="P14" i="27"/>
  <c r="P11" i="27"/>
  <c r="P8" i="27"/>
  <c r="P5" i="27"/>
  <c r="N35" i="27"/>
  <c r="N32" i="27"/>
  <c r="N29" i="27"/>
  <c r="N26" i="27"/>
  <c r="N23" i="27"/>
  <c r="N20" i="27"/>
  <c r="N17" i="27"/>
  <c r="N14" i="27"/>
  <c r="N11" i="27"/>
  <c r="N8" i="27"/>
  <c r="N5" i="27"/>
  <c r="L35" i="27"/>
  <c r="L32" i="27"/>
  <c r="L29" i="27"/>
  <c r="L26" i="27"/>
  <c r="L23" i="27"/>
  <c r="L20" i="27"/>
  <c r="L17" i="27"/>
  <c r="L14" i="27"/>
  <c r="L11" i="27"/>
  <c r="L8" i="27"/>
  <c r="L5" i="27"/>
  <c r="J35" i="27"/>
  <c r="J32" i="27"/>
  <c r="J29" i="27"/>
  <c r="J26" i="27"/>
  <c r="J23" i="27"/>
  <c r="J20" i="27"/>
  <c r="J17" i="27"/>
  <c r="J14" i="27"/>
  <c r="J11" i="27"/>
  <c r="J8" i="27"/>
  <c r="J5" i="27"/>
  <c r="H35" i="27"/>
  <c r="H32" i="27"/>
  <c r="H29" i="27"/>
  <c r="H26" i="27"/>
  <c r="H23" i="27"/>
  <c r="H20" i="27"/>
  <c r="H17" i="27"/>
  <c r="H14" i="27"/>
  <c r="H11" i="27"/>
  <c r="H8" i="27"/>
  <c r="H5" i="27"/>
  <c r="BD4" i="27"/>
  <c r="BD5" i="27"/>
  <c r="BD6" i="27"/>
  <c r="BD7" i="27"/>
  <c r="BD8" i="27"/>
  <c r="BD9" i="27"/>
  <c r="BD10" i="27"/>
  <c r="BD11" i="27"/>
  <c r="BD12" i="27"/>
  <c r="BD13" i="27"/>
  <c r="BD14" i="27"/>
  <c r="BD15" i="27"/>
  <c r="BD16" i="27"/>
  <c r="BD17" i="27"/>
  <c r="BD18" i="27"/>
  <c r="BD19" i="27"/>
  <c r="BD20" i="27"/>
  <c r="BD21" i="27"/>
  <c r="BD22" i="27"/>
  <c r="BD23" i="27"/>
  <c r="BD24" i="27"/>
  <c r="BD25" i="27"/>
  <c r="BD26" i="27"/>
  <c r="BD27" i="27"/>
  <c r="BD28" i="27"/>
  <c r="BD29" i="27"/>
  <c r="BD30" i="27"/>
  <c r="BD31" i="27"/>
  <c r="BD32" i="27"/>
  <c r="BD33" i="27"/>
  <c r="BD34" i="27"/>
  <c r="BD35" i="27"/>
  <c r="BD36" i="27"/>
  <c r="BD37" i="27"/>
  <c r="BD3" i="27"/>
  <c r="BB37" i="27"/>
  <c r="BA37" i="27"/>
  <c r="AY37" i="27"/>
  <c r="AX37" i="27"/>
  <c r="AW37" i="27"/>
  <c r="D37" i="27"/>
  <c r="BB36" i="27"/>
  <c r="BA36" i="27"/>
  <c r="AY36" i="27"/>
  <c r="AX36" i="27"/>
  <c r="AW36" i="27"/>
  <c r="D36" i="27"/>
  <c r="BA35" i="27"/>
  <c r="AX35" i="27"/>
  <c r="AW35" i="27"/>
  <c r="AL35" i="27"/>
  <c r="BB35" i="27" s="1"/>
  <c r="D35" i="27"/>
  <c r="BB34" i="27"/>
  <c r="BA34" i="27"/>
  <c r="AY34" i="27"/>
  <c r="AX34" i="27"/>
  <c r="AW34" i="27"/>
  <c r="D34" i="27"/>
  <c r="BB33" i="27"/>
  <c r="BA33" i="27"/>
  <c r="AY33" i="27"/>
  <c r="AX33" i="27"/>
  <c r="AW33" i="27"/>
  <c r="D33" i="27"/>
  <c r="BA32" i="27"/>
  <c r="AX32" i="27"/>
  <c r="AW32" i="27"/>
  <c r="AL32" i="27"/>
  <c r="BB32" i="27" s="1"/>
  <c r="D32" i="27"/>
  <c r="BB31" i="27"/>
  <c r="BA31" i="27"/>
  <c r="AY31" i="27"/>
  <c r="AX31" i="27"/>
  <c r="AW31" i="27"/>
  <c r="D31" i="27"/>
  <c r="BB30" i="27"/>
  <c r="BA30" i="27"/>
  <c r="AY30" i="27"/>
  <c r="AX30" i="27"/>
  <c r="AW30" i="27"/>
  <c r="D30" i="27"/>
  <c r="BA29" i="27"/>
  <c r="AX29" i="27"/>
  <c r="AW29" i="27"/>
  <c r="AL29" i="27"/>
  <c r="AY29" i="27" s="1"/>
  <c r="D29" i="27"/>
  <c r="BB28" i="27"/>
  <c r="BA28" i="27"/>
  <c r="AY28" i="27"/>
  <c r="AX28" i="27"/>
  <c r="AW28" i="27"/>
  <c r="D28" i="27"/>
  <c r="BB27" i="27"/>
  <c r="BA27" i="27"/>
  <c r="AY27" i="27"/>
  <c r="AX27" i="27"/>
  <c r="AW27" i="27"/>
  <c r="D27" i="27"/>
  <c r="BA26" i="27"/>
  <c r="AX26" i="27"/>
  <c r="AW26" i="27"/>
  <c r="AL26" i="27"/>
  <c r="D26" i="27"/>
  <c r="BB25" i="27"/>
  <c r="BA25" i="27"/>
  <c r="AY25" i="27"/>
  <c r="AX25" i="27"/>
  <c r="AW25" i="27"/>
  <c r="D25" i="27"/>
  <c r="BB24" i="27"/>
  <c r="BA24" i="27"/>
  <c r="AY24" i="27"/>
  <c r="AX24" i="27"/>
  <c r="AW24" i="27"/>
  <c r="D24" i="27"/>
  <c r="BA23" i="27"/>
  <c r="AX23" i="27"/>
  <c r="AW23" i="27"/>
  <c r="AL23" i="27"/>
  <c r="BB23" i="27" s="1"/>
  <c r="D23" i="27"/>
  <c r="BB22" i="27"/>
  <c r="BA22" i="27"/>
  <c r="AY22" i="27"/>
  <c r="AX22" i="27"/>
  <c r="AW22" i="27"/>
  <c r="D22" i="27"/>
  <c r="BB21" i="27"/>
  <c r="BA21" i="27"/>
  <c r="AY21" i="27"/>
  <c r="AX21" i="27"/>
  <c r="AW21" i="27"/>
  <c r="D21" i="27"/>
  <c r="BA20" i="27"/>
  <c r="AX20" i="27"/>
  <c r="AW20" i="27"/>
  <c r="AL20" i="27"/>
  <c r="BB20" i="27" s="1"/>
  <c r="D20" i="27"/>
  <c r="BB19" i="27"/>
  <c r="BA19" i="27"/>
  <c r="AY19" i="27"/>
  <c r="AX19" i="27"/>
  <c r="AW19" i="27"/>
  <c r="D19" i="27"/>
  <c r="BB18" i="27"/>
  <c r="BA18" i="27"/>
  <c r="AY18" i="27"/>
  <c r="AX18" i="27"/>
  <c r="AW18" i="27"/>
  <c r="D18" i="27"/>
  <c r="BA17" i="27"/>
  <c r="AX17" i="27"/>
  <c r="AW17" i="27"/>
  <c r="AL17" i="27"/>
  <c r="D17" i="27"/>
  <c r="BB16" i="27"/>
  <c r="BA16" i="27"/>
  <c r="AY16" i="27"/>
  <c r="AX16" i="27"/>
  <c r="AW16" i="27"/>
  <c r="D16" i="27"/>
  <c r="BB15" i="27"/>
  <c r="BA15" i="27"/>
  <c r="AY15" i="27"/>
  <c r="AX15" i="27"/>
  <c r="AW15" i="27"/>
  <c r="D15" i="27"/>
  <c r="BA14" i="27"/>
  <c r="AX14" i="27"/>
  <c r="AW14" i="27"/>
  <c r="AL14" i="27"/>
  <c r="D14" i="27"/>
  <c r="BB13" i="27"/>
  <c r="BA13" i="27"/>
  <c r="AY13" i="27"/>
  <c r="AX13" i="27"/>
  <c r="AW13" i="27"/>
  <c r="D13" i="27"/>
  <c r="BB12" i="27"/>
  <c r="BA12" i="27"/>
  <c r="AY12" i="27"/>
  <c r="AX12" i="27"/>
  <c r="AW12" i="27"/>
  <c r="D12" i="27"/>
  <c r="BA11" i="27"/>
  <c r="AX11" i="27"/>
  <c r="AW11" i="27"/>
  <c r="AL11" i="27"/>
  <c r="D11" i="27"/>
  <c r="BB10" i="27"/>
  <c r="BA10" i="27"/>
  <c r="AY10" i="27"/>
  <c r="AX10" i="27"/>
  <c r="AW10" i="27"/>
  <c r="D10" i="27"/>
  <c r="BB9" i="27"/>
  <c r="BA9" i="27"/>
  <c r="AY9" i="27"/>
  <c r="AX9" i="27"/>
  <c r="AW9" i="27"/>
  <c r="D9" i="27"/>
  <c r="BA8" i="27"/>
  <c r="AX8" i="27"/>
  <c r="AW8" i="27"/>
  <c r="AL8" i="27"/>
  <c r="AY8" i="27" s="1"/>
  <c r="D8" i="27"/>
  <c r="BB7" i="27"/>
  <c r="BA7" i="27"/>
  <c r="AY7" i="27"/>
  <c r="AX7" i="27"/>
  <c r="AW7" i="27"/>
  <c r="D7" i="27"/>
  <c r="BB6" i="27"/>
  <c r="BA6" i="27"/>
  <c r="AY6" i="27"/>
  <c r="AX6" i="27"/>
  <c r="AW6" i="27"/>
  <c r="D6" i="27"/>
  <c r="BA5" i="27"/>
  <c r="AX5" i="27"/>
  <c r="AW5" i="27"/>
  <c r="AL5" i="27"/>
  <c r="BB5" i="27" s="1"/>
  <c r="D5" i="27"/>
  <c r="BB4" i="27"/>
  <c r="BA4" i="27"/>
  <c r="AZ4" i="27"/>
  <c r="AY4" i="27"/>
  <c r="AX4" i="27"/>
  <c r="AW4" i="27"/>
  <c r="AV4" i="27"/>
  <c r="D4" i="27"/>
  <c r="BB3" i="27"/>
  <c r="BA3" i="27"/>
  <c r="AZ3" i="27"/>
  <c r="AY3" i="27"/>
  <c r="AX3" i="27"/>
  <c r="AW3" i="27"/>
  <c r="AV3" i="27"/>
  <c r="D3" i="27"/>
  <c r="BA2" i="27"/>
  <c r="AZ2" i="27"/>
  <c r="AX2" i="27"/>
  <c r="AW2" i="27"/>
  <c r="AL2" i="27"/>
  <c r="AY2" i="27" s="1"/>
  <c r="D2" i="27"/>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2" i="14"/>
  <c r="C38" i="19"/>
  <c r="C39" i="19"/>
  <c r="C40" i="19"/>
  <c r="C41" i="19"/>
  <c r="C42" i="19"/>
  <c r="C37" i="19"/>
  <c r="K17" i="17"/>
  <c r="K18" i="17"/>
  <c r="K19" i="17"/>
  <c r="K20" i="17"/>
  <c r="K21" i="17"/>
  <c r="K22" i="17"/>
  <c r="K23" i="17"/>
  <c r="K16" i="17"/>
  <c r="I17" i="17"/>
  <c r="I18" i="17"/>
  <c r="I19" i="17"/>
  <c r="I20" i="17"/>
  <c r="I21" i="17"/>
  <c r="I22" i="17"/>
  <c r="I23" i="17"/>
  <c r="I16" i="17"/>
  <c r="G17" i="17"/>
  <c r="G18" i="17"/>
  <c r="G19" i="17"/>
  <c r="G20" i="17"/>
  <c r="G21" i="17"/>
  <c r="G22" i="17"/>
  <c r="G23" i="17"/>
  <c r="G16" i="17"/>
  <c r="AH3" i="14"/>
  <c r="AH4" i="14"/>
  <c r="AH6" i="14"/>
  <c r="AH7" i="14"/>
  <c r="AH9" i="14"/>
  <c r="AH10" i="14"/>
  <c r="AH12" i="14"/>
  <c r="AH13" i="14"/>
  <c r="AH15" i="14"/>
  <c r="AH16" i="14"/>
  <c r="AH18" i="14"/>
  <c r="AH19" i="14"/>
  <c r="AH21" i="14"/>
  <c r="AH22" i="14"/>
  <c r="AH24" i="14"/>
  <c r="AH25" i="14"/>
  <c r="AH27" i="14"/>
  <c r="AH28" i="14"/>
  <c r="AH30" i="14"/>
  <c r="AH31" i="14"/>
  <c r="AH33" i="14"/>
  <c r="AH34" i="14"/>
  <c r="AH36" i="14"/>
  <c r="AH37" i="14"/>
  <c r="AH39" i="14"/>
  <c r="AH40" i="14"/>
  <c r="AH42" i="14"/>
  <c r="AH43" i="14"/>
  <c r="AH45" i="14"/>
  <c r="AH46" i="14"/>
  <c r="AH48" i="14"/>
  <c r="AH49" i="14"/>
  <c r="AH51" i="14"/>
  <c r="AH52" i="14"/>
  <c r="AH54" i="14"/>
  <c r="AH55" i="14"/>
  <c r="AH57" i="14"/>
  <c r="AH58" i="14"/>
  <c r="AH60" i="14"/>
  <c r="AH61" i="14"/>
  <c r="AH63" i="14"/>
  <c r="AH64" i="14"/>
  <c r="AH66" i="14"/>
  <c r="AH67" i="14"/>
  <c r="AH69" i="14"/>
  <c r="AH70" i="14"/>
  <c r="AH72" i="14"/>
  <c r="AH73" i="14"/>
  <c r="AH75" i="14"/>
  <c r="AH76" i="14"/>
  <c r="AH78" i="14"/>
  <c r="AH79" i="14"/>
  <c r="AH81" i="14"/>
  <c r="AH82" i="14"/>
  <c r="AH84" i="14"/>
  <c r="AH85" i="14"/>
  <c r="AH87" i="14"/>
  <c r="AH88" i="14"/>
  <c r="AH90" i="14"/>
  <c r="AH91" i="14"/>
  <c r="AH93" i="14"/>
  <c r="AH94" i="14"/>
  <c r="AH96" i="14"/>
  <c r="AH97" i="14"/>
  <c r="AH99" i="14"/>
  <c r="AH100" i="14"/>
  <c r="AH102" i="14"/>
  <c r="AH103" i="14"/>
  <c r="AH105" i="14"/>
  <c r="AH106" i="14"/>
  <c r="AH108" i="14"/>
  <c r="AH109" i="14"/>
  <c r="AH111" i="14"/>
  <c r="AH112" i="14"/>
  <c r="AH114" i="14"/>
  <c r="AH115" i="14"/>
  <c r="AH117" i="14"/>
  <c r="AH118" i="14"/>
  <c r="AH120" i="14"/>
  <c r="AH121" i="14"/>
  <c r="AH123" i="14"/>
  <c r="AH124" i="14"/>
  <c r="AH126" i="14"/>
  <c r="AH127" i="14"/>
  <c r="AH129" i="14"/>
  <c r="AH130" i="14"/>
  <c r="AH132" i="14"/>
  <c r="AH133" i="14"/>
  <c r="AH135" i="14"/>
  <c r="AH136" i="14"/>
  <c r="AH138" i="14"/>
  <c r="AH139" i="14"/>
  <c r="AH141" i="14"/>
  <c r="AH142" i="14"/>
  <c r="AH144" i="14"/>
  <c r="AH145" i="14"/>
  <c r="AH147" i="14"/>
  <c r="AH148" i="14"/>
  <c r="AH150" i="14"/>
  <c r="AH151" i="14"/>
  <c r="AH153" i="14"/>
  <c r="AH154" i="14"/>
  <c r="AH156" i="14"/>
  <c r="AH157" i="14"/>
  <c r="AH159" i="14"/>
  <c r="AH160" i="14"/>
  <c r="AH162" i="14"/>
  <c r="AH163" i="14"/>
  <c r="AH165" i="14"/>
  <c r="AH166" i="14"/>
  <c r="AH168" i="14"/>
  <c r="AH169" i="14"/>
  <c r="AH171" i="14"/>
  <c r="AH172" i="14"/>
  <c r="AH174" i="14"/>
  <c r="AH175" i="14"/>
  <c r="AH177" i="14"/>
  <c r="AH178" i="14"/>
  <c r="AH180" i="14"/>
  <c r="AH181" i="14"/>
  <c r="AH183" i="14"/>
  <c r="AH184" i="14"/>
  <c r="AH186" i="14"/>
  <c r="AH187" i="14"/>
  <c r="AH189" i="14"/>
  <c r="AH190" i="14"/>
  <c r="AH192" i="14"/>
  <c r="AH193" i="14"/>
  <c r="AH195" i="14"/>
  <c r="AH196" i="14"/>
  <c r="AH198" i="14"/>
  <c r="AH199" i="14"/>
  <c r="AH201" i="14"/>
  <c r="AH202" i="14"/>
  <c r="AH204" i="14"/>
  <c r="AH205" i="14"/>
  <c r="AH207" i="14"/>
  <c r="AH208" i="14"/>
  <c r="AH210" i="14"/>
  <c r="AH211" i="14"/>
  <c r="AH213" i="14"/>
  <c r="AH214" i="14"/>
  <c r="AH216" i="14"/>
  <c r="AH217" i="14"/>
  <c r="AH219" i="14"/>
  <c r="AH220" i="14"/>
  <c r="AH222" i="14"/>
  <c r="AH223" i="14"/>
  <c r="AH225" i="14"/>
  <c r="AH226" i="14"/>
  <c r="AH228" i="14"/>
  <c r="AH229" i="14"/>
  <c r="AH231" i="14"/>
  <c r="AH232" i="14"/>
  <c r="AH234" i="14"/>
  <c r="AH235" i="14"/>
  <c r="AH237" i="14"/>
  <c r="AH238" i="14"/>
  <c r="AH240" i="14"/>
  <c r="AH241" i="14"/>
  <c r="AH243" i="14"/>
  <c r="AH244" i="14"/>
  <c r="AH246" i="14"/>
  <c r="AH247" i="14"/>
  <c r="AH249" i="14"/>
  <c r="AH250" i="14"/>
  <c r="AH252" i="14"/>
  <c r="AH253" i="14"/>
  <c r="AH255" i="14"/>
  <c r="AH256" i="14"/>
  <c r="AH258" i="14"/>
  <c r="AH259" i="14"/>
  <c r="AH261" i="14"/>
  <c r="AH262" i="14"/>
  <c r="AH267" i="14"/>
  <c r="AH268" i="14"/>
  <c r="AH270" i="14"/>
  <c r="AH271" i="14"/>
  <c r="AH273" i="14"/>
  <c r="AH274" i="14"/>
  <c r="AH276" i="14"/>
  <c r="AH277" i="14"/>
  <c r="AH279" i="14"/>
  <c r="AH280" i="14"/>
  <c r="AH282" i="14"/>
  <c r="AH283" i="14"/>
  <c r="AH285" i="14"/>
  <c r="AH286" i="14"/>
  <c r="AH288" i="14"/>
  <c r="AH289" i="14"/>
  <c r="AH291" i="14"/>
  <c r="AH292" i="14"/>
  <c r="AH294" i="14"/>
  <c r="AH295" i="14"/>
  <c r="AH297" i="14"/>
  <c r="AH298" i="14"/>
  <c r="AH300" i="14"/>
  <c r="AH301" i="14"/>
  <c r="AH303" i="14"/>
  <c r="AH304" i="14"/>
  <c r="AH306" i="14"/>
  <c r="AH307" i="14"/>
  <c r="AH309" i="14"/>
  <c r="AH310" i="14"/>
  <c r="AH312" i="14"/>
  <c r="AH313" i="14"/>
  <c r="AH315" i="14"/>
  <c r="AH316" i="14"/>
  <c r="AH318" i="14"/>
  <c r="AH319" i="14"/>
  <c r="AH321" i="14"/>
  <c r="AH322" i="14"/>
  <c r="AH324" i="14"/>
  <c r="AH325" i="14"/>
  <c r="AH327" i="14"/>
  <c r="AH328" i="14"/>
  <c r="AH330" i="14"/>
  <c r="AH331" i="14"/>
  <c r="AH333" i="14"/>
  <c r="AH334" i="14"/>
  <c r="AH336" i="14"/>
  <c r="AH337" i="14"/>
  <c r="AH339" i="14"/>
  <c r="AH340" i="14"/>
  <c r="AH342" i="14"/>
  <c r="AH343" i="14"/>
  <c r="AH345" i="14"/>
  <c r="AH346" i="14"/>
  <c r="AH348" i="14"/>
  <c r="AH349" i="14"/>
  <c r="AH351" i="14"/>
  <c r="AH352" i="14"/>
  <c r="AH354" i="14"/>
  <c r="AH355" i="14"/>
  <c r="AH357" i="14"/>
  <c r="AH358" i="14"/>
  <c r="AH360" i="14"/>
  <c r="AH361" i="14"/>
  <c r="AH363" i="14"/>
  <c r="AH364" i="14"/>
  <c r="AH366" i="14"/>
  <c r="AH367" i="14"/>
  <c r="AH369" i="14"/>
  <c r="AH370" i="14"/>
  <c r="AH372" i="14"/>
  <c r="AH373" i="14"/>
  <c r="AN3" i="14"/>
  <c r="AN4" i="14"/>
  <c r="AN6" i="14"/>
  <c r="AN7" i="14"/>
  <c r="AN9" i="14"/>
  <c r="AN10" i="14"/>
  <c r="AN12" i="14"/>
  <c r="AN13" i="14"/>
  <c r="AN15" i="14"/>
  <c r="AN16" i="14"/>
  <c r="AN18" i="14"/>
  <c r="AN19" i="14"/>
  <c r="AN21" i="14"/>
  <c r="AN22" i="14"/>
  <c r="AN24" i="14"/>
  <c r="AN25" i="14"/>
  <c r="AN27" i="14"/>
  <c r="AN28" i="14"/>
  <c r="AN30" i="14"/>
  <c r="AN31" i="14"/>
  <c r="AN33" i="14"/>
  <c r="AN34" i="14"/>
  <c r="AN36" i="14"/>
  <c r="AN37" i="14"/>
  <c r="AN39" i="14"/>
  <c r="AN40" i="14"/>
  <c r="AN42" i="14"/>
  <c r="AN43" i="14"/>
  <c r="AN45" i="14"/>
  <c r="AN46" i="14"/>
  <c r="AN48" i="14"/>
  <c r="AN49" i="14"/>
  <c r="AN51" i="14"/>
  <c r="AN52" i="14"/>
  <c r="AN54" i="14"/>
  <c r="AN55" i="14"/>
  <c r="AN57" i="14"/>
  <c r="AN58" i="14"/>
  <c r="AN60" i="14"/>
  <c r="AN61" i="14"/>
  <c r="AN63" i="14"/>
  <c r="AN64" i="14"/>
  <c r="AN66" i="14"/>
  <c r="AN67" i="14"/>
  <c r="AN69" i="14"/>
  <c r="AN70" i="14"/>
  <c r="AN72" i="14"/>
  <c r="AN73" i="14"/>
  <c r="AN75" i="14"/>
  <c r="AN76" i="14"/>
  <c r="AN78" i="14"/>
  <c r="AN79" i="14"/>
  <c r="AN81" i="14"/>
  <c r="AN82" i="14"/>
  <c r="AN84" i="14"/>
  <c r="AN85" i="14"/>
  <c r="AN87" i="14"/>
  <c r="AN88" i="14"/>
  <c r="AN90" i="14"/>
  <c r="AN91" i="14"/>
  <c r="AN93" i="14"/>
  <c r="AN94" i="14"/>
  <c r="AN96" i="14"/>
  <c r="AN97" i="14"/>
  <c r="AN99" i="14"/>
  <c r="AN100" i="14"/>
  <c r="AN102" i="14"/>
  <c r="AN103" i="14"/>
  <c r="AN105" i="14"/>
  <c r="AN106" i="14"/>
  <c r="AN108" i="14"/>
  <c r="AN109" i="14"/>
  <c r="AN111" i="14"/>
  <c r="AN112" i="14"/>
  <c r="AN114" i="14"/>
  <c r="AN115" i="14"/>
  <c r="AN117" i="14"/>
  <c r="AN118" i="14"/>
  <c r="AN120" i="14"/>
  <c r="AN121" i="14"/>
  <c r="AN123" i="14"/>
  <c r="AN124" i="14"/>
  <c r="AN126" i="14"/>
  <c r="AN127" i="14"/>
  <c r="AN129" i="14"/>
  <c r="AN130" i="14"/>
  <c r="AN132" i="14"/>
  <c r="AN133" i="14"/>
  <c r="AN135" i="14"/>
  <c r="AN136" i="14"/>
  <c r="AN138" i="14"/>
  <c r="AN139" i="14"/>
  <c r="AN141" i="14"/>
  <c r="AN142" i="14"/>
  <c r="AN144" i="14"/>
  <c r="AN145" i="14"/>
  <c r="AN147" i="14"/>
  <c r="AN148" i="14"/>
  <c r="AN150" i="14"/>
  <c r="AN151" i="14"/>
  <c r="AN153" i="14"/>
  <c r="AN154" i="14"/>
  <c r="AN156" i="14"/>
  <c r="AN157" i="14"/>
  <c r="AN159" i="14"/>
  <c r="AN160" i="14"/>
  <c r="AN162" i="14"/>
  <c r="AN163" i="14"/>
  <c r="AN165" i="14"/>
  <c r="AN166" i="14"/>
  <c r="AN168" i="14"/>
  <c r="AN169" i="14"/>
  <c r="AN171" i="14"/>
  <c r="AN172" i="14"/>
  <c r="AN174" i="14"/>
  <c r="AN175" i="14"/>
  <c r="AN177" i="14"/>
  <c r="AN178" i="14"/>
  <c r="AN180" i="14"/>
  <c r="AN181" i="14"/>
  <c r="AN183" i="14"/>
  <c r="AN184" i="14"/>
  <c r="AN186" i="14"/>
  <c r="AN187" i="14"/>
  <c r="AN189" i="14"/>
  <c r="AN190" i="14"/>
  <c r="AN192" i="14"/>
  <c r="AN193" i="14"/>
  <c r="AN195" i="14"/>
  <c r="AN196" i="14"/>
  <c r="AN198" i="14"/>
  <c r="AN199" i="14"/>
  <c r="AN201" i="14"/>
  <c r="AN202" i="14"/>
  <c r="AN204" i="14"/>
  <c r="AN205" i="14"/>
  <c r="AN207" i="14"/>
  <c r="AN208" i="14"/>
  <c r="AN210" i="14"/>
  <c r="AN211" i="14"/>
  <c r="AN213" i="14"/>
  <c r="AN214" i="14"/>
  <c r="AN216" i="14"/>
  <c r="AN217" i="14"/>
  <c r="AN219" i="14"/>
  <c r="AN220" i="14"/>
  <c r="AN222" i="14"/>
  <c r="AN223" i="14"/>
  <c r="AN225" i="14"/>
  <c r="AN226" i="14"/>
  <c r="AN228" i="14"/>
  <c r="AN229" i="14"/>
  <c r="AN231" i="14"/>
  <c r="AN232" i="14"/>
  <c r="AN234" i="14"/>
  <c r="AN235" i="14"/>
  <c r="AN237" i="14"/>
  <c r="AN238" i="14"/>
  <c r="AN240" i="14"/>
  <c r="AN241" i="14"/>
  <c r="AN243" i="14"/>
  <c r="AN244" i="14"/>
  <c r="AN246" i="14"/>
  <c r="AN247" i="14"/>
  <c r="AN249" i="14"/>
  <c r="AN250" i="14"/>
  <c r="AN252" i="14"/>
  <c r="AN253" i="14"/>
  <c r="AN255" i="14"/>
  <c r="AN256" i="14"/>
  <c r="AN258" i="14"/>
  <c r="AN259" i="14"/>
  <c r="AN261" i="14"/>
  <c r="AN262" i="14"/>
  <c r="AN267" i="14"/>
  <c r="AN268" i="14"/>
  <c r="AN270" i="14"/>
  <c r="AN271" i="14"/>
  <c r="AN273" i="14"/>
  <c r="AN274" i="14"/>
  <c r="AN276" i="14"/>
  <c r="AN277" i="14"/>
  <c r="AN279" i="14"/>
  <c r="AN280" i="14"/>
  <c r="AN282" i="14"/>
  <c r="AN283" i="14"/>
  <c r="AN285" i="14"/>
  <c r="AN286" i="14"/>
  <c r="AN288" i="14"/>
  <c r="AN289" i="14"/>
  <c r="AN291" i="14"/>
  <c r="AN292" i="14"/>
  <c r="AN294" i="14"/>
  <c r="AN295" i="14"/>
  <c r="AN297" i="14"/>
  <c r="AN298" i="14"/>
  <c r="AN300" i="14"/>
  <c r="AN301" i="14"/>
  <c r="AN303" i="14"/>
  <c r="AN304" i="14"/>
  <c r="AN306" i="14"/>
  <c r="AN307" i="14"/>
  <c r="AN309" i="14"/>
  <c r="AN310" i="14"/>
  <c r="AN312" i="14"/>
  <c r="AN313" i="14"/>
  <c r="AN315" i="14"/>
  <c r="AN316" i="14"/>
  <c r="AN318" i="14"/>
  <c r="AN319" i="14"/>
  <c r="AN321" i="14"/>
  <c r="AN322" i="14"/>
  <c r="AN324" i="14"/>
  <c r="AN325" i="14"/>
  <c r="AN327" i="14"/>
  <c r="AN328" i="14"/>
  <c r="AN330" i="14"/>
  <c r="AN331" i="14"/>
  <c r="AN333" i="14"/>
  <c r="AN334" i="14"/>
  <c r="AN336" i="14"/>
  <c r="AN337" i="14"/>
  <c r="AN339" i="14"/>
  <c r="AN340" i="14"/>
  <c r="AN342" i="14"/>
  <c r="AN343" i="14"/>
  <c r="AN345" i="14"/>
  <c r="AN346" i="14"/>
  <c r="AN348" i="14"/>
  <c r="AN349" i="14"/>
  <c r="AN351" i="14"/>
  <c r="AN352" i="14"/>
  <c r="AN354" i="14"/>
  <c r="AN355" i="14"/>
  <c r="AN357" i="14"/>
  <c r="AN358" i="14"/>
  <c r="AN360" i="14"/>
  <c r="AN361" i="14"/>
  <c r="AN363" i="14"/>
  <c r="AN364" i="14"/>
  <c r="AN366" i="14"/>
  <c r="AN367" i="14"/>
  <c r="AN369" i="14"/>
  <c r="AN370" i="14"/>
  <c r="AN372" i="14"/>
  <c r="AN373" i="14"/>
  <c r="AM3" i="14"/>
  <c r="AM4" i="14"/>
  <c r="AM5" i="14"/>
  <c r="AM6" i="14"/>
  <c r="AM7" i="14"/>
  <c r="AM8" i="14"/>
  <c r="AM9" i="14"/>
  <c r="AM10" i="14"/>
  <c r="AM11" i="14"/>
  <c r="AM12" i="14"/>
  <c r="AM13" i="14"/>
  <c r="AM14" i="14"/>
  <c r="AM15" i="14"/>
  <c r="AM16" i="14"/>
  <c r="AM17" i="14"/>
  <c r="AM18" i="14"/>
  <c r="AM19" i="14"/>
  <c r="AM20" i="14"/>
  <c r="AM21" i="14"/>
  <c r="AM22" i="14"/>
  <c r="AM23" i="14"/>
  <c r="AM24" i="14"/>
  <c r="AM25" i="14"/>
  <c r="AM26" i="14"/>
  <c r="AM27" i="14"/>
  <c r="AM28" i="14"/>
  <c r="AM29" i="14"/>
  <c r="AM30" i="14"/>
  <c r="AM31" i="14"/>
  <c r="AM32" i="14"/>
  <c r="AM33" i="14"/>
  <c r="AM34" i="14"/>
  <c r="AM35" i="14"/>
  <c r="AM36" i="14"/>
  <c r="AM37" i="14"/>
  <c r="AM38" i="14"/>
  <c r="AM39" i="14"/>
  <c r="AM40" i="14"/>
  <c r="AM41" i="14"/>
  <c r="AM42" i="14"/>
  <c r="AM43" i="14"/>
  <c r="AM44" i="14"/>
  <c r="AM45" i="14"/>
  <c r="AM46" i="14"/>
  <c r="AM47" i="14"/>
  <c r="AM48" i="14"/>
  <c r="AM49" i="14"/>
  <c r="AM50" i="14"/>
  <c r="AM51" i="14"/>
  <c r="AM52" i="14"/>
  <c r="AM53" i="14"/>
  <c r="AM54" i="14"/>
  <c r="AM55" i="14"/>
  <c r="AM56" i="14"/>
  <c r="AM57" i="14"/>
  <c r="AM58" i="14"/>
  <c r="AM59" i="14"/>
  <c r="AM60" i="14"/>
  <c r="AM61" i="14"/>
  <c r="AM62" i="14"/>
  <c r="AM63" i="14"/>
  <c r="AM64" i="14"/>
  <c r="AM65" i="14"/>
  <c r="AM66" i="14"/>
  <c r="AM67" i="14"/>
  <c r="AM68" i="14"/>
  <c r="AM69" i="14"/>
  <c r="AM70" i="14"/>
  <c r="AM71" i="14"/>
  <c r="AM72" i="14"/>
  <c r="AM73" i="14"/>
  <c r="AM74" i="14"/>
  <c r="AM75" i="14"/>
  <c r="AM76" i="14"/>
  <c r="AM77" i="14"/>
  <c r="AM78" i="14"/>
  <c r="AM79" i="14"/>
  <c r="AM80" i="14"/>
  <c r="AM81" i="14"/>
  <c r="AM82" i="14"/>
  <c r="AM83" i="14"/>
  <c r="AM84" i="14"/>
  <c r="AM85" i="14"/>
  <c r="AM86" i="14"/>
  <c r="AM87" i="14"/>
  <c r="AM88" i="14"/>
  <c r="AM89" i="14"/>
  <c r="AM90" i="14"/>
  <c r="AM91" i="14"/>
  <c r="AM92" i="14"/>
  <c r="AM93" i="14"/>
  <c r="AM94" i="14"/>
  <c r="AM95" i="14"/>
  <c r="AM96" i="14"/>
  <c r="AM97" i="14"/>
  <c r="AM98" i="14"/>
  <c r="AM99" i="14"/>
  <c r="AM100" i="14"/>
  <c r="AM101" i="14"/>
  <c r="AM102" i="14"/>
  <c r="AM103" i="14"/>
  <c r="AM104" i="14"/>
  <c r="AM105" i="14"/>
  <c r="AM106" i="14"/>
  <c r="AM107" i="14"/>
  <c r="AM108" i="14"/>
  <c r="AM109" i="14"/>
  <c r="AM110" i="14"/>
  <c r="AM111" i="14"/>
  <c r="AM112" i="14"/>
  <c r="AM113" i="14"/>
  <c r="AM114" i="14"/>
  <c r="AM115" i="14"/>
  <c r="AM116" i="14"/>
  <c r="AM117" i="14"/>
  <c r="AM118" i="14"/>
  <c r="AM119" i="14"/>
  <c r="AM120" i="14"/>
  <c r="AM121" i="14"/>
  <c r="AM122" i="14"/>
  <c r="AM123" i="14"/>
  <c r="AM124" i="14"/>
  <c r="AM125" i="14"/>
  <c r="AM126" i="14"/>
  <c r="AM127" i="14"/>
  <c r="AM128" i="14"/>
  <c r="AM129" i="14"/>
  <c r="AM130" i="14"/>
  <c r="AM131" i="14"/>
  <c r="AM132" i="14"/>
  <c r="AM133" i="14"/>
  <c r="AM134" i="14"/>
  <c r="AM135" i="14"/>
  <c r="AM136" i="14"/>
  <c r="AM137" i="14"/>
  <c r="AM138" i="14"/>
  <c r="AM139" i="14"/>
  <c r="AM140" i="14"/>
  <c r="AM141" i="14"/>
  <c r="AM142" i="14"/>
  <c r="AM143" i="14"/>
  <c r="AM144" i="14"/>
  <c r="AM145" i="14"/>
  <c r="AM146" i="14"/>
  <c r="AM147" i="14"/>
  <c r="AM148" i="14"/>
  <c r="AM149" i="14"/>
  <c r="AM150" i="14"/>
  <c r="AM151" i="14"/>
  <c r="AM152" i="14"/>
  <c r="AM153" i="14"/>
  <c r="AM154" i="14"/>
  <c r="AM155" i="14"/>
  <c r="AM156" i="14"/>
  <c r="AM157" i="14"/>
  <c r="AM158" i="14"/>
  <c r="AM159" i="14"/>
  <c r="AM160" i="14"/>
  <c r="AM161" i="14"/>
  <c r="AM162" i="14"/>
  <c r="AM163" i="14"/>
  <c r="AM164" i="14"/>
  <c r="AM165" i="14"/>
  <c r="AM166" i="14"/>
  <c r="AM167" i="14"/>
  <c r="AM168" i="14"/>
  <c r="AM169" i="14"/>
  <c r="AM170" i="14"/>
  <c r="AM171" i="14"/>
  <c r="AM172" i="14"/>
  <c r="AM173" i="14"/>
  <c r="AM174" i="14"/>
  <c r="AM175" i="14"/>
  <c r="AM176" i="14"/>
  <c r="AM177" i="14"/>
  <c r="AM178" i="14"/>
  <c r="AM179" i="14"/>
  <c r="AM180" i="14"/>
  <c r="AM181" i="14"/>
  <c r="AM182" i="14"/>
  <c r="AM183" i="14"/>
  <c r="AM184" i="14"/>
  <c r="AM185" i="14"/>
  <c r="AM186" i="14"/>
  <c r="AM187" i="14"/>
  <c r="AM188" i="14"/>
  <c r="AM189" i="14"/>
  <c r="AM190" i="14"/>
  <c r="AM191" i="14"/>
  <c r="AM192" i="14"/>
  <c r="AM193" i="14"/>
  <c r="AM194" i="14"/>
  <c r="AM195" i="14"/>
  <c r="AM196" i="14"/>
  <c r="AM197" i="14"/>
  <c r="AM198" i="14"/>
  <c r="AM199" i="14"/>
  <c r="AM200" i="14"/>
  <c r="AM201" i="14"/>
  <c r="AM202" i="14"/>
  <c r="AM203" i="14"/>
  <c r="AM204" i="14"/>
  <c r="AM205" i="14"/>
  <c r="AM206" i="14"/>
  <c r="AM207" i="14"/>
  <c r="AM208" i="14"/>
  <c r="AM209" i="14"/>
  <c r="AM210" i="14"/>
  <c r="AM211" i="14"/>
  <c r="AM212" i="14"/>
  <c r="AM213" i="14"/>
  <c r="AM214" i="14"/>
  <c r="AM215" i="14"/>
  <c r="AM216" i="14"/>
  <c r="AM217" i="14"/>
  <c r="AM218" i="14"/>
  <c r="AM219" i="14"/>
  <c r="AM220" i="14"/>
  <c r="AM221" i="14"/>
  <c r="AM222" i="14"/>
  <c r="AM223" i="14"/>
  <c r="AM224" i="14"/>
  <c r="AM225" i="14"/>
  <c r="AM226" i="14"/>
  <c r="AM227" i="14"/>
  <c r="AM228" i="14"/>
  <c r="AM229" i="14"/>
  <c r="AM230" i="14"/>
  <c r="AM231" i="14"/>
  <c r="AM232" i="14"/>
  <c r="AM233" i="14"/>
  <c r="AM234" i="14"/>
  <c r="AM235" i="14"/>
  <c r="AM236" i="14"/>
  <c r="AM237" i="14"/>
  <c r="AM238" i="14"/>
  <c r="AM239" i="14"/>
  <c r="AM240" i="14"/>
  <c r="AM241" i="14"/>
  <c r="AM242" i="14"/>
  <c r="AM243" i="14"/>
  <c r="AM244" i="14"/>
  <c r="AM245" i="14"/>
  <c r="AM246" i="14"/>
  <c r="AM247" i="14"/>
  <c r="AM248" i="14"/>
  <c r="AM249" i="14"/>
  <c r="AM250" i="14"/>
  <c r="AM251" i="14"/>
  <c r="AM252" i="14"/>
  <c r="AM253" i="14"/>
  <c r="AM254" i="14"/>
  <c r="AM255" i="14"/>
  <c r="AM256" i="14"/>
  <c r="AM257" i="14"/>
  <c r="AM258" i="14"/>
  <c r="AM259" i="14"/>
  <c r="AM260" i="14"/>
  <c r="AM261" i="14"/>
  <c r="AM262" i="14"/>
  <c r="AM263" i="14"/>
  <c r="AM264" i="14"/>
  <c r="AM265" i="14"/>
  <c r="AM266" i="14"/>
  <c r="AM267" i="14"/>
  <c r="AM268" i="14"/>
  <c r="AM269" i="14"/>
  <c r="AM270" i="14"/>
  <c r="AM271" i="14"/>
  <c r="AM272" i="14"/>
  <c r="AM273" i="14"/>
  <c r="AM274" i="14"/>
  <c r="AM275" i="14"/>
  <c r="AM276" i="14"/>
  <c r="AM277" i="14"/>
  <c r="AM278" i="14"/>
  <c r="AM279" i="14"/>
  <c r="AM280" i="14"/>
  <c r="AM281" i="14"/>
  <c r="AM282" i="14"/>
  <c r="AM283" i="14"/>
  <c r="AM284" i="14"/>
  <c r="AM285" i="14"/>
  <c r="AM286" i="14"/>
  <c r="AM287" i="14"/>
  <c r="AM288" i="14"/>
  <c r="AM289" i="14"/>
  <c r="AM290" i="14"/>
  <c r="AM291" i="14"/>
  <c r="AM292" i="14"/>
  <c r="AM293" i="14"/>
  <c r="AM294" i="14"/>
  <c r="AM295" i="14"/>
  <c r="AM296" i="14"/>
  <c r="AM297" i="14"/>
  <c r="AM298" i="14"/>
  <c r="AM299" i="14"/>
  <c r="AM300" i="14"/>
  <c r="AM301" i="14"/>
  <c r="AM302" i="14"/>
  <c r="AM303" i="14"/>
  <c r="AM304" i="14"/>
  <c r="AM305" i="14"/>
  <c r="AM306" i="14"/>
  <c r="AM307" i="14"/>
  <c r="AM308" i="14"/>
  <c r="AM309" i="14"/>
  <c r="AM310" i="14"/>
  <c r="AM311" i="14"/>
  <c r="AM312" i="14"/>
  <c r="AM313" i="14"/>
  <c r="AM314" i="14"/>
  <c r="AM315" i="14"/>
  <c r="AM316" i="14"/>
  <c r="AM317" i="14"/>
  <c r="AM318" i="14"/>
  <c r="AM319" i="14"/>
  <c r="AM320" i="14"/>
  <c r="AM321" i="14"/>
  <c r="AM322" i="14"/>
  <c r="AM323" i="14"/>
  <c r="AM324" i="14"/>
  <c r="AM325" i="14"/>
  <c r="AM326" i="14"/>
  <c r="AM327" i="14"/>
  <c r="AM328" i="14"/>
  <c r="AM329" i="14"/>
  <c r="AM330" i="14"/>
  <c r="AM331" i="14"/>
  <c r="AM332" i="14"/>
  <c r="AM333" i="14"/>
  <c r="AM334" i="14"/>
  <c r="AM335" i="14"/>
  <c r="AM336" i="14"/>
  <c r="AM337" i="14"/>
  <c r="AM338" i="14"/>
  <c r="AM339" i="14"/>
  <c r="AM340" i="14"/>
  <c r="AM341" i="14"/>
  <c r="AM342" i="14"/>
  <c r="AM343" i="14"/>
  <c r="AM344" i="14"/>
  <c r="AM345" i="14"/>
  <c r="AM346" i="14"/>
  <c r="AM347" i="14"/>
  <c r="AM348" i="14"/>
  <c r="AM349" i="14"/>
  <c r="AM350" i="14"/>
  <c r="AM351" i="14"/>
  <c r="AM352" i="14"/>
  <c r="AM353" i="14"/>
  <c r="AM354" i="14"/>
  <c r="AM355" i="14"/>
  <c r="AM356" i="14"/>
  <c r="AM357" i="14"/>
  <c r="AM358" i="14"/>
  <c r="AM359" i="14"/>
  <c r="AM360" i="14"/>
  <c r="AM361" i="14"/>
  <c r="AM362" i="14"/>
  <c r="AM363" i="14"/>
  <c r="AM364" i="14"/>
  <c r="AM365" i="14"/>
  <c r="AM366" i="14"/>
  <c r="AM367" i="14"/>
  <c r="AM368" i="14"/>
  <c r="AM369" i="14"/>
  <c r="AM370" i="14"/>
  <c r="AM371" i="14"/>
  <c r="AM372" i="14"/>
  <c r="AM373" i="14"/>
  <c r="AM2" i="14"/>
  <c r="AL3" i="14"/>
  <c r="AL4" i="14"/>
  <c r="AL5" i="14"/>
  <c r="AL6" i="14"/>
  <c r="AL7" i="14"/>
  <c r="AL8" i="14"/>
  <c r="AL9" i="14"/>
  <c r="AL10" i="14"/>
  <c r="AL11" i="14"/>
  <c r="AL12" i="14"/>
  <c r="AL13" i="14"/>
  <c r="AL14" i="14"/>
  <c r="AL15"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39" i="14"/>
  <c r="AL40" i="14"/>
  <c r="AL41" i="14"/>
  <c r="AL42" i="14"/>
  <c r="AL43" i="14"/>
  <c r="AL44" i="14"/>
  <c r="AL45" i="14"/>
  <c r="AL46" i="14"/>
  <c r="AL47" i="14"/>
  <c r="AL48" i="14"/>
  <c r="AL49" i="14"/>
  <c r="AL50" i="14"/>
  <c r="AL51" i="14"/>
  <c r="AL52" i="14"/>
  <c r="AL53" i="14"/>
  <c r="AL54" i="14"/>
  <c r="AL55" i="14"/>
  <c r="AL56" i="14"/>
  <c r="AL57" i="14"/>
  <c r="AL58" i="14"/>
  <c r="AL59" i="14"/>
  <c r="AL60" i="14"/>
  <c r="AL61" i="14"/>
  <c r="AL62" i="14"/>
  <c r="AL63" i="14"/>
  <c r="AL64" i="14"/>
  <c r="AL65" i="14"/>
  <c r="AL66" i="14"/>
  <c r="AL67" i="14"/>
  <c r="AL68" i="14"/>
  <c r="AL69" i="14"/>
  <c r="AL70" i="14"/>
  <c r="AL71" i="14"/>
  <c r="AL72" i="14"/>
  <c r="AL73" i="14"/>
  <c r="AL74" i="14"/>
  <c r="AL75" i="14"/>
  <c r="AL76" i="14"/>
  <c r="AL77" i="14"/>
  <c r="AL78" i="14"/>
  <c r="AL79" i="14"/>
  <c r="AL80" i="14"/>
  <c r="AL81" i="14"/>
  <c r="AL82" i="14"/>
  <c r="AL83" i="14"/>
  <c r="AL84" i="14"/>
  <c r="AL85" i="14"/>
  <c r="AL86" i="14"/>
  <c r="AL87" i="14"/>
  <c r="AL88" i="14"/>
  <c r="AL89" i="14"/>
  <c r="AL90" i="14"/>
  <c r="AL91" i="14"/>
  <c r="AL92" i="14"/>
  <c r="AL93" i="14"/>
  <c r="AL94" i="14"/>
  <c r="AL95" i="14"/>
  <c r="AL96" i="14"/>
  <c r="AL97" i="14"/>
  <c r="AL98" i="14"/>
  <c r="AL99" i="14"/>
  <c r="AL100" i="14"/>
  <c r="AL101" i="14"/>
  <c r="AL102" i="14"/>
  <c r="AL103" i="14"/>
  <c r="AL104" i="14"/>
  <c r="AL105" i="14"/>
  <c r="AL106" i="14"/>
  <c r="AL107" i="14"/>
  <c r="AL108" i="14"/>
  <c r="AL109" i="14"/>
  <c r="AL110" i="14"/>
  <c r="AL111" i="14"/>
  <c r="AL112" i="14"/>
  <c r="AL113" i="14"/>
  <c r="AL114" i="14"/>
  <c r="AL115" i="14"/>
  <c r="AL116" i="14"/>
  <c r="AL117" i="14"/>
  <c r="AL118" i="14"/>
  <c r="AL119" i="14"/>
  <c r="AL120" i="14"/>
  <c r="AL121" i="14"/>
  <c r="AL122" i="14"/>
  <c r="AL123" i="14"/>
  <c r="AL124" i="14"/>
  <c r="AL125" i="14"/>
  <c r="AL126" i="14"/>
  <c r="AL127" i="14"/>
  <c r="AL128" i="14"/>
  <c r="AL129" i="14"/>
  <c r="AL130" i="14"/>
  <c r="AL131" i="14"/>
  <c r="AL132" i="14"/>
  <c r="AL133" i="14"/>
  <c r="AL134" i="14"/>
  <c r="AL135" i="14"/>
  <c r="AL136" i="14"/>
  <c r="AL137" i="14"/>
  <c r="AL138" i="14"/>
  <c r="AL139" i="14"/>
  <c r="AL140" i="14"/>
  <c r="AL141" i="14"/>
  <c r="AL142" i="14"/>
  <c r="AL143" i="14"/>
  <c r="AL144" i="14"/>
  <c r="AL145" i="14"/>
  <c r="AL146" i="14"/>
  <c r="AL147" i="14"/>
  <c r="AL148" i="14"/>
  <c r="AL149" i="14"/>
  <c r="AL150" i="14"/>
  <c r="AL151" i="14"/>
  <c r="AL152" i="14"/>
  <c r="AL153" i="14"/>
  <c r="AL154" i="14"/>
  <c r="AL155" i="14"/>
  <c r="AL156" i="14"/>
  <c r="AL157" i="14"/>
  <c r="AL158" i="14"/>
  <c r="AL159" i="14"/>
  <c r="AL160" i="14"/>
  <c r="AL161" i="14"/>
  <c r="AL162" i="14"/>
  <c r="AL163" i="14"/>
  <c r="AL164" i="14"/>
  <c r="AL165" i="14"/>
  <c r="AL166" i="14"/>
  <c r="AL167" i="14"/>
  <c r="AL168" i="14"/>
  <c r="AL169" i="14"/>
  <c r="AL170" i="14"/>
  <c r="AL171" i="14"/>
  <c r="AL172" i="14"/>
  <c r="AL173" i="14"/>
  <c r="AL174" i="14"/>
  <c r="AL175" i="14"/>
  <c r="AL176" i="14"/>
  <c r="AL177" i="14"/>
  <c r="AL178" i="14"/>
  <c r="AL179" i="14"/>
  <c r="AL180" i="14"/>
  <c r="AL181" i="14"/>
  <c r="AL182" i="14"/>
  <c r="AL183" i="14"/>
  <c r="AL184" i="14"/>
  <c r="AL185" i="14"/>
  <c r="AL186" i="14"/>
  <c r="AL187" i="14"/>
  <c r="AL188" i="14"/>
  <c r="AL189" i="14"/>
  <c r="AL190" i="14"/>
  <c r="AL191" i="14"/>
  <c r="AL192" i="14"/>
  <c r="AL193" i="14"/>
  <c r="AL194" i="14"/>
  <c r="AL195" i="14"/>
  <c r="AL196" i="14"/>
  <c r="AL197" i="14"/>
  <c r="AL198" i="14"/>
  <c r="AL199" i="14"/>
  <c r="AL200" i="14"/>
  <c r="AL201" i="14"/>
  <c r="AL202" i="14"/>
  <c r="AL203" i="14"/>
  <c r="AL204" i="14"/>
  <c r="AL205" i="14"/>
  <c r="AL206" i="14"/>
  <c r="AL207" i="14"/>
  <c r="AL208" i="14"/>
  <c r="AL209" i="14"/>
  <c r="AL210" i="14"/>
  <c r="AL211" i="14"/>
  <c r="AL212" i="14"/>
  <c r="AL213" i="14"/>
  <c r="AL214" i="14"/>
  <c r="AL215" i="14"/>
  <c r="AL216" i="14"/>
  <c r="AL217" i="14"/>
  <c r="AL218" i="14"/>
  <c r="AL219" i="14"/>
  <c r="AL220" i="14"/>
  <c r="AL221" i="14"/>
  <c r="AL222" i="14"/>
  <c r="AL223" i="14"/>
  <c r="AL224" i="14"/>
  <c r="AL225" i="14"/>
  <c r="AL226" i="14"/>
  <c r="AL227" i="14"/>
  <c r="AL228" i="14"/>
  <c r="AL229" i="14"/>
  <c r="AL230" i="14"/>
  <c r="AL231" i="14"/>
  <c r="AL232" i="14"/>
  <c r="AL233" i="14"/>
  <c r="AL234" i="14"/>
  <c r="AL235" i="14"/>
  <c r="AL236" i="14"/>
  <c r="AL237" i="14"/>
  <c r="AL238" i="14"/>
  <c r="AL239" i="14"/>
  <c r="AL240" i="14"/>
  <c r="AL241" i="14"/>
  <c r="AL242" i="14"/>
  <c r="AL243" i="14"/>
  <c r="AL244" i="14"/>
  <c r="AL245" i="14"/>
  <c r="AL246" i="14"/>
  <c r="AL247" i="14"/>
  <c r="AL248" i="14"/>
  <c r="AL249" i="14"/>
  <c r="AL250" i="14"/>
  <c r="AL251" i="14"/>
  <c r="AL252" i="14"/>
  <c r="AL253" i="14"/>
  <c r="AL254" i="14"/>
  <c r="AL255" i="14"/>
  <c r="AL256" i="14"/>
  <c r="AL257" i="14"/>
  <c r="AL258" i="14"/>
  <c r="AL259" i="14"/>
  <c r="AL260" i="14"/>
  <c r="AL261" i="14"/>
  <c r="AL262" i="14"/>
  <c r="AL263" i="14"/>
  <c r="AL264" i="14"/>
  <c r="AL265" i="14"/>
  <c r="AL266" i="14"/>
  <c r="AL267" i="14"/>
  <c r="AL268" i="14"/>
  <c r="AL269" i="14"/>
  <c r="AL270" i="14"/>
  <c r="AL271" i="14"/>
  <c r="AL272" i="14"/>
  <c r="AL273" i="14"/>
  <c r="AL274" i="14"/>
  <c r="AL275" i="14"/>
  <c r="AL276" i="14"/>
  <c r="AL277" i="14"/>
  <c r="AL278" i="14"/>
  <c r="AL279" i="14"/>
  <c r="AL280" i="14"/>
  <c r="AL281" i="14"/>
  <c r="AL282" i="14"/>
  <c r="AL283" i="14"/>
  <c r="AL284" i="14"/>
  <c r="AL285" i="14"/>
  <c r="AL286" i="14"/>
  <c r="AL287" i="14"/>
  <c r="AL288" i="14"/>
  <c r="AL289" i="14"/>
  <c r="AL290" i="14"/>
  <c r="AL291" i="14"/>
  <c r="AL292" i="14"/>
  <c r="AL293" i="14"/>
  <c r="AL294" i="14"/>
  <c r="AL295" i="14"/>
  <c r="AL296" i="14"/>
  <c r="AL297" i="14"/>
  <c r="AL298" i="14"/>
  <c r="AL299" i="14"/>
  <c r="AL300" i="14"/>
  <c r="AL301" i="14"/>
  <c r="AL302" i="14"/>
  <c r="AL303" i="14"/>
  <c r="AL304" i="14"/>
  <c r="AL305" i="14"/>
  <c r="AL306" i="14"/>
  <c r="AL307" i="14"/>
  <c r="AL308" i="14"/>
  <c r="AL309" i="14"/>
  <c r="AL310" i="14"/>
  <c r="AL311" i="14"/>
  <c r="AL312" i="14"/>
  <c r="AL313" i="14"/>
  <c r="AL314" i="14"/>
  <c r="AL315" i="14"/>
  <c r="AL316" i="14"/>
  <c r="AL317" i="14"/>
  <c r="AL318" i="14"/>
  <c r="AL319" i="14"/>
  <c r="AL320" i="14"/>
  <c r="AL321" i="14"/>
  <c r="AL322" i="14"/>
  <c r="AL323" i="14"/>
  <c r="AL324" i="14"/>
  <c r="AL325" i="14"/>
  <c r="AL326" i="14"/>
  <c r="AL327" i="14"/>
  <c r="AL328" i="14"/>
  <c r="AL329" i="14"/>
  <c r="AL330" i="14"/>
  <c r="AL331" i="14"/>
  <c r="AL332" i="14"/>
  <c r="AL333" i="14"/>
  <c r="AL334" i="14"/>
  <c r="AL335" i="14"/>
  <c r="AL336" i="14"/>
  <c r="AL337" i="14"/>
  <c r="AL338" i="14"/>
  <c r="AL339" i="14"/>
  <c r="AL340" i="14"/>
  <c r="AL341" i="14"/>
  <c r="AL342" i="14"/>
  <c r="AL343" i="14"/>
  <c r="AL344" i="14"/>
  <c r="AL345" i="14"/>
  <c r="AL346" i="14"/>
  <c r="AL347" i="14"/>
  <c r="AL348" i="14"/>
  <c r="AL349" i="14"/>
  <c r="AL350" i="14"/>
  <c r="AL351" i="14"/>
  <c r="AL352" i="14"/>
  <c r="AL353" i="14"/>
  <c r="AL354" i="14"/>
  <c r="AL355" i="14"/>
  <c r="AL356" i="14"/>
  <c r="AL357" i="14"/>
  <c r="AL358" i="14"/>
  <c r="AL359" i="14"/>
  <c r="AL360" i="14"/>
  <c r="AL361" i="14"/>
  <c r="AL362" i="14"/>
  <c r="AL363" i="14"/>
  <c r="AL364" i="14"/>
  <c r="AL365" i="14"/>
  <c r="AL366" i="14"/>
  <c r="AL367" i="14"/>
  <c r="AL368" i="14"/>
  <c r="AL369" i="14"/>
  <c r="AL370" i="14"/>
  <c r="AL371" i="14"/>
  <c r="AL372" i="14"/>
  <c r="AL373" i="14"/>
  <c r="AL2" i="14"/>
  <c r="AK3" i="14"/>
  <c r="AK4" i="14"/>
  <c r="AK6" i="14"/>
  <c r="AK7" i="14"/>
  <c r="AK9" i="14"/>
  <c r="AK10" i="14"/>
  <c r="AK12" i="14"/>
  <c r="AK13" i="14"/>
  <c r="AK15" i="14"/>
  <c r="AK16" i="14"/>
  <c r="AK18" i="14"/>
  <c r="AK19" i="14"/>
  <c r="AK21" i="14"/>
  <c r="AK22" i="14"/>
  <c r="AK24" i="14"/>
  <c r="AK25" i="14"/>
  <c r="AK27" i="14"/>
  <c r="AK28" i="14"/>
  <c r="AK30" i="14"/>
  <c r="AK31" i="14"/>
  <c r="AK33" i="14"/>
  <c r="AK34" i="14"/>
  <c r="AK36" i="14"/>
  <c r="AK37" i="14"/>
  <c r="AK39" i="14"/>
  <c r="AK40" i="14"/>
  <c r="AK42" i="14"/>
  <c r="AK43" i="14"/>
  <c r="AK45" i="14"/>
  <c r="AK46" i="14"/>
  <c r="AK48" i="14"/>
  <c r="AK49" i="14"/>
  <c r="AK51" i="14"/>
  <c r="AK52" i="14"/>
  <c r="AK54" i="14"/>
  <c r="AK55" i="14"/>
  <c r="AK57" i="14"/>
  <c r="AK58" i="14"/>
  <c r="AK60" i="14"/>
  <c r="AK61" i="14"/>
  <c r="AK63" i="14"/>
  <c r="AK64" i="14"/>
  <c r="AK66" i="14"/>
  <c r="AK67" i="14"/>
  <c r="AK69" i="14"/>
  <c r="AK70" i="14"/>
  <c r="AK72" i="14"/>
  <c r="AK73" i="14"/>
  <c r="AK75" i="14"/>
  <c r="AK76" i="14"/>
  <c r="AK78" i="14"/>
  <c r="AK79" i="14"/>
  <c r="AK81" i="14"/>
  <c r="AK82" i="14"/>
  <c r="AK84" i="14"/>
  <c r="AK85" i="14"/>
  <c r="AK87" i="14"/>
  <c r="AK88" i="14"/>
  <c r="AK90" i="14"/>
  <c r="AK91" i="14"/>
  <c r="AK93" i="14"/>
  <c r="AK94" i="14"/>
  <c r="AK96" i="14"/>
  <c r="AK97" i="14"/>
  <c r="AK99" i="14"/>
  <c r="AK100" i="14"/>
  <c r="AK102" i="14"/>
  <c r="AK103" i="14"/>
  <c r="AK105" i="14"/>
  <c r="AK106" i="14"/>
  <c r="AK108" i="14"/>
  <c r="AK109" i="14"/>
  <c r="AK111" i="14"/>
  <c r="AK112" i="14"/>
  <c r="AK114" i="14"/>
  <c r="AK115" i="14"/>
  <c r="AK117" i="14"/>
  <c r="AK118" i="14"/>
  <c r="AK120" i="14"/>
  <c r="AK121" i="14"/>
  <c r="AK123" i="14"/>
  <c r="AK124" i="14"/>
  <c r="AK126" i="14"/>
  <c r="AK127" i="14"/>
  <c r="AK129" i="14"/>
  <c r="AK130" i="14"/>
  <c r="AK132" i="14"/>
  <c r="AK133" i="14"/>
  <c r="AK135" i="14"/>
  <c r="AK136" i="14"/>
  <c r="AK138" i="14"/>
  <c r="AK139" i="14"/>
  <c r="AK141" i="14"/>
  <c r="AK142" i="14"/>
  <c r="AK144" i="14"/>
  <c r="AK145" i="14"/>
  <c r="AK147" i="14"/>
  <c r="AK148" i="14"/>
  <c r="AK150" i="14"/>
  <c r="AK151" i="14"/>
  <c r="AK153" i="14"/>
  <c r="AK154" i="14"/>
  <c r="AK156" i="14"/>
  <c r="AK157" i="14"/>
  <c r="AK159" i="14"/>
  <c r="AK160" i="14"/>
  <c r="AK162" i="14"/>
  <c r="AK163" i="14"/>
  <c r="AK165" i="14"/>
  <c r="AK166" i="14"/>
  <c r="AK168" i="14"/>
  <c r="AK169" i="14"/>
  <c r="AK171" i="14"/>
  <c r="AK172" i="14"/>
  <c r="AK174" i="14"/>
  <c r="AK175" i="14"/>
  <c r="AK177" i="14"/>
  <c r="AK178" i="14"/>
  <c r="AK180" i="14"/>
  <c r="AK181" i="14"/>
  <c r="AK183" i="14"/>
  <c r="AK184" i="14"/>
  <c r="AK186" i="14"/>
  <c r="AK187" i="14"/>
  <c r="AK189" i="14"/>
  <c r="AK190" i="14"/>
  <c r="AK192" i="14"/>
  <c r="AK193" i="14"/>
  <c r="AK195" i="14"/>
  <c r="AK196" i="14"/>
  <c r="AK198" i="14"/>
  <c r="AK199" i="14"/>
  <c r="AK201" i="14"/>
  <c r="AK202" i="14"/>
  <c r="AK204" i="14"/>
  <c r="AK205" i="14"/>
  <c r="AK207" i="14"/>
  <c r="AK208" i="14"/>
  <c r="AK210" i="14"/>
  <c r="AK211" i="14"/>
  <c r="AK213" i="14"/>
  <c r="AK214" i="14"/>
  <c r="AK216" i="14"/>
  <c r="AK217" i="14"/>
  <c r="AK219" i="14"/>
  <c r="AK220" i="14"/>
  <c r="AK222" i="14"/>
  <c r="AK223" i="14"/>
  <c r="AK225" i="14"/>
  <c r="AK226" i="14"/>
  <c r="AK228" i="14"/>
  <c r="AK229" i="14"/>
  <c r="AK231" i="14"/>
  <c r="AK232" i="14"/>
  <c r="AK234" i="14"/>
  <c r="AK235" i="14"/>
  <c r="AK237" i="14"/>
  <c r="AK238" i="14"/>
  <c r="AK240" i="14"/>
  <c r="AK241" i="14"/>
  <c r="AK243" i="14"/>
  <c r="AK244" i="14"/>
  <c r="AK246" i="14"/>
  <c r="AK247" i="14"/>
  <c r="AK249" i="14"/>
  <c r="AK250" i="14"/>
  <c r="AK252" i="14"/>
  <c r="AK253" i="14"/>
  <c r="AK255" i="14"/>
  <c r="AK256" i="14"/>
  <c r="AK258" i="14"/>
  <c r="AK259" i="14"/>
  <c r="AK261" i="14"/>
  <c r="AK262" i="14"/>
  <c r="AK267" i="14"/>
  <c r="AK268" i="14"/>
  <c r="AK270" i="14"/>
  <c r="AK271" i="14"/>
  <c r="AK273" i="14"/>
  <c r="AK274" i="14"/>
  <c r="AK276" i="14"/>
  <c r="AK277" i="14"/>
  <c r="AK279" i="14"/>
  <c r="AK280" i="14"/>
  <c r="AK282" i="14"/>
  <c r="AK283" i="14"/>
  <c r="AK285" i="14"/>
  <c r="AK286" i="14"/>
  <c r="AK288" i="14"/>
  <c r="AK289" i="14"/>
  <c r="AK291" i="14"/>
  <c r="AK292" i="14"/>
  <c r="AK294" i="14"/>
  <c r="AK295" i="14"/>
  <c r="AK297" i="14"/>
  <c r="AK298" i="14"/>
  <c r="AK300" i="14"/>
  <c r="AK301" i="14"/>
  <c r="AK303" i="14"/>
  <c r="AK304" i="14"/>
  <c r="AK306" i="14"/>
  <c r="AK307" i="14"/>
  <c r="AK309" i="14"/>
  <c r="AK310" i="14"/>
  <c r="AK312" i="14"/>
  <c r="AK313" i="14"/>
  <c r="AK315" i="14"/>
  <c r="AK316" i="14"/>
  <c r="AK318" i="14"/>
  <c r="AK319" i="14"/>
  <c r="AK321" i="14"/>
  <c r="AK322" i="14"/>
  <c r="AK324" i="14"/>
  <c r="AK325" i="14"/>
  <c r="AK327" i="14"/>
  <c r="AK328" i="14"/>
  <c r="AK330" i="14"/>
  <c r="AK331" i="14"/>
  <c r="AK333" i="14"/>
  <c r="AK334" i="14"/>
  <c r="AK336" i="14"/>
  <c r="AK337" i="14"/>
  <c r="AK339" i="14"/>
  <c r="AK340" i="14"/>
  <c r="AK342" i="14"/>
  <c r="AK343" i="14"/>
  <c r="AK345" i="14"/>
  <c r="AK346" i="14"/>
  <c r="AK348" i="14"/>
  <c r="AK349" i="14"/>
  <c r="AK351" i="14"/>
  <c r="AK352" i="14"/>
  <c r="AK354" i="14"/>
  <c r="AK355" i="14"/>
  <c r="AK357" i="14"/>
  <c r="AK358" i="14"/>
  <c r="AK360" i="14"/>
  <c r="AK361" i="14"/>
  <c r="AK363" i="14"/>
  <c r="AK364" i="14"/>
  <c r="AK366" i="14"/>
  <c r="AK367" i="14"/>
  <c r="AK369" i="14"/>
  <c r="AK370" i="14"/>
  <c r="AK372" i="14"/>
  <c r="AK373" i="14"/>
  <c r="AJ3" i="14"/>
  <c r="AJ4" i="14"/>
  <c r="AJ5" i="14"/>
  <c r="AJ6" i="14"/>
  <c r="AJ7" i="14"/>
  <c r="AJ8" i="14"/>
  <c r="AJ9" i="14"/>
  <c r="AJ10" i="14"/>
  <c r="AJ11" i="14"/>
  <c r="AJ12" i="14"/>
  <c r="AJ13" i="14"/>
  <c r="AJ14" i="14"/>
  <c r="AJ15" i="14"/>
  <c r="AJ16" i="14"/>
  <c r="AJ17" i="14"/>
  <c r="AJ18" i="14"/>
  <c r="AJ19" i="14"/>
  <c r="AJ20" i="14"/>
  <c r="AJ21" i="14"/>
  <c r="AJ22" i="14"/>
  <c r="AJ23" i="14"/>
  <c r="AJ24" i="14"/>
  <c r="AJ25" i="14"/>
  <c r="AJ26" i="14"/>
  <c r="AJ27" i="14"/>
  <c r="AJ28" i="14"/>
  <c r="AJ29" i="14"/>
  <c r="AJ30" i="14"/>
  <c r="AJ31" i="14"/>
  <c r="AJ32" i="14"/>
  <c r="AJ33" i="14"/>
  <c r="AJ34" i="14"/>
  <c r="AJ35" i="14"/>
  <c r="AJ36" i="14"/>
  <c r="AJ37" i="14"/>
  <c r="AJ38" i="14"/>
  <c r="AJ39" i="14"/>
  <c r="AJ40" i="14"/>
  <c r="AJ41" i="14"/>
  <c r="AJ42" i="14"/>
  <c r="AJ43" i="14"/>
  <c r="AJ44" i="14"/>
  <c r="AJ45" i="14"/>
  <c r="AJ46" i="14"/>
  <c r="AJ47" i="14"/>
  <c r="AJ48" i="14"/>
  <c r="AJ49" i="14"/>
  <c r="AJ50" i="14"/>
  <c r="AJ51" i="14"/>
  <c r="AJ52" i="14"/>
  <c r="AJ53" i="14"/>
  <c r="AJ54" i="14"/>
  <c r="AJ55" i="14"/>
  <c r="AJ56" i="14"/>
  <c r="AJ57" i="14"/>
  <c r="AJ58" i="14"/>
  <c r="AJ59" i="14"/>
  <c r="AJ60" i="14"/>
  <c r="AJ61" i="14"/>
  <c r="AJ62" i="14"/>
  <c r="AJ63" i="14"/>
  <c r="AJ64" i="14"/>
  <c r="AJ65" i="14"/>
  <c r="AJ66" i="14"/>
  <c r="AJ67" i="14"/>
  <c r="AJ68" i="14"/>
  <c r="AJ69" i="14"/>
  <c r="AJ70" i="14"/>
  <c r="AJ71" i="14"/>
  <c r="AJ72" i="14"/>
  <c r="AJ73" i="14"/>
  <c r="AJ74" i="14"/>
  <c r="AJ75" i="14"/>
  <c r="AJ76" i="14"/>
  <c r="AJ77" i="14"/>
  <c r="AJ78" i="14"/>
  <c r="AJ79" i="14"/>
  <c r="AJ80" i="14"/>
  <c r="AJ81" i="14"/>
  <c r="AJ82" i="14"/>
  <c r="AJ83" i="14"/>
  <c r="AJ84" i="14"/>
  <c r="AJ85" i="14"/>
  <c r="AJ86" i="14"/>
  <c r="AJ87" i="14"/>
  <c r="AJ88" i="14"/>
  <c r="AJ89" i="14"/>
  <c r="AJ90" i="14"/>
  <c r="AJ91" i="14"/>
  <c r="AJ92" i="14"/>
  <c r="AJ93" i="14"/>
  <c r="AJ94" i="14"/>
  <c r="AJ95" i="14"/>
  <c r="AJ96" i="14"/>
  <c r="AJ97" i="14"/>
  <c r="AJ98" i="14"/>
  <c r="AJ99" i="14"/>
  <c r="AJ100" i="14"/>
  <c r="AJ101" i="14"/>
  <c r="AJ102" i="14"/>
  <c r="AJ103" i="14"/>
  <c r="AJ104" i="14"/>
  <c r="AJ105" i="14"/>
  <c r="AJ106" i="14"/>
  <c r="AJ107" i="14"/>
  <c r="AJ108" i="14"/>
  <c r="AJ109" i="14"/>
  <c r="AJ110" i="14"/>
  <c r="AJ111" i="14"/>
  <c r="AJ112" i="14"/>
  <c r="AJ113" i="14"/>
  <c r="AJ114" i="14"/>
  <c r="AJ115" i="14"/>
  <c r="AJ116" i="14"/>
  <c r="AJ117" i="14"/>
  <c r="AJ118" i="14"/>
  <c r="AJ119" i="14"/>
  <c r="AJ120" i="14"/>
  <c r="AJ121" i="14"/>
  <c r="AJ122" i="14"/>
  <c r="AJ123" i="14"/>
  <c r="AJ124" i="14"/>
  <c r="AJ125" i="14"/>
  <c r="AJ126" i="14"/>
  <c r="AJ127" i="14"/>
  <c r="AJ128" i="14"/>
  <c r="AJ129" i="14"/>
  <c r="AJ130" i="14"/>
  <c r="AJ131" i="14"/>
  <c r="AJ132" i="14"/>
  <c r="AJ133" i="14"/>
  <c r="AJ134" i="14"/>
  <c r="AJ135" i="14"/>
  <c r="AJ136" i="14"/>
  <c r="AJ137" i="14"/>
  <c r="AJ138" i="14"/>
  <c r="AJ139" i="14"/>
  <c r="AJ140" i="14"/>
  <c r="AJ141" i="14"/>
  <c r="AJ142" i="14"/>
  <c r="AJ143" i="14"/>
  <c r="AJ144" i="14"/>
  <c r="AJ145" i="14"/>
  <c r="AJ146" i="14"/>
  <c r="AJ147" i="14"/>
  <c r="AJ148" i="14"/>
  <c r="AJ149" i="14"/>
  <c r="AJ150" i="14"/>
  <c r="AJ151" i="14"/>
  <c r="AJ152" i="14"/>
  <c r="AJ153" i="14"/>
  <c r="AJ154" i="14"/>
  <c r="AJ155" i="14"/>
  <c r="AJ156" i="14"/>
  <c r="AJ157" i="14"/>
  <c r="AJ158" i="14"/>
  <c r="AJ159" i="14"/>
  <c r="AJ160" i="14"/>
  <c r="AJ161" i="14"/>
  <c r="AJ162" i="14"/>
  <c r="AJ163" i="14"/>
  <c r="AJ164" i="14"/>
  <c r="AJ165" i="14"/>
  <c r="AJ166" i="14"/>
  <c r="AJ167" i="14"/>
  <c r="AJ168" i="14"/>
  <c r="AJ169" i="14"/>
  <c r="AJ170" i="14"/>
  <c r="AJ171" i="14"/>
  <c r="AJ172" i="14"/>
  <c r="AJ173" i="14"/>
  <c r="AJ174" i="14"/>
  <c r="AJ175" i="14"/>
  <c r="AJ176" i="14"/>
  <c r="AJ177" i="14"/>
  <c r="AJ178" i="14"/>
  <c r="AJ179" i="14"/>
  <c r="AJ180" i="14"/>
  <c r="AJ181" i="14"/>
  <c r="AJ182" i="14"/>
  <c r="AJ183" i="14"/>
  <c r="AJ184" i="14"/>
  <c r="AJ185" i="14"/>
  <c r="AJ186" i="14"/>
  <c r="AJ187" i="14"/>
  <c r="AJ188" i="14"/>
  <c r="AJ189" i="14"/>
  <c r="AJ190" i="14"/>
  <c r="AJ191" i="14"/>
  <c r="AJ192" i="14"/>
  <c r="AJ193" i="14"/>
  <c r="AJ194" i="14"/>
  <c r="AJ195" i="14"/>
  <c r="AJ196" i="14"/>
  <c r="AJ197" i="14"/>
  <c r="AJ198" i="14"/>
  <c r="AJ199" i="14"/>
  <c r="AJ200" i="14"/>
  <c r="AJ201" i="14"/>
  <c r="AJ202" i="14"/>
  <c r="AJ203" i="14"/>
  <c r="AJ204" i="14"/>
  <c r="AJ205" i="14"/>
  <c r="AJ206" i="14"/>
  <c r="AJ207" i="14"/>
  <c r="AJ208" i="14"/>
  <c r="AJ209" i="14"/>
  <c r="AJ210" i="14"/>
  <c r="AJ211" i="14"/>
  <c r="AJ212" i="14"/>
  <c r="AJ213" i="14"/>
  <c r="AJ214" i="14"/>
  <c r="AJ215" i="14"/>
  <c r="AJ216" i="14"/>
  <c r="AJ217" i="14"/>
  <c r="AJ218" i="14"/>
  <c r="AJ219" i="14"/>
  <c r="AJ220" i="14"/>
  <c r="AJ221" i="14"/>
  <c r="AJ222" i="14"/>
  <c r="AJ223" i="14"/>
  <c r="AJ224" i="14"/>
  <c r="AJ225" i="14"/>
  <c r="AJ226" i="14"/>
  <c r="AJ227" i="14"/>
  <c r="AJ228" i="14"/>
  <c r="AJ229" i="14"/>
  <c r="AJ230" i="14"/>
  <c r="AJ231" i="14"/>
  <c r="AJ232" i="14"/>
  <c r="AJ233" i="14"/>
  <c r="AJ234" i="14"/>
  <c r="AJ235" i="14"/>
  <c r="AJ236" i="14"/>
  <c r="AJ237" i="14"/>
  <c r="AJ238" i="14"/>
  <c r="AJ239" i="14"/>
  <c r="AJ240" i="14"/>
  <c r="AJ241" i="14"/>
  <c r="AJ242" i="14"/>
  <c r="AJ243" i="14"/>
  <c r="AJ244" i="14"/>
  <c r="AJ245" i="14"/>
  <c r="AJ246" i="14"/>
  <c r="AJ247" i="14"/>
  <c r="AJ248" i="14"/>
  <c r="AJ249" i="14"/>
  <c r="AJ250" i="14"/>
  <c r="AJ251" i="14"/>
  <c r="AJ252" i="14"/>
  <c r="AJ253" i="14"/>
  <c r="AJ254" i="14"/>
  <c r="AJ255" i="14"/>
  <c r="AJ256" i="14"/>
  <c r="AJ257" i="14"/>
  <c r="AJ258" i="14"/>
  <c r="AJ259" i="14"/>
  <c r="AJ260" i="14"/>
  <c r="AJ261" i="14"/>
  <c r="AJ262" i="14"/>
  <c r="AJ263" i="14"/>
  <c r="AJ264" i="14"/>
  <c r="AJ265" i="14"/>
  <c r="AJ266" i="14"/>
  <c r="AJ267" i="14"/>
  <c r="AJ268" i="14"/>
  <c r="AJ269" i="14"/>
  <c r="AJ270" i="14"/>
  <c r="AJ271" i="14"/>
  <c r="AJ272" i="14"/>
  <c r="AJ273" i="14"/>
  <c r="AJ274" i="14"/>
  <c r="AJ275" i="14"/>
  <c r="AJ276" i="14"/>
  <c r="AJ277" i="14"/>
  <c r="AJ278" i="14"/>
  <c r="AJ279" i="14"/>
  <c r="AJ280" i="14"/>
  <c r="AJ281" i="14"/>
  <c r="AJ282" i="14"/>
  <c r="AJ283" i="14"/>
  <c r="AJ284" i="14"/>
  <c r="AJ285" i="14"/>
  <c r="AJ286" i="14"/>
  <c r="AJ287" i="14"/>
  <c r="AJ288" i="14"/>
  <c r="AJ289" i="14"/>
  <c r="AJ290" i="14"/>
  <c r="AJ291" i="14"/>
  <c r="AJ292" i="14"/>
  <c r="AJ293" i="14"/>
  <c r="AJ294" i="14"/>
  <c r="AJ295" i="14"/>
  <c r="AJ296" i="14"/>
  <c r="AJ297" i="14"/>
  <c r="AJ298" i="14"/>
  <c r="AJ299" i="14"/>
  <c r="AJ300" i="14"/>
  <c r="AJ301" i="14"/>
  <c r="AJ302" i="14"/>
  <c r="AJ303" i="14"/>
  <c r="AJ304" i="14"/>
  <c r="AJ305" i="14"/>
  <c r="AJ306" i="14"/>
  <c r="AJ307" i="14"/>
  <c r="AJ308" i="14"/>
  <c r="AJ309" i="14"/>
  <c r="AJ310" i="14"/>
  <c r="AJ311" i="14"/>
  <c r="AJ312" i="14"/>
  <c r="AJ313" i="14"/>
  <c r="AJ314" i="14"/>
  <c r="AJ315" i="14"/>
  <c r="AJ316" i="14"/>
  <c r="AJ317" i="14"/>
  <c r="AJ318" i="14"/>
  <c r="AJ319" i="14"/>
  <c r="AJ320" i="14"/>
  <c r="AJ321" i="14"/>
  <c r="AJ322" i="14"/>
  <c r="AJ323" i="14"/>
  <c r="AJ324" i="14"/>
  <c r="AJ325" i="14"/>
  <c r="AJ326" i="14"/>
  <c r="AJ327" i="14"/>
  <c r="AJ328" i="14"/>
  <c r="AJ329" i="14"/>
  <c r="AJ330" i="14"/>
  <c r="AJ331" i="14"/>
  <c r="AJ332" i="14"/>
  <c r="AJ333" i="14"/>
  <c r="AJ334" i="14"/>
  <c r="AJ335" i="14"/>
  <c r="AJ336" i="14"/>
  <c r="AJ337" i="14"/>
  <c r="AJ338" i="14"/>
  <c r="AJ339" i="14"/>
  <c r="AJ340" i="14"/>
  <c r="AJ341" i="14"/>
  <c r="AJ342" i="14"/>
  <c r="AJ343" i="14"/>
  <c r="AJ344" i="14"/>
  <c r="AJ345" i="14"/>
  <c r="AJ346" i="14"/>
  <c r="AJ347" i="14"/>
  <c r="AJ348" i="14"/>
  <c r="AJ349" i="14"/>
  <c r="AJ350" i="14"/>
  <c r="AJ351" i="14"/>
  <c r="AJ352" i="14"/>
  <c r="AJ353" i="14"/>
  <c r="AJ354" i="14"/>
  <c r="AJ355" i="14"/>
  <c r="AJ356" i="14"/>
  <c r="AJ357" i="14"/>
  <c r="AJ358" i="14"/>
  <c r="AJ359" i="14"/>
  <c r="AJ360" i="14"/>
  <c r="AJ361" i="14"/>
  <c r="AJ362" i="14"/>
  <c r="AJ363" i="14"/>
  <c r="AJ364" i="14"/>
  <c r="AJ365" i="14"/>
  <c r="AJ366" i="14"/>
  <c r="AJ367" i="14"/>
  <c r="AJ368" i="14"/>
  <c r="AJ369" i="14"/>
  <c r="AJ370" i="14"/>
  <c r="AJ371" i="14"/>
  <c r="AJ372" i="14"/>
  <c r="AJ373" i="14"/>
  <c r="AJ2" i="14"/>
  <c r="AI3" i="14"/>
  <c r="AI4" i="14"/>
  <c r="AI5" i="14"/>
  <c r="AI6" i="14"/>
  <c r="AI7" i="14"/>
  <c r="AI8" i="14"/>
  <c r="AI9" i="14"/>
  <c r="AI10" i="14"/>
  <c r="AI11" i="14"/>
  <c r="AI12" i="14"/>
  <c r="AI13" i="14"/>
  <c r="AI14" i="14"/>
  <c r="AI15" i="14"/>
  <c r="AI16" i="14"/>
  <c r="AI17" i="14"/>
  <c r="AI18" i="14"/>
  <c r="AI19" i="14"/>
  <c r="AI20" i="14"/>
  <c r="AI21" i="14"/>
  <c r="AI22" i="14"/>
  <c r="AI23" i="14"/>
  <c r="AI24" i="14"/>
  <c r="AI25" i="14"/>
  <c r="AI26" i="14"/>
  <c r="AI27" i="14"/>
  <c r="AI28" i="14"/>
  <c r="AI29" i="14"/>
  <c r="AI30" i="14"/>
  <c r="AI31" i="14"/>
  <c r="AI32" i="14"/>
  <c r="AI33" i="14"/>
  <c r="AI34" i="14"/>
  <c r="AI35" i="14"/>
  <c r="AI36" i="14"/>
  <c r="AI37" i="14"/>
  <c r="AI38" i="14"/>
  <c r="AI39" i="14"/>
  <c r="AI40" i="14"/>
  <c r="AI41" i="14"/>
  <c r="AI42" i="14"/>
  <c r="AI43" i="14"/>
  <c r="AI44" i="14"/>
  <c r="AI45" i="14"/>
  <c r="AI46" i="14"/>
  <c r="AI47" i="14"/>
  <c r="AI48" i="14"/>
  <c r="AI49" i="14"/>
  <c r="AI50" i="14"/>
  <c r="AI51" i="14"/>
  <c r="AI52" i="14"/>
  <c r="AI53" i="14"/>
  <c r="AI54" i="14"/>
  <c r="AI55" i="14"/>
  <c r="AI56" i="14"/>
  <c r="AI57" i="14"/>
  <c r="AI58" i="14"/>
  <c r="AI59" i="14"/>
  <c r="AI60" i="14"/>
  <c r="AI61" i="14"/>
  <c r="AI62" i="14"/>
  <c r="AI63" i="14"/>
  <c r="AI64" i="14"/>
  <c r="AI65" i="14"/>
  <c r="AI66" i="14"/>
  <c r="AI67" i="14"/>
  <c r="AI68" i="14"/>
  <c r="AI69" i="14"/>
  <c r="AI70" i="14"/>
  <c r="AI71" i="14"/>
  <c r="AI72" i="14"/>
  <c r="AI73" i="14"/>
  <c r="AI74" i="14"/>
  <c r="AI75" i="14"/>
  <c r="AI76" i="14"/>
  <c r="AI77" i="14"/>
  <c r="AI78" i="14"/>
  <c r="AI79" i="14"/>
  <c r="AI80" i="14"/>
  <c r="AI81" i="14"/>
  <c r="AI82" i="14"/>
  <c r="AI83" i="14"/>
  <c r="AI84" i="14"/>
  <c r="AI85" i="14"/>
  <c r="AI86" i="14"/>
  <c r="AI87" i="14"/>
  <c r="AI88" i="14"/>
  <c r="AI89" i="14"/>
  <c r="AI90" i="14"/>
  <c r="AI91" i="14"/>
  <c r="AI92" i="14"/>
  <c r="AI93" i="14"/>
  <c r="AI94" i="14"/>
  <c r="AI95" i="14"/>
  <c r="AI96" i="14"/>
  <c r="AI97" i="14"/>
  <c r="AI98" i="14"/>
  <c r="AI99" i="14"/>
  <c r="AI100" i="14"/>
  <c r="AI101" i="14"/>
  <c r="AI102" i="14"/>
  <c r="AI103" i="14"/>
  <c r="AI104" i="14"/>
  <c r="AI105" i="14"/>
  <c r="AI106" i="14"/>
  <c r="AI107" i="14"/>
  <c r="AI108" i="14"/>
  <c r="AI109" i="14"/>
  <c r="AI110" i="14"/>
  <c r="AI111" i="14"/>
  <c r="AI112" i="14"/>
  <c r="AI113" i="14"/>
  <c r="AI114" i="14"/>
  <c r="AI115" i="14"/>
  <c r="AI116" i="14"/>
  <c r="AI117" i="14"/>
  <c r="AI118" i="14"/>
  <c r="AI119" i="14"/>
  <c r="AI120" i="14"/>
  <c r="AI121" i="14"/>
  <c r="AI122" i="14"/>
  <c r="AI123" i="14"/>
  <c r="AI124" i="14"/>
  <c r="AI125" i="14"/>
  <c r="AI126" i="14"/>
  <c r="AI127" i="14"/>
  <c r="AI128" i="14"/>
  <c r="AI129" i="14"/>
  <c r="AI130" i="14"/>
  <c r="AI131" i="14"/>
  <c r="AI132" i="14"/>
  <c r="AI133" i="14"/>
  <c r="AI134" i="14"/>
  <c r="AI135" i="14"/>
  <c r="AI136" i="14"/>
  <c r="AI137" i="14"/>
  <c r="AI138" i="14"/>
  <c r="AI139" i="14"/>
  <c r="AI140" i="14"/>
  <c r="AI141" i="14"/>
  <c r="AI142" i="14"/>
  <c r="AI143" i="14"/>
  <c r="AI144" i="14"/>
  <c r="AI145" i="14"/>
  <c r="AI146" i="14"/>
  <c r="AI147" i="14"/>
  <c r="AI148" i="14"/>
  <c r="AI149" i="14"/>
  <c r="AI150" i="14"/>
  <c r="AI151" i="14"/>
  <c r="AI152" i="14"/>
  <c r="AI153" i="14"/>
  <c r="AI154" i="14"/>
  <c r="AI155" i="14"/>
  <c r="AI156" i="14"/>
  <c r="AI157" i="14"/>
  <c r="AI158" i="14"/>
  <c r="AI159" i="14"/>
  <c r="AI160" i="14"/>
  <c r="AI161" i="14"/>
  <c r="AI162" i="14"/>
  <c r="AI163" i="14"/>
  <c r="AI164" i="14"/>
  <c r="AI165" i="14"/>
  <c r="AI166" i="14"/>
  <c r="AI167" i="14"/>
  <c r="AI168" i="14"/>
  <c r="AI169" i="14"/>
  <c r="AI170" i="14"/>
  <c r="AI171" i="14"/>
  <c r="AI172" i="14"/>
  <c r="AI173" i="14"/>
  <c r="AI174" i="14"/>
  <c r="AI175" i="14"/>
  <c r="AI176" i="14"/>
  <c r="AI177" i="14"/>
  <c r="AI178" i="14"/>
  <c r="AI179" i="14"/>
  <c r="AI180" i="14"/>
  <c r="AI181" i="14"/>
  <c r="AI182" i="14"/>
  <c r="AI183" i="14"/>
  <c r="AI184" i="14"/>
  <c r="AI185" i="14"/>
  <c r="AI186" i="14"/>
  <c r="AI187" i="14"/>
  <c r="AI188" i="14"/>
  <c r="AI189" i="14"/>
  <c r="AI190" i="14"/>
  <c r="AI191" i="14"/>
  <c r="AI192" i="14"/>
  <c r="AI193" i="14"/>
  <c r="AI194" i="14"/>
  <c r="AI195" i="14"/>
  <c r="AI196" i="14"/>
  <c r="AI197" i="14"/>
  <c r="AI198" i="14"/>
  <c r="AI199" i="14"/>
  <c r="AI200" i="14"/>
  <c r="AI201" i="14"/>
  <c r="AI202" i="14"/>
  <c r="AI203" i="14"/>
  <c r="AI204" i="14"/>
  <c r="AI205" i="14"/>
  <c r="AI206" i="14"/>
  <c r="AI207" i="14"/>
  <c r="AI208" i="14"/>
  <c r="AI209" i="14"/>
  <c r="AI210" i="14"/>
  <c r="AI211" i="14"/>
  <c r="AI212" i="14"/>
  <c r="AI213" i="14"/>
  <c r="AI214" i="14"/>
  <c r="AI215" i="14"/>
  <c r="AI216" i="14"/>
  <c r="AI217" i="14"/>
  <c r="AI218" i="14"/>
  <c r="AI219" i="14"/>
  <c r="AI220" i="14"/>
  <c r="AI221" i="14"/>
  <c r="AI222" i="14"/>
  <c r="AI223" i="14"/>
  <c r="AI224" i="14"/>
  <c r="AI225" i="14"/>
  <c r="AI226" i="14"/>
  <c r="AI227" i="14"/>
  <c r="AI228" i="14"/>
  <c r="AI229" i="14"/>
  <c r="AI230" i="14"/>
  <c r="AI231" i="14"/>
  <c r="AI232" i="14"/>
  <c r="AI233" i="14"/>
  <c r="AI234" i="14"/>
  <c r="AI235" i="14"/>
  <c r="AI236" i="14"/>
  <c r="AI237" i="14"/>
  <c r="AI238" i="14"/>
  <c r="AI239" i="14"/>
  <c r="AI240" i="14"/>
  <c r="AI241" i="14"/>
  <c r="AI242" i="14"/>
  <c r="AI243" i="14"/>
  <c r="AI244" i="14"/>
  <c r="AI245" i="14"/>
  <c r="AI246" i="14"/>
  <c r="AI247" i="14"/>
  <c r="AI248" i="14"/>
  <c r="AI249" i="14"/>
  <c r="AI250" i="14"/>
  <c r="AI251" i="14"/>
  <c r="AI252" i="14"/>
  <c r="AI253" i="14"/>
  <c r="AI254" i="14"/>
  <c r="AI255" i="14"/>
  <c r="AI256" i="14"/>
  <c r="AI257" i="14"/>
  <c r="AI258" i="14"/>
  <c r="AI259" i="14"/>
  <c r="AI260" i="14"/>
  <c r="AI261" i="14"/>
  <c r="AI262" i="14"/>
  <c r="AI263" i="14"/>
  <c r="AI264" i="14"/>
  <c r="AI265" i="14"/>
  <c r="AI266" i="14"/>
  <c r="AI267" i="14"/>
  <c r="AI268" i="14"/>
  <c r="AI269" i="14"/>
  <c r="AI270" i="14"/>
  <c r="AI271" i="14"/>
  <c r="AI272" i="14"/>
  <c r="AI273" i="14"/>
  <c r="AI274" i="14"/>
  <c r="AI275" i="14"/>
  <c r="AI276" i="14"/>
  <c r="AI277" i="14"/>
  <c r="AI278" i="14"/>
  <c r="AI279" i="14"/>
  <c r="AI280" i="14"/>
  <c r="AI281" i="14"/>
  <c r="AI282" i="14"/>
  <c r="AI283" i="14"/>
  <c r="AI284" i="14"/>
  <c r="AI285" i="14"/>
  <c r="AI286" i="14"/>
  <c r="AI287" i="14"/>
  <c r="AI288" i="14"/>
  <c r="AI289" i="14"/>
  <c r="AI290" i="14"/>
  <c r="AI291" i="14"/>
  <c r="AI292" i="14"/>
  <c r="AI293" i="14"/>
  <c r="AI294" i="14"/>
  <c r="AI295" i="14"/>
  <c r="AI296" i="14"/>
  <c r="AI297" i="14"/>
  <c r="AI298" i="14"/>
  <c r="AI299" i="14"/>
  <c r="AI300" i="14"/>
  <c r="AI301" i="14"/>
  <c r="AI302" i="14"/>
  <c r="AI303" i="14"/>
  <c r="AI304" i="14"/>
  <c r="AI305" i="14"/>
  <c r="AI306" i="14"/>
  <c r="AI307" i="14"/>
  <c r="AI308" i="14"/>
  <c r="AI309" i="14"/>
  <c r="AI310" i="14"/>
  <c r="AI311" i="14"/>
  <c r="AI312" i="14"/>
  <c r="AI313" i="14"/>
  <c r="AI314" i="14"/>
  <c r="AI315" i="14"/>
  <c r="AI316" i="14"/>
  <c r="AI317" i="14"/>
  <c r="AI318" i="14"/>
  <c r="AI319" i="14"/>
  <c r="AI320" i="14"/>
  <c r="AI321" i="14"/>
  <c r="AI322" i="14"/>
  <c r="AI323" i="14"/>
  <c r="AI324" i="14"/>
  <c r="AI325" i="14"/>
  <c r="AI326" i="14"/>
  <c r="AI327" i="14"/>
  <c r="AI328" i="14"/>
  <c r="AI329" i="14"/>
  <c r="AI330" i="14"/>
  <c r="AI331" i="14"/>
  <c r="AI332" i="14"/>
  <c r="AI333" i="14"/>
  <c r="AI334" i="14"/>
  <c r="AI335" i="14"/>
  <c r="AI336" i="14"/>
  <c r="AI337" i="14"/>
  <c r="AI338" i="14"/>
  <c r="AI339" i="14"/>
  <c r="AI340" i="14"/>
  <c r="AI341" i="14"/>
  <c r="AI342" i="14"/>
  <c r="AI343" i="14"/>
  <c r="AI344" i="14"/>
  <c r="AI345" i="14"/>
  <c r="AI346" i="14"/>
  <c r="AI347" i="14"/>
  <c r="AI348" i="14"/>
  <c r="AI349" i="14"/>
  <c r="AI350" i="14"/>
  <c r="AI351" i="14"/>
  <c r="AI352" i="14"/>
  <c r="AI353" i="14"/>
  <c r="AI354" i="14"/>
  <c r="AI355" i="14"/>
  <c r="AI356" i="14"/>
  <c r="AI357" i="14"/>
  <c r="AI358" i="14"/>
  <c r="AI359" i="14"/>
  <c r="AI360" i="14"/>
  <c r="AI361" i="14"/>
  <c r="AI362" i="14"/>
  <c r="AI363" i="14"/>
  <c r="AI364" i="14"/>
  <c r="AI365" i="14"/>
  <c r="AI366" i="14"/>
  <c r="AI367" i="14"/>
  <c r="AI368" i="14"/>
  <c r="AI369" i="14"/>
  <c r="AI370" i="14"/>
  <c r="AI371" i="14"/>
  <c r="AI372" i="14"/>
  <c r="AI373" i="14"/>
  <c r="AI2" i="14"/>
  <c r="X371" i="14"/>
  <c r="AH371" i="14" s="1"/>
  <c r="X368" i="14"/>
  <c r="AN368" i="14" s="1"/>
  <c r="X365" i="14"/>
  <c r="AK365" i="14" s="1"/>
  <c r="X362" i="14"/>
  <c r="AN362" i="14" s="1"/>
  <c r="X359" i="14"/>
  <c r="AH359" i="14" s="1"/>
  <c r="X356" i="14"/>
  <c r="AH356" i="14" s="1"/>
  <c r="X353" i="14"/>
  <c r="AH353" i="14" s="1"/>
  <c r="X350" i="14"/>
  <c r="AK350" i="14" s="1"/>
  <c r="X347" i="14"/>
  <c r="AH347" i="14" s="1"/>
  <c r="X344" i="14"/>
  <c r="AK344" i="14" s="1"/>
  <c r="X341" i="14"/>
  <c r="AH341" i="14" s="1"/>
  <c r="X338" i="14"/>
  <c r="AK338" i="14" s="1"/>
  <c r="X335" i="14"/>
  <c r="AN335" i="14" s="1"/>
  <c r="X332" i="14"/>
  <c r="AH332" i="14" s="1"/>
  <c r="X329" i="14"/>
  <c r="AH329" i="14" s="1"/>
  <c r="X326" i="14"/>
  <c r="AH326" i="14" s="1"/>
  <c r="X323" i="14"/>
  <c r="AK323" i="14" s="1"/>
  <c r="X320" i="14"/>
  <c r="AH320" i="14" s="1"/>
  <c r="X317" i="14"/>
  <c r="AK317" i="14" s="1"/>
  <c r="X314" i="14"/>
  <c r="AH314" i="14" s="1"/>
  <c r="X311" i="14"/>
  <c r="AK311" i="14" s="1"/>
  <c r="X308" i="14"/>
  <c r="AN308" i="14" s="1"/>
  <c r="X305" i="14"/>
  <c r="AN305" i="14" s="1"/>
  <c r="X302" i="14"/>
  <c r="AK302" i="14" s="1"/>
  <c r="X299" i="14"/>
  <c r="AK299" i="14" s="1"/>
  <c r="X296" i="14"/>
  <c r="AH296" i="14" s="1"/>
  <c r="X293" i="14"/>
  <c r="AH293" i="14" s="1"/>
  <c r="X290" i="14"/>
  <c r="AK290" i="14" s="1"/>
  <c r="X287" i="14"/>
  <c r="AK287" i="14" s="1"/>
  <c r="X284" i="14"/>
  <c r="AN284" i="14" s="1"/>
  <c r="X281" i="14"/>
  <c r="AK281" i="14" s="1"/>
  <c r="X278" i="14"/>
  <c r="AN278" i="14" s="1"/>
  <c r="X275" i="14"/>
  <c r="AK275" i="14" s="1"/>
  <c r="X272" i="14"/>
  <c r="AK272" i="14" s="1"/>
  <c r="X269" i="14"/>
  <c r="AH269" i="14" s="1"/>
  <c r="X266" i="14"/>
  <c r="AK266" i="14" s="1"/>
  <c r="X265" i="14"/>
  <c r="AK265" i="14" s="1"/>
  <c r="X264" i="14"/>
  <c r="AH264" i="14" s="1"/>
  <c r="X263" i="14"/>
  <c r="AH263" i="14" s="1"/>
  <c r="X260" i="14"/>
  <c r="AK260" i="14" s="1"/>
  <c r="X257" i="14"/>
  <c r="AH257" i="14" s="1"/>
  <c r="X254" i="14"/>
  <c r="AK254" i="14" s="1"/>
  <c r="X251" i="14"/>
  <c r="AN251" i="14" s="1"/>
  <c r="X248" i="14"/>
  <c r="AH248" i="14" s="1"/>
  <c r="X245" i="14"/>
  <c r="AK245" i="14" s="1"/>
  <c r="X242" i="14"/>
  <c r="AH242" i="14" s="1"/>
  <c r="X239" i="14"/>
  <c r="AH239" i="14" s="1"/>
  <c r="X236" i="14"/>
  <c r="AH236" i="14" s="1"/>
  <c r="X233" i="14"/>
  <c r="AK233" i="14" s="1"/>
  <c r="X230" i="14"/>
  <c r="AH230" i="14" s="1"/>
  <c r="X227" i="14"/>
  <c r="AK227" i="14" s="1"/>
  <c r="X224" i="14"/>
  <c r="AN224" i="14" s="1"/>
  <c r="X221" i="14"/>
  <c r="AN221" i="14" s="1"/>
  <c r="X218" i="14"/>
  <c r="AK218" i="14" s="1"/>
  <c r="X215" i="14"/>
  <c r="AK215" i="14" s="1"/>
  <c r="X212" i="14"/>
  <c r="AH212" i="14" s="1"/>
  <c r="X209" i="14"/>
  <c r="AH209" i="14" s="1"/>
  <c r="X206" i="14"/>
  <c r="AK206" i="14" s="1"/>
  <c r="X203" i="14"/>
  <c r="AH203" i="14" s="1"/>
  <c r="X200" i="14"/>
  <c r="AK200" i="14" s="1"/>
  <c r="X197" i="14"/>
  <c r="AK197" i="14" s="1"/>
  <c r="X194" i="14"/>
  <c r="AN194" i="14" s="1"/>
  <c r="X191" i="14"/>
  <c r="AH191" i="14" s="1"/>
  <c r="X188" i="14"/>
  <c r="AN188" i="14" s="1"/>
  <c r="X185" i="14"/>
  <c r="AH185" i="14" s="1"/>
  <c r="X182" i="14"/>
  <c r="AH182" i="14" s="1"/>
  <c r="X179" i="14"/>
  <c r="AH179" i="14" s="1"/>
  <c r="X176" i="14"/>
  <c r="AK176" i="14" s="1"/>
  <c r="X173" i="14"/>
  <c r="AH173" i="14" s="1"/>
  <c r="X170" i="14"/>
  <c r="AK170" i="14" s="1"/>
  <c r="X167" i="14"/>
  <c r="AN167" i="14" s="1"/>
  <c r="X164" i="14"/>
  <c r="AH164" i="14" s="1"/>
  <c r="X161" i="14"/>
  <c r="AN161" i="14" s="1"/>
  <c r="X158" i="14"/>
  <c r="AH158" i="14" s="1"/>
  <c r="X155" i="14"/>
  <c r="AH155" i="14" s="1"/>
  <c r="X152" i="14"/>
  <c r="AH152" i="14" s="1"/>
  <c r="X149" i="14"/>
  <c r="AK149" i="14" s="1"/>
  <c r="X146" i="14"/>
  <c r="AH146" i="14" s="1"/>
  <c r="X143" i="14"/>
  <c r="AK143" i="14" s="1"/>
  <c r="X140" i="14"/>
  <c r="AN140" i="14" s="1"/>
  <c r="X137" i="14"/>
  <c r="AN137" i="14" s="1"/>
  <c r="X134" i="14"/>
  <c r="AK134" i="14" s="1"/>
  <c r="X131" i="14"/>
  <c r="AN131" i="14" s="1"/>
  <c r="X128" i="14"/>
  <c r="AH128" i="14" s="1"/>
  <c r="X125" i="14"/>
  <c r="AH125" i="14" s="1"/>
  <c r="X122" i="14"/>
  <c r="AK122" i="14" s="1"/>
  <c r="X119" i="14"/>
  <c r="AH119" i="14" s="1"/>
  <c r="X116" i="14"/>
  <c r="AK116" i="14" s="1"/>
  <c r="X113" i="14"/>
  <c r="AK113" i="14" s="1"/>
  <c r="X110" i="14"/>
  <c r="AN110" i="14" s="1"/>
  <c r="X107" i="14"/>
  <c r="AK107" i="14" s="1"/>
  <c r="X104" i="14"/>
  <c r="AK104" i="14" s="1"/>
  <c r="X101" i="14"/>
  <c r="AH101" i="14" s="1"/>
  <c r="X98" i="14"/>
  <c r="AH98" i="14" s="1"/>
  <c r="X95" i="14"/>
  <c r="AH95" i="14" s="1"/>
  <c r="X92" i="14"/>
  <c r="AK92" i="14" s="1"/>
  <c r="X89" i="14"/>
  <c r="AH89" i="14" s="1"/>
  <c r="X86" i="14"/>
  <c r="AK86" i="14" s="1"/>
  <c r="X83" i="14"/>
  <c r="AN83" i="14" s="1"/>
  <c r="X80" i="14"/>
  <c r="AH80" i="14" s="1"/>
  <c r="X77" i="14"/>
  <c r="AH77" i="14" s="1"/>
  <c r="X74" i="14"/>
  <c r="AH74" i="14" s="1"/>
  <c r="X71" i="14"/>
  <c r="AH71" i="14" s="1"/>
  <c r="X68" i="14"/>
  <c r="AH68" i="14" s="1"/>
  <c r="X65" i="14"/>
  <c r="AH65" i="14" s="1"/>
  <c r="X62" i="14"/>
  <c r="AH62" i="14" s="1"/>
  <c r="X59" i="14"/>
  <c r="AN59" i="14" s="1"/>
  <c r="X56" i="14"/>
  <c r="AN56" i="14" s="1"/>
  <c r="X53" i="14"/>
  <c r="AN53" i="14" s="1"/>
  <c r="X50" i="14"/>
  <c r="AK50" i="14" s="1"/>
  <c r="X47" i="14"/>
  <c r="AN47" i="14" s="1"/>
  <c r="X44" i="14"/>
  <c r="AH44" i="14" s="1"/>
  <c r="X41" i="14"/>
  <c r="AH41" i="14" s="1"/>
  <c r="X38" i="14"/>
  <c r="AK38" i="14" s="1"/>
  <c r="X35" i="14"/>
  <c r="AH35" i="14" s="1"/>
  <c r="X32" i="14"/>
  <c r="AK32" i="14" s="1"/>
  <c r="X29" i="14"/>
  <c r="AK29" i="14" s="1"/>
  <c r="X26" i="14"/>
  <c r="AN26" i="14" s="1"/>
  <c r="X23" i="14"/>
  <c r="AN23" i="14" s="1"/>
  <c r="X20" i="14"/>
  <c r="AN20" i="14" s="1"/>
  <c r="X17" i="14"/>
  <c r="AH17" i="14" s="1"/>
  <c r="X14" i="14"/>
  <c r="AK14" i="14" s="1"/>
  <c r="X11" i="14"/>
  <c r="AH11" i="14" s="1"/>
  <c r="X8" i="14"/>
  <c r="AH8" i="14" s="1"/>
  <c r="X5" i="14"/>
  <c r="AH5" i="14" s="1"/>
  <c r="X2" i="14"/>
  <c r="AK2" i="14" s="1"/>
  <c r="C3" i="4"/>
  <c r="C2" i="4"/>
  <c r="C1" i="4"/>
  <c r="Q45" i="27" l="1"/>
  <c r="P54" i="27"/>
  <c r="P41" i="27"/>
  <c r="Q50" i="27"/>
  <c r="Q47" i="27"/>
  <c r="Q54" i="27"/>
  <c r="Q49" i="27"/>
  <c r="Q41" i="27"/>
  <c r="P49" i="27"/>
  <c r="Q52" i="27"/>
  <c r="Q42" i="27"/>
  <c r="Q46" i="27"/>
  <c r="Q44" i="27"/>
  <c r="Q53" i="27"/>
  <c r="Q48" i="27"/>
  <c r="Q51" i="27"/>
  <c r="Q43" i="27"/>
  <c r="P44" i="27"/>
  <c r="P46" i="27"/>
  <c r="P52" i="27"/>
  <c r="P50" i="27"/>
  <c r="O45" i="27"/>
  <c r="P45" i="27"/>
  <c r="P48" i="27"/>
  <c r="P51" i="27"/>
  <c r="P53" i="27"/>
  <c r="O46" i="27"/>
  <c r="O52" i="27"/>
  <c r="O42" i="27"/>
  <c r="O47" i="27"/>
  <c r="O41" i="27"/>
  <c r="O43" i="27"/>
  <c r="O54" i="27"/>
  <c r="O49" i="27"/>
  <c r="O44" i="27"/>
  <c r="O48" i="27"/>
  <c r="O51" i="27"/>
  <c r="O50" i="27"/>
  <c r="P42" i="27"/>
  <c r="P43" i="27"/>
  <c r="O53" i="27"/>
  <c r="P47" i="27"/>
  <c r="AZ27" i="27"/>
  <c r="AV30" i="27"/>
  <c r="AZ36" i="27"/>
  <c r="AZ33" i="27"/>
  <c r="AV37" i="27"/>
  <c r="AV36" i="27"/>
  <c r="AZ37" i="27"/>
  <c r="AV33" i="27"/>
  <c r="AV31" i="27"/>
  <c r="AZ30" i="27"/>
  <c r="AZ21" i="27"/>
  <c r="AZ12" i="27"/>
  <c r="AZ24" i="27"/>
  <c r="AV27" i="27"/>
  <c r="AV15" i="27"/>
  <c r="AV24" i="27"/>
  <c r="AZ15" i="27"/>
  <c r="AV21" i="27"/>
  <c r="AV9" i="27"/>
  <c r="AV12" i="27"/>
  <c r="AZ18" i="27"/>
  <c r="AZ9" i="27"/>
  <c r="AV18" i="27"/>
  <c r="AV34" i="27"/>
  <c r="AZ31" i="27"/>
  <c r="AZ34" i="27"/>
  <c r="AV28" i="27"/>
  <c r="AZ25" i="27"/>
  <c r="AV25" i="27"/>
  <c r="AZ28" i="27"/>
  <c r="AZ22" i="27"/>
  <c r="AV13" i="27"/>
  <c r="AZ19" i="27"/>
  <c r="AZ16" i="27"/>
  <c r="AZ10" i="27"/>
  <c r="AZ13" i="27"/>
  <c r="AV19" i="27"/>
  <c r="AV16" i="27"/>
  <c r="AV10" i="27"/>
  <c r="AV22" i="27"/>
  <c r="AZ29" i="27"/>
  <c r="AZ35" i="27"/>
  <c r="AZ5" i="27"/>
  <c r="AZ26" i="27"/>
  <c r="AV26" i="27"/>
  <c r="AZ32" i="27"/>
  <c r="AZ8" i="27"/>
  <c r="AZ14" i="27"/>
  <c r="AZ17" i="27"/>
  <c r="AZ20" i="27"/>
  <c r="AZ11" i="27"/>
  <c r="AZ23" i="27"/>
  <c r="AV14" i="27"/>
  <c r="AV11" i="27"/>
  <c r="AV17" i="27"/>
  <c r="BB17" i="27"/>
  <c r="AV29" i="27"/>
  <c r="BB2" i="27"/>
  <c r="AY14" i="27"/>
  <c r="BB29" i="27"/>
  <c r="AY26" i="27"/>
  <c r="BB14" i="27"/>
  <c r="BB26" i="27"/>
  <c r="AV2" i="27"/>
  <c r="AY5" i="27"/>
  <c r="BB8" i="27"/>
  <c r="AV8" i="27"/>
  <c r="AY11" i="27"/>
  <c r="AV35" i="27"/>
  <c r="AV5" i="27"/>
  <c r="BB11" i="27"/>
  <c r="AV32" i="27"/>
  <c r="AY35" i="27"/>
  <c r="AY32" i="27"/>
  <c r="AV23" i="27"/>
  <c r="AV20" i="27"/>
  <c r="AY23" i="27"/>
  <c r="AY17" i="27"/>
  <c r="AY20" i="27"/>
  <c r="AN332" i="14"/>
  <c r="AK80" i="14"/>
  <c r="AK161" i="14"/>
  <c r="AH311" i="14"/>
  <c r="AK320" i="14"/>
  <c r="AN146" i="14"/>
  <c r="AH350" i="14"/>
  <c r="AN350" i="14"/>
  <c r="AK185" i="14"/>
  <c r="AK263" i="14"/>
  <c r="AN14" i="14"/>
  <c r="AH266" i="14"/>
  <c r="AN92" i="14"/>
  <c r="AH170" i="14"/>
  <c r="AH32" i="14"/>
  <c r="AN302" i="14"/>
  <c r="AK224" i="14"/>
  <c r="AH140" i="14"/>
  <c r="AN248" i="14"/>
  <c r="AH59" i="14"/>
  <c r="AK56" i="14"/>
  <c r="AN164" i="14"/>
  <c r="AK332" i="14"/>
  <c r="AN326" i="14"/>
  <c r="AK329" i="14"/>
  <c r="AK248" i="14"/>
  <c r="AN77" i="14"/>
  <c r="AH245" i="14"/>
  <c r="AH167" i="14"/>
  <c r="AH86" i="14"/>
  <c r="AK326" i="14"/>
  <c r="AK164" i="14"/>
  <c r="AH227" i="14"/>
  <c r="AH224" i="14"/>
  <c r="AN242" i="14"/>
  <c r="AN80" i="14"/>
  <c r="AN74" i="14"/>
  <c r="AH83" i="14"/>
  <c r="AK335" i="14"/>
  <c r="AK182" i="14"/>
  <c r="AH265" i="14"/>
  <c r="AN344" i="14"/>
  <c r="AN11" i="14"/>
  <c r="AK179" i="14"/>
  <c r="AN8" i="14"/>
  <c r="AN266" i="14"/>
  <c r="AK20" i="14"/>
  <c r="AN264" i="14"/>
  <c r="AH335" i="14"/>
  <c r="AK17" i="14"/>
  <c r="AK11" i="14"/>
  <c r="AN179" i="14"/>
  <c r="AN101" i="14"/>
  <c r="AH14" i="14"/>
  <c r="AK347" i="14"/>
  <c r="AN176" i="14"/>
  <c r="AH281" i="14"/>
  <c r="AN323" i="14"/>
  <c r="AH161" i="14"/>
  <c r="AK188" i="14"/>
  <c r="AN95" i="14"/>
  <c r="AN347" i="14"/>
  <c r="AK101" i="14"/>
  <c r="AH104" i="14"/>
  <c r="AN265" i="14"/>
  <c r="AN263" i="14"/>
  <c r="AK95" i="14"/>
  <c r="AN185" i="14"/>
  <c r="AN260" i="14"/>
  <c r="AH20" i="14"/>
  <c r="AN182" i="14"/>
  <c r="AN104" i="14"/>
  <c r="AN98" i="14"/>
  <c r="AK305" i="14"/>
  <c r="AN245" i="14"/>
  <c r="AN17" i="14"/>
  <c r="AK98" i="14"/>
  <c r="AK158" i="14"/>
  <c r="AK264" i="14"/>
  <c r="AH107" i="14"/>
  <c r="AH26" i="14"/>
  <c r="AN272" i="14"/>
  <c r="AK356" i="14"/>
  <c r="AK119" i="14"/>
  <c r="AN203" i="14"/>
  <c r="AN35" i="14"/>
  <c r="AH308" i="14"/>
  <c r="AH272" i="14"/>
  <c r="AK221" i="14"/>
  <c r="AK53" i="14"/>
  <c r="AN239" i="14"/>
  <c r="AN71" i="14"/>
  <c r="AH197" i="14"/>
  <c r="AH23" i="14"/>
  <c r="AN269" i="14"/>
  <c r="AK353" i="14"/>
  <c r="AK251" i="14"/>
  <c r="AK152" i="14"/>
  <c r="AK83" i="14"/>
  <c r="AN200" i="14"/>
  <c r="AN134" i="14"/>
  <c r="AN32" i="14"/>
  <c r="AH338" i="14"/>
  <c r="AH56" i="14"/>
  <c r="AK242" i="14"/>
  <c r="AK140" i="14"/>
  <c r="AK74" i="14"/>
  <c r="AN329" i="14"/>
  <c r="AN158" i="14"/>
  <c r="AH113" i="14"/>
  <c r="AN353" i="14"/>
  <c r="AK194" i="14"/>
  <c r="AK26" i="14"/>
  <c r="AK362" i="14"/>
  <c r="AH278" i="14"/>
  <c r="AH29" i="14"/>
  <c r="AK191" i="14"/>
  <c r="AK23" i="14"/>
  <c r="AN275" i="14"/>
  <c r="AN107" i="14"/>
  <c r="AK359" i="14"/>
  <c r="AH275" i="14"/>
  <c r="AH194" i="14"/>
  <c r="AK278" i="14"/>
  <c r="AK110" i="14"/>
  <c r="AN230" i="14"/>
  <c r="AN62" i="14"/>
  <c r="AH365" i="14"/>
  <c r="AK77" i="14"/>
  <c r="AH116" i="14"/>
  <c r="AN191" i="14"/>
  <c r="AH188" i="14"/>
  <c r="AH362" i="14"/>
  <c r="AK308" i="14"/>
  <c r="AN359" i="14"/>
  <c r="AH254" i="14"/>
  <c r="AK203" i="14"/>
  <c r="AK35" i="14"/>
  <c r="AN119" i="14"/>
  <c r="AK137" i="14"/>
  <c r="AN155" i="14"/>
  <c r="AK269" i="14"/>
  <c r="AN356" i="14"/>
  <c r="AH323" i="14"/>
  <c r="AH251" i="14"/>
  <c r="AH200" i="14"/>
  <c r="AH110" i="14"/>
  <c r="AK236" i="14"/>
  <c r="AK167" i="14"/>
  <c r="AK68" i="14"/>
  <c r="AN218" i="14"/>
  <c r="AN116" i="14"/>
  <c r="AN50" i="14"/>
  <c r="AH143" i="14"/>
  <c r="AH305" i="14"/>
  <c r="AH221" i="14"/>
  <c r="AH137" i="14"/>
  <c r="AH53" i="14"/>
  <c r="AN296" i="14"/>
  <c r="AN212" i="14"/>
  <c r="AN128" i="14"/>
  <c r="AN44" i="14"/>
  <c r="AH302" i="14"/>
  <c r="AH218" i="14"/>
  <c r="AH134" i="14"/>
  <c r="AH50" i="14"/>
  <c r="AN293" i="14"/>
  <c r="AN209" i="14"/>
  <c r="AN125" i="14"/>
  <c r="AN41" i="14"/>
  <c r="AK296" i="14"/>
  <c r="AK212" i="14"/>
  <c r="AK128" i="14"/>
  <c r="AK44" i="14"/>
  <c r="AN320" i="14"/>
  <c r="AN236" i="14"/>
  <c r="AN152" i="14"/>
  <c r="AN68" i="14"/>
  <c r="AK239" i="14"/>
  <c r="AK155" i="14"/>
  <c r="AK71" i="14"/>
  <c r="AH299" i="14"/>
  <c r="AH215" i="14"/>
  <c r="AH131" i="14"/>
  <c r="AH47" i="14"/>
  <c r="AN2" i="14"/>
  <c r="AN290" i="14"/>
  <c r="AN206" i="14"/>
  <c r="AN122" i="14"/>
  <c r="AN38" i="14"/>
  <c r="AK293" i="14"/>
  <c r="AK209" i="14"/>
  <c r="AK125" i="14"/>
  <c r="AK41" i="14"/>
  <c r="AN317" i="14"/>
  <c r="AN233" i="14"/>
  <c r="AN149" i="14"/>
  <c r="AN65" i="14"/>
  <c r="AN215" i="14"/>
  <c r="AK131" i="14"/>
  <c r="AK47" i="14"/>
  <c r="AK65" i="14"/>
  <c r="AN257" i="14"/>
  <c r="AK314" i="14"/>
  <c r="AK230" i="14"/>
  <c r="AK146" i="14"/>
  <c r="AK62" i="14"/>
  <c r="AN338" i="14"/>
  <c r="AN254" i="14"/>
  <c r="AN170" i="14"/>
  <c r="AN86" i="14"/>
  <c r="AH2" i="14"/>
  <c r="AH290" i="14"/>
  <c r="AH206" i="14"/>
  <c r="AH122" i="14"/>
  <c r="AH38" i="14"/>
  <c r="AH284" i="14"/>
  <c r="AN311" i="14"/>
  <c r="AK341" i="14"/>
  <c r="AK257" i="14"/>
  <c r="AK173" i="14"/>
  <c r="AK89" i="14"/>
  <c r="AK5" i="14"/>
  <c r="AN365" i="14"/>
  <c r="AN281" i="14"/>
  <c r="AN197" i="14"/>
  <c r="AN113" i="14"/>
  <c r="AN29" i="14"/>
  <c r="AH317" i="14"/>
  <c r="AH233" i="14"/>
  <c r="AH149" i="14"/>
  <c r="AN371" i="14"/>
  <c r="AN314" i="14"/>
  <c r="AN5" i="14"/>
  <c r="AK8" i="14"/>
  <c r="AK371" i="14"/>
  <c r="AK368" i="14"/>
  <c r="AK284" i="14"/>
  <c r="AH344" i="14"/>
  <c r="AH260" i="14"/>
  <c r="AH176" i="14"/>
  <c r="AH92" i="14"/>
  <c r="AN287" i="14"/>
  <c r="AN227" i="14"/>
  <c r="AN143" i="14"/>
  <c r="AK59" i="14"/>
  <c r="AH287" i="14"/>
  <c r="AH368" i="14"/>
  <c r="AN299" i="14"/>
  <c r="AN89" i="14"/>
  <c r="AN341" i="14"/>
  <c r="AN173" i="14"/>
  <c r="AZ7" i="27" l="1"/>
  <c r="AV7" i="27"/>
  <c r="AZ6" i="27"/>
  <c r="AV6"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BD5B15-F1F2-4ACC-AD9B-7D5A2D482439}" keepAlive="1" name="Query - cpi data 3" description="Connection to the 'cpi data 3' query in the workbook." type="5" refreshedVersion="8" background="1" saveData="1">
    <dbPr connection="Provider=Microsoft.Mashup.OleDb.1;Data Source=$Workbook$;Location=&quot;cpi data 3&quot;;Extended Properties=&quot;&quot;" command="SELECT * FROM [cpi data 3]"/>
  </connection>
  <connection id="2" xr16:uid="{84C06405-44EB-46FC-A6E1-D7D9DF0F0C1B}" keepAlive="1" name="Query - Cpi_data_" description="Connection to the 'Cpi_data_' query in the workbook." type="5" refreshedVersion="0" background="1">
    <dbPr connection="Provider=Microsoft.Mashup.OleDb.1;Data Source=$Workbook$;Location=Cpi_data_;Extended Properties=&quot;&quot;" command="SELECT * FROM [Cpi_data_]"/>
  </connection>
</connections>
</file>

<file path=xl/sharedStrings.xml><?xml version="1.0" encoding="utf-8"?>
<sst xmlns="http://schemas.openxmlformats.org/spreadsheetml/2006/main" count="2093" uniqueCount="186">
  <si>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</si>
  <si>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</si>
  <si>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</si>
  <si>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</si>
  <si>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</si>
  <si>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</si>
  <si>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</si>
  <si>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</si>
  <si>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</si>
  <si>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</si>
  <si>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</si>
  <si>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</si>
  <si>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</si>
  <si>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</si>
  <si>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</si>
  <si>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</si>
  <si>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</si>
  <si>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 xml:space="preserve">Problem 1 </t>
  </si>
  <si>
    <t>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t>
  </si>
  <si>
    <t>Which broader category has the highest contribution towards CPI calculation</t>
  </si>
  <si>
    <t>Contribution is calculated by evaluating the underlying index values for broader category and should add to 100% when contribution from different broader categories are added.</t>
  </si>
  <si>
    <t>Problem 2</t>
  </si>
  <si>
    <t>2. A trend of Y-o-Y increase in CPI (rural + urban) inflation starting 2017 for the entire basket of products combined.</t>
  </si>
  <si>
    <r>
      <t xml:space="preserve">◦ </t>
    </r>
    <r>
      <rPr>
        <b/>
        <sz val="11"/>
        <color theme="1"/>
        <rFont val="Calibri"/>
        <family val="2"/>
        <scheme val="minor"/>
      </rPr>
      <t>Create a graph depicting the growth rate Y-o-Y and identify the year with highest inflation rate</t>
    </r>
  </si>
  <si>
    <r>
      <t xml:space="preserve">◦ </t>
    </r>
    <r>
      <rPr>
        <b/>
        <sz val="11"/>
        <color theme="1"/>
        <rFont val="Calibri"/>
        <family val="2"/>
        <scheme val="minor"/>
      </rPr>
      <t>Highlight the reason why the year has the highest inflation (based on research).</t>
    </r>
  </si>
  <si>
    <t xml:space="preserve">Problem 3 </t>
  </si>
  <si>
    <t>3. With India's retail inflation reaching a 3-month high of 5.55% in November 2023, largely due to a sharp rise in food prices. Analyze the following for 12 months ending May'23</t>
  </si>
  <si>
    <t>Investigate trends in the prices of broader food bucket category and evaluate month-on-month changes. Highlight month with highest and lowest food inflation</t>
  </si>
  <si>
    <t>Identify the absolute changes in inflation over the same 12 months period and identify the biggest individual category contributor (only within broader food category) towards inflation</t>
  </si>
  <si>
    <t>Problem 4</t>
  </si>
  <si>
    <t>4. Investigate how the onset and progression of the COVID-19 pandemic affected inflation rates in India. Analyze the impact of key pandemic milestone (first lockdown) on the CPI inflation %, specially focus on categories like healthcare, food, and essential services.</t>
  </si>
  <si>
    <t>Hint: You can consider Mar’20 as the onset of covid, and can compare the inflation trend before and after Mar’20 to see if there is a change in inflation % before and after.</t>
  </si>
  <si>
    <t>Sector</t>
  </si>
  <si>
    <t>Year</t>
  </si>
  <si>
    <t>Month</t>
  </si>
  <si>
    <t xml:space="preserve">date </t>
  </si>
  <si>
    <t xml:space="preserve">Pre/Post Covid </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</si>
  <si>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</si>
  <si>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</si>
  <si>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</si>
  <si>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</si>
  <si>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</si>
  <si>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</si>
  <si>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</si>
  <si>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</si>
  <si>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</si>
  <si>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</si>
  <si>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</si>
  <si>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</si>
  <si>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</si>
  <si>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</si>
  <si>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</si>
  <si>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</si>
  <si>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</si>
  <si>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</si>
  <si>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</si>
  <si>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</si>
  <si>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</si>
  <si>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</si>
  <si>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</si>
  <si>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</si>
  <si>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</si>
  <si>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</si>
  <si>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</si>
  <si>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Glossary</t>
  </si>
  <si>
    <t>Food expense</t>
  </si>
  <si>
    <t xml:space="preserve">include of sum this </t>
  </si>
  <si>
    <t xml:space="preserve">Housing expences </t>
  </si>
  <si>
    <t xml:space="preserve">include sum of </t>
  </si>
  <si>
    <t xml:space="preserve">handle missing value </t>
  </si>
  <si>
    <t xml:space="preserve">fuel and light </t>
  </si>
  <si>
    <t xml:space="preserve">sum of </t>
  </si>
  <si>
    <t xml:space="preserve">handle blanks </t>
  </si>
  <si>
    <t xml:space="preserve">clothing </t>
  </si>
  <si>
    <t xml:space="preserve">Include only </t>
  </si>
  <si>
    <t xml:space="preserve">include </t>
  </si>
  <si>
    <t xml:space="preserve">Transport and communication </t>
  </si>
  <si>
    <t xml:space="preserve">include of </t>
  </si>
  <si>
    <t xml:space="preserve">Others </t>
  </si>
  <si>
    <t xml:space="preserve">Remark </t>
  </si>
  <si>
    <t xml:space="preserve">Education </t>
  </si>
  <si>
    <t xml:space="preserve">General Index </t>
  </si>
  <si>
    <t xml:space="preserve">avg of total expences </t>
  </si>
  <si>
    <t xml:space="preserve">mean </t>
  </si>
  <si>
    <t>Pre covid</t>
  </si>
  <si>
    <t>Post covid</t>
  </si>
  <si>
    <t xml:space="preserve">median </t>
  </si>
  <si>
    <t xml:space="preserve">standaed </t>
  </si>
  <si>
    <t xml:space="preserve">Total Expences </t>
  </si>
  <si>
    <t xml:space="preserve"> Average Food Expences </t>
  </si>
  <si>
    <t>Average Housing Expences</t>
  </si>
  <si>
    <t>Sum of food expences</t>
  </si>
  <si>
    <t>Sum Housing Exepences</t>
  </si>
  <si>
    <t xml:space="preserve">sum of clothing </t>
  </si>
  <si>
    <t xml:space="preserve">sum of others </t>
  </si>
  <si>
    <t xml:space="preserve">Average Other Expences </t>
  </si>
  <si>
    <t>Grand Total</t>
  </si>
  <si>
    <t>Values</t>
  </si>
  <si>
    <t>R+U</t>
  </si>
  <si>
    <t>Precentage</t>
  </si>
  <si>
    <t>Total</t>
  </si>
  <si>
    <t>Average of General index</t>
  </si>
  <si>
    <t>% inflation</t>
  </si>
  <si>
    <t xml:space="preserve">Average of  Average Food Expences </t>
  </si>
  <si>
    <t>Average of Fuel and light</t>
  </si>
  <si>
    <t>Average of Health</t>
  </si>
  <si>
    <t xml:space="preserve">short month and year  </t>
  </si>
  <si>
    <t>Jan-18</t>
  </si>
  <si>
    <t>Jan-19</t>
  </si>
  <si>
    <t>Jan-20</t>
  </si>
  <si>
    <t>Jan-21</t>
  </si>
  <si>
    <t>Jan-22</t>
  </si>
  <si>
    <t>Jan-23</t>
  </si>
  <si>
    <t>Feb-21</t>
  </si>
  <si>
    <t>Feb-22</t>
  </si>
  <si>
    <t>Feb-23</t>
  </si>
  <si>
    <t>Mar-18</t>
  </si>
  <si>
    <t>Mar-19</t>
  </si>
  <si>
    <t>Mar-20</t>
  </si>
  <si>
    <t>Mar-21</t>
  </si>
  <si>
    <t>Mar-22</t>
  </si>
  <si>
    <t>Mar-23</t>
  </si>
  <si>
    <t>Apr-21</t>
  </si>
  <si>
    <t>Apr-22</t>
  </si>
  <si>
    <t>Apr-23</t>
  </si>
  <si>
    <t>May-21</t>
  </si>
  <si>
    <t>May-22</t>
  </si>
  <si>
    <t>May-23</t>
  </si>
  <si>
    <t>Jun-21</t>
  </si>
  <si>
    <t>Jun-22</t>
  </si>
  <si>
    <t>Jul-21</t>
  </si>
  <si>
    <t>Jul-22</t>
  </si>
  <si>
    <t>Aug-21</t>
  </si>
  <si>
    <t>Aug-22</t>
  </si>
  <si>
    <t>Sep-21</t>
  </si>
  <si>
    <t>Sep-22</t>
  </si>
  <si>
    <t>Oct-21</t>
  </si>
  <si>
    <t>Oct-22</t>
  </si>
  <si>
    <t>Nov-21</t>
  </si>
  <si>
    <t>Nov-22</t>
  </si>
  <si>
    <t>Dec-18</t>
  </si>
  <si>
    <t>Dec-19</t>
  </si>
  <si>
    <t>Dec-20</t>
  </si>
  <si>
    <t>Dec-21</t>
  </si>
  <si>
    <t>Dec-22</t>
  </si>
  <si>
    <t>Mom Change %</t>
  </si>
  <si>
    <t>Sum of Mom Change %</t>
  </si>
  <si>
    <t>Insight 1.Showing the highest broader category in three sector in the last month is food exp</t>
  </si>
  <si>
    <t xml:space="preserve">% change of cereals and product </t>
  </si>
  <si>
    <t>% change of meat</t>
  </si>
  <si>
    <t>% change of egg</t>
  </si>
  <si>
    <t xml:space="preserve">% change of milk and product </t>
  </si>
  <si>
    <t xml:space="preserve">% change of oil and fats </t>
  </si>
  <si>
    <t>% change of fruits</t>
  </si>
  <si>
    <t>% change of vegetable</t>
  </si>
  <si>
    <t>% change of pulses and products</t>
  </si>
  <si>
    <t>% change of sugar and conf</t>
  </si>
  <si>
    <t>% change of spices</t>
  </si>
  <si>
    <t>% change of non alcohol</t>
  </si>
  <si>
    <t xml:space="preserve">% change of prepared </t>
  </si>
  <si>
    <t xml:space="preserve">% change of food and beverage </t>
  </si>
  <si>
    <t>% change of pan ,tobacoo</t>
  </si>
  <si>
    <t>catagories</t>
  </si>
  <si>
    <t xml:space="preserve">sum of catogories for urban </t>
  </si>
  <si>
    <t xml:space="preserve">sum of catogories for R+U </t>
  </si>
  <si>
    <t xml:space="preserve">sum of catogories for rural </t>
  </si>
  <si>
    <t xml:space="preserve">covid </t>
  </si>
  <si>
    <t xml:space="preserve">year </t>
  </si>
  <si>
    <t>Inflation Health</t>
  </si>
  <si>
    <t>Inflation Food</t>
  </si>
  <si>
    <t>sectore</t>
  </si>
  <si>
    <t xml:space="preserve">Urban </t>
  </si>
  <si>
    <t xml:space="preserve">Pre Covid </t>
  </si>
  <si>
    <t xml:space="preserve">Post covid </t>
  </si>
  <si>
    <t xml:space="preserve">Rural + urban </t>
  </si>
  <si>
    <t>Inflation Essential</t>
  </si>
  <si>
    <t xml:space="preserve">For rural </t>
  </si>
  <si>
    <t xml:space="preserve">For urban </t>
  </si>
  <si>
    <t>For R+U</t>
  </si>
  <si>
    <t>5. Investigate how major global economic events (like imported crude oil price fluctuations) have influenced India's inflation. This can include an analysis of imported goods and their price trends.</t>
  </si>
  <si>
    <t>For the purpose of this analysis, focus only on the imported oil price fluctuations for years 2021 to 2023 (Month-on-month).</t>
  </si>
  <si>
    <t>Identify trends in oil price change with change in inflation prices of all the categories and identify category whose inflation prices strongly changes with fluctuations in imported oil price (Hint: you can use =CORREL function).</t>
  </si>
  <si>
    <t xml:space="preserve">Problem 5 </t>
  </si>
  <si>
    <t>Crude oil</t>
  </si>
  <si>
    <t xml:space="preserve">correl values </t>
  </si>
  <si>
    <r>
      <t>Impact of Global Oil Price Fluctuations:</t>
    </r>
    <r>
      <rPr>
        <sz val="11"/>
        <color theme="1"/>
        <rFont val="Calibri"/>
        <family val="2"/>
        <scheme val="minor"/>
      </rPr>
      <t xml:space="preserve"> A strong positive correlation is observed between imported crude oil prices and prices in</t>
    </r>
    <r>
      <rPr>
        <b/>
        <sz val="11"/>
        <color theme="1"/>
        <rFont val="Calibri"/>
        <family val="2"/>
        <scheme val="minor"/>
      </rPr>
      <t xml:space="preserve"> sub catagories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</si>
</sst>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0.000"/>
    <numFmt numFmtId="166" formatCode="0.0%"/>
    <numFmt numFmtId="167" formatCode="0.000%"/>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color rgb="FF1F1F1F"/>
      <name val="Arial"/>
      <family val="2"/>
    </font>
    <font>
      <u/>
      <sz val="11"/>
      <color theme="1"/>
      <name val="Calibri"/>
      <family val="2"/>
      <scheme val="minor"/>
    </font>
    <font>
      <sz val="8"/>
      <color rgb="FF131619"/>
      <name val="Arial"/>
      <family val="2"/>
    </font>
    <font>
      <sz val="8"/>
      <name val="Arial"/>
      <family val="2"/>
    </font>
    <font>
      <sz val="11"/>
      <name val="Times New Roman"/>
      <family val="1"/>
    </font>
    <font>
      <b/>
      <sz val="11"/>
      <color theme="1"/>
      <name val="Times New Roman"/>
      <family val="1"/>
    </font>
    <font>
      <b/>
      <sz val="12"/>
      <color theme="1"/>
      <name val="Times New Roman"/>
      <family val="1"/>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2"/>
        <bgColor theme="4"/>
      </patternFill>
    </fill>
    <fill>
      <patternFill patternType="solid">
        <fgColor theme="0"/>
        <bgColor theme="4"/>
      </patternFill>
    </fill>
    <fill>
      <patternFill patternType="solid">
        <fgColor theme="0"/>
        <bgColor indexed="64"/>
      </patternFill>
    </fill>
    <fill>
      <patternFill patternType="solid">
        <fgColor theme="4" tint="0.79998168889431442"/>
        <bgColor indexed="64"/>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bottom style="thin">
        <color theme="4" tint="0.39997558519241921"/>
      </bottom>
      <diagonal/>
    </border>
    <border>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7" fillId="0" borderId="0"/>
    <xf numFmtId="43" fontId="1" fillId="0" borderId="0" applyFont="0" applyFill="0" applyBorder="0" applyAlignment="0" applyProtection="0"/>
  </cellStyleXfs>
  <cellXfs count="69">
    <xf numFmtId="0" fontId="0" fillId="0" borderId="0" xfId="0"/>
    <xf numFmtId="0" fontId="0" fillId="0" borderId="0" xfId="0" applyAlignment="1">
      <alignment horizontal="center"/>
    </xf>
    <xf numFmtId="0" fontId="0" fillId="0" borderId="0" xfId="0" applyAlignment="1">
      <alignment horizontal="center" vertical="center"/>
    </xf>
    <xf numFmtId="0" fontId="3" fillId="0" borderId="0" xfId="0" applyFont="1" applyAlignment="1">
      <alignment vertical="top" wrapText="1"/>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applyFont="1" applyAlignment="1">
      <alignment wrapText="1"/>
    </xf>
    <xf numFmtId="0" fontId="0" fillId="0" borderId="0" xfId="0" applyAlignment="1">
      <alignment wrapText="1"/>
    </xf>
    <xf numFmtId="0" fontId="0" fillId="0" borderId="0" xfId="0" applyAlignment="1">
      <alignment horizontal="left" vertical="center" wrapText="1"/>
    </xf>
    <xf numFmtId="0" fontId="3" fillId="0" borderId="0" xfId="0" applyFont="1" applyAlignment="1">
      <alignment horizontal="left" vertical="center" wrapText="1"/>
    </xf>
    <xf numFmtId="0" fontId="2" fillId="3" borderId="1" xfId="0" applyFont="1" applyFill="1" applyBorder="1"/>
    <xf numFmtId="0" fontId="2" fillId="3" borderId="2" xfId="0" applyFont="1" applyFill="1" applyBorder="1"/>
    <xf numFmtId="0" fontId="2" fillId="3" borderId="3" xfId="0" applyFont="1" applyFill="1" applyBorder="1"/>
    <xf numFmtId="0" fontId="3" fillId="5" borderId="4" xfId="0" applyFont="1" applyFill="1" applyBorder="1"/>
    <xf numFmtId="0" fontId="2" fillId="5" borderId="2" xfId="0" applyFont="1" applyFill="1" applyBorder="1"/>
    <xf numFmtId="0" fontId="0" fillId="0" borderId="4" xfId="0" applyBorder="1"/>
    <xf numFmtId="0" fontId="3" fillId="4" borderId="4" xfId="0" applyFont="1" applyFill="1" applyBorder="1" applyAlignment="1">
      <alignment wrapText="1"/>
    </xf>
    <xf numFmtId="0" fontId="3" fillId="4" borderId="4" xfId="0" applyFont="1" applyFill="1" applyBorder="1"/>
    <xf numFmtId="0" fontId="2" fillId="5" borderId="7" xfId="0" applyFont="1" applyFill="1" applyBorder="1"/>
    <xf numFmtId="0" fontId="2" fillId="5" borderId="4" xfId="0" applyFont="1" applyFill="1" applyBorder="1"/>
    <xf numFmtId="0" fontId="0" fillId="0" borderId="2" xfId="0" applyBorder="1"/>
    <xf numFmtId="0" fontId="0" fillId="2" borderId="2" xfId="0" applyFill="1" applyBorder="1"/>
    <xf numFmtId="0" fontId="0" fillId="2" borderId="3" xfId="0" applyFill="1" applyBorder="1"/>
    <xf numFmtId="0" fontId="0" fillId="0" borderId="3" xfId="0" applyBorder="1"/>
    <xf numFmtId="2" fontId="0" fillId="0" borderId="0" xfId="0" applyNumberFormat="1"/>
    <xf numFmtId="164" fontId="0" fillId="0" borderId="0" xfId="0" applyNumberFormat="1"/>
    <xf numFmtId="0" fontId="0" fillId="2" borderId="1" xfId="0" applyFill="1" applyBorder="1"/>
    <xf numFmtId="0" fontId="0" fillId="0" borderId="1" xfId="0" applyBorder="1"/>
    <xf numFmtId="164" fontId="0" fillId="2" borderId="2" xfId="0" applyNumberFormat="1" applyFill="1" applyBorder="1"/>
    <xf numFmtId="164" fontId="0" fillId="2" borderId="3" xfId="0" applyNumberFormat="1" applyFill="1" applyBorder="1"/>
    <xf numFmtId="164" fontId="0" fillId="0" borderId="2" xfId="0" applyNumberFormat="1" applyBorder="1"/>
    <xf numFmtId="164" fontId="0" fillId="0" borderId="3" xfId="0" applyNumberFormat="1" applyBorder="1"/>
    <xf numFmtId="14" fontId="0" fillId="2" borderId="2" xfId="0" applyNumberFormat="1" applyFill="1" applyBorder="1"/>
    <xf numFmtId="14" fontId="0" fillId="0" borderId="2" xfId="0" applyNumberFormat="1" applyBorder="1"/>
    <xf numFmtId="0" fontId="0" fillId="0" borderId="0" xfId="0" pivotButton="1"/>
    <xf numFmtId="0" fontId="3" fillId="2" borderId="6" xfId="0" applyFont="1" applyFill="1" applyBorder="1"/>
    <xf numFmtId="10" fontId="0" fillId="0" borderId="0" xfId="0" applyNumberFormat="1"/>
    <xf numFmtId="9" fontId="0" fillId="0" borderId="0" xfId="1" applyFont="1"/>
    <xf numFmtId="0" fontId="3" fillId="0" borderId="0" xfId="0" applyFont="1"/>
    <xf numFmtId="166" fontId="0" fillId="0" borderId="0" xfId="1" applyNumberFormat="1" applyFont="1"/>
    <xf numFmtId="2" fontId="0" fillId="0" borderId="0" xfId="1" applyNumberFormat="1" applyFont="1"/>
    <xf numFmtId="0" fontId="2" fillId="3" borderId="0" xfId="0" applyFont="1" applyFill="1"/>
    <xf numFmtId="165" fontId="0" fillId="0" borderId="0" xfId="1" applyNumberFormat="1" applyFont="1"/>
    <xf numFmtId="167" fontId="0" fillId="0" borderId="0" xfId="0" applyNumberFormat="1"/>
    <xf numFmtId="166" fontId="0" fillId="0" borderId="0" xfId="0" applyNumberFormat="1"/>
    <xf numFmtId="0" fontId="5" fillId="0" borderId="0" xfId="0" applyFont="1"/>
    <xf numFmtId="0" fontId="2" fillId="5" borderId="0" xfId="0" applyFont="1" applyFill="1"/>
    <xf numFmtId="10" fontId="0" fillId="0" borderId="2" xfId="0" applyNumberFormat="1" applyBorder="1"/>
    <xf numFmtId="166" fontId="0" fillId="0" borderId="2" xfId="1" applyNumberFormat="1" applyFont="1" applyBorder="1"/>
    <xf numFmtId="166" fontId="0" fillId="0" borderId="2" xfId="0" applyNumberFormat="1" applyBorder="1"/>
    <xf numFmtId="166" fontId="0" fillId="2" borderId="2" xfId="1" applyNumberFormat="1" applyFont="1" applyFill="1" applyBorder="1"/>
    <xf numFmtId="0" fontId="6" fillId="0" borderId="0" xfId="0" applyFont="1"/>
    <xf numFmtId="164" fontId="8" fillId="6" borderId="4" xfId="2" applyNumberFormat="1" applyFont="1" applyFill="1" applyBorder="1" applyAlignment="1">
      <alignment horizontal="right"/>
    </xf>
    <xf numFmtId="164" fontId="8" fillId="7" borderId="4" xfId="2" applyNumberFormat="1" applyFont="1" applyFill="1" applyBorder="1" applyAlignment="1">
      <alignment horizontal="right"/>
    </xf>
    <xf numFmtId="0" fontId="0" fillId="2" borderId="5" xfId="0" applyFill="1" applyBorder="1"/>
    <xf numFmtId="0" fontId="0" fillId="0" borderId="5" xfId="0" applyBorder="1"/>
    <xf numFmtId="0" fontId="0" fillId="2" borderId="6" xfId="0" applyFill="1" applyBorder="1"/>
    <xf numFmtId="0" fontId="0" fillId="0" borderId="6" xfId="0" applyBorder="1"/>
    <xf numFmtId="164" fontId="0" fillId="0" borderId="4" xfId="0" applyNumberFormat="1" applyBorder="1"/>
    <xf numFmtId="164" fontId="0" fillId="2" borderId="4" xfId="0" applyNumberFormat="1" applyFill="1" applyBorder="1"/>
    <xf numFmtId="164" fontId="9" fillId="0" borderId="4" xfId="0" applyNumberFormat="1" applyFont="1" applyBorder="1"/>
    <xf numFmtId="164" fontId="10" fillId="0" borderId="4" xfId="0" applyNumberFormat="1" applyFont="1" applyBorder="1"/>
    <xf numFmtId="43" fontId="0" fillId="0" borderId="0" xfId="3" applyFont="1"/>
    <xf numFmtId="0" fontId="4" fillId="0" borderId="0" xfId="0" applyFont="1"/>
    <xf numFmtId="0" fontId="4" fillId="0" borderId="0" xfId="0" applyFont="1" applyAlignment="1">
      <alignment horizontal="center"/>
    </xf>
    <xf numFmtId="0" fontId="3"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applyNumberFormat="1"/>
  </cellXfs>
  <cellStyles count="4">
    <cellStyle name="Comma" xfId="3" builtinId="3"/>
    <cellStyle name="Normal" xfId="0" builtinId="0"/>
    <cellStyle name="Normal 2 2 3 5" xfId="2" xr:uid="{154FE5BF-A2D8-4F43-AE02-DD0A8B947B98}"/>
    <cellStyle name="Percent" xfId="1" builtinId="5"/>
  </cellStyles>
  <dxfs count="22">
    <dxf>
      <numFmt numFmtId="13" formatCode="0%"/>
    </dxf>
    <dxf>
      <numFmt numFmtId="14" formatCode="0.00%"/>
    </dxf>
    <dxf>
      <numFmt numFmtId="166" formatCode="0.0%"/>
    </dxf>
    <dxf>
      <numFmt numFmtId="164" formatCode="0.0"/>
    </dxf>
    <dxf>
      <numFmt numFmtId="13" formatCode="0%"/>
    </dxf>
    <dxf>
      <numFmt numFmtId="14" formatCode="0.00%"/>
    </dxf>
    <dxf>
      <numFmt numFmtId="166" formatCode="0.0%"/>
    </dxf>
    <dxf>
      <numFmt numFmtId="164" formatCode="0.0"/>
    </dxf>
    <dxf>
      <numFmt numFmtId="13" formatCode="0%"/>
    </dxf>
    <dxf>
      <numFmt numFmtId="14" formatCode="0.00%"/>
    </dxf>
    <dxf>
      <numFmt numFmtId="166" formatCode="0.0%"/>
    </dxf>
    <dxf>
      <numFmt numFmtId="164" formatCode="0.0"/>
    </dxf>
    <dxf>
      <numFmt numFmtId="13" formatCode="0%"/>
    </dxf>
    <dxf>
      <numFmt numFmtId="14" formatCode="0.00%"/>
    </dxf>
    <dxf>
      <numFmt numFmtId="166" formatCode="0.0%"/>
    </dxf>
    <dxf>
      <numFmt numFmtId="164" formatCode="0.0"/>
    </dxf>
    <dxf>
      <numFmt numFmtId="166" formatCode="0.0%"/>
    </dxf>
    <dxf>
      <numFmt numFmtId="14" formatCode="0.00%"/>
    </dxf>
    <dxf>
      <numFmt numFmtId="13" formatCode="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ln>
                  <a:solidFill>
                    <a:schemeClr val="tx1">
                      <a:lumMod val="95000"/>
                      <a:lumOff val="5000"/>
                    </a:schemeClr>
                  </a:solidFill>
                </a:ln>
                <a:solidFill>
                  <a:sysClr val="windowText" lastClr="000000">
                    <a:lumMod val="65000"/>
                    <a:lumOff val="35000"/>
                  </a:sysClr>
                </a:solidFill>
              </a:rPr>
              <a:t>Contibution For Broader Categories To CPI</a:t>
            </a:r>
          </a:p>
          <a:p>
            <a:pPr>
              <a:defRPr/>
            </a:pPr>
            <a:r>
              <a:rPr lang="en-IN" sz="1400" b="0" i="0" u="none" strike="noStrike" kern="1200" spc="0" baseline="0">
                <a:ln>
                  <a:solidFill>
                    <a:schemeClr val="tx1">
                      <a:lumMod val="95000"/>
                      <a:lumOff val="5000"/>
                    </a:schemeClr>
                  </a:solidFill>
                </a:ln>
                <a:solidFill>
                  <a:sysClr val="windowText" lastClr="000000">
                    <a:lumMod val="65000"/>
                    <a:lumOff val="35000"/>
                  </a:sysClr>
                </a:solidFill>
              </a:rPr>
              <a:t>(Rural+Urban) </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150"/>
      <c:depthPercent val="10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930227471566051E-2"/>
          <c:y val="0.30556977252843393"/>
          <c:w val="0.54613429571303584"/>
          <c:h val="0.52899934383202096"/>
        </c:manualLayout>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FB1-4B60-A38E-3DB720668DE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FB1-4B60-A38E-3DB720668DE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FB1-4B60-A38E-3DB720668DE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FB1-4B60-A38E-3DB720668DE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FB1-4B60-A38E-3DB720668DE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FB1-4B60-A38E-3DB720668DE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FB1-4B60-A38E-3DB720668DEF}"/>
              </c:ext>
            </c:extLst>
          </c:dPt>
          <c:dLbls>
            <c:dLbl>
              <c:idx val="0"/>
              <c:layout>
                <c:manualLayout>
                  <c:x val="5.5555555555555558E-3"/>
                  <c:y val="-9.259259259259258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B1-4B60-A38E-3DB720668DEF}"/>
                </c:ext>
              </c:extLst>
            </c:dLbl>
            <c:dLbl>
              <c:idx val="1"/>
              <c:layout>
                <c:manualLayout>
                  <c:x val="-8.3147203276011886E-3"/>
                  <c:y val="5.6300973501193702E-2"/>
                </c:manualLayout>
              </c:layout>
              <c:spPr>
                <a:noFill/>
                <a:ln>
                  <a:solidFill>
                    <a:schemeClr val="tx1"/>
                  </a:solid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tx1">
                            <a:alpha val="69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9995303680685396E-2"/>
                      <c:h val="5.5408010439373045E-2"/>
                    </c:manualLayout>
                  </c15:layout>
                </c:ext>
                <c:ext xmlns:c16="http://schemas.microsoft.com/office/drawing/2014/chart" uri="{C3380CC4-5D6E-409C-BE32-E72D297353CC}">
                  <c16:uniqueId val="{00000003-9FB1-4B60-A38E-3DB720668DEF}"/>
                </c:ext>
              </c:extLst>
            </c:dLbl>
            <c:dLbl>
              <c:idx val="2"/>
              <c:layout>
                <c:manualLayout>
                  <c:x val="2.5000000000000001E-2"/>
                  <c:y val="9.259259259259088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B1-4B60-A38E-3DB720668DEF}"/>
                </c:ext>
              </c:extLst>
            </c:dLbl>
            <c:dLbl>
              <c:idx val="3"/>
              <c:layout>
                <c:manualLayout>
                  <c:x val="-2.7777777777777779E-3"/>
                  <c:y val="-4.629629629629714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B1-4B60-A38E-3DB720668DEF}"/>
                </c:ext>
              </c:extLst>
            </c:dLbl>
            <c:dLbl>
              <c:idx val="4"/>
              <c:layout>
                <c:manualLayout>
                  <c:x val="3.9785420025062477E-19"/>
                  <c:y val="-0.111111111111111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FB1-4B60-A38E-3DB720668DEF}"/>
                </c:ext>
              </c:extLst>
            </c:dLbl>
            <c:dLbl>
              <c:idx val="5"/>
              <c:layout>
                <c:manualLayout>
                  <c:x val="2.7777777777777776E-2"/>
                  <c:y val="-3.703703703703707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FB1-4B60-A38E-3DB720668DEF}"/>
                </c:ext>
              </c:extLst>
            </c:dLbl>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9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19050" cap="flat" cmpd="sng" algn="ctr">
                  <a:solidFill>
                    <a:schemeClr val="tx1"/>
                  </a:solidFill>
                  <a:prstDash val="solid"/>
                  <a:round/>
                </a:ln>
                <a:effectLst/>
              </c:spPr>
            </c:leaderLines>
            <c:extLst>
              <c:ext xmlns:c15="http://schemas.microsoft.com/office/drawing/2012/chart" uri="{CE6537A1-D6FC-4f65-9D91-7224C49458BB}"/>
            </c:extLst>
          </c:dLbls>
          <c:cat>
            <c:strRef>
              <c:f>'Solution 1'!$E$16:$E$22</c:f>
              <c:strCache>
                <c:ptCount val="7"/>
                <c:pt idx="0">
                  <c:v>Fuel and light</c:v>
                </c:pt>
                <c:pt idx="1">
                  <c:v>Health</c:v>
                </c:pt>
                <c:pt idx="2">
                  <c:v>Transport and communication</c:v>
                </c:pt>
                <c:pt idx="3">
                  <c:v>sum of others </c:v>
                </c:pt>
                <c:pt idx="4">
                  <c:v>sum of clothing </c:v>
                </c:pt>
                <c:pt idx="5">
                  <c:v>Sum Housing Exepences</c:v>
                </c:pt>
                <c:pt idx="6">
                  <c:v>Sum of food expences</c:v>
                </c:pt>
              </c:strCache>
            </c:strRef>
          </c:cat>
          <c:val>
            <c:numRef>
              <c:f>'Solution 1'!$G$16:$G$22</c:f>
              <c:numCache>
                <c:formatCode>0.00%</c:formatCode>
                <c:ptCount val="7"/>
                <c:pt idx="0">
                  <c:v>4.0909497806821238E-2</c:v>
                </c:pt>
                <c:pt idx="1">
                  <c:v>4.1558499686688746E-2</c:v>
                </c:pt>
                <c:pt idx="2">
                  <c:v>3.688121027660908E-2</c:v>
                </c:pt>
                <c:pt idx="3">
                  <c:v>0.15871452869035899</c:v>
                </c:pt>
                <c:pt idx="4">
                  <c:v>8.2132306865992308E-2</c:v>
                </c:pt>
                <c:pt idx="5">
                  <c:v>7.8506848088801359E-2</c:v>
                </c:pt>
                <c:pt idx="6">
                  <c:v>0.56125234983439265</c:v>
                </c:pt>
              </c:numCache>
            </c:numRef>
          </c:val>
          <c:extLst>
            <c:ext xmlns:c16="http://schemas.microsoft.com/office/drawing/2014/chart" uri="{C3380CC4-5D6E-409C-BE32-E72D297353CC}">
              <c16:uniqueId val="{0000000E-9FB1-4B60-A38E-3DB720668DEF}"/>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9693417952385583"/>
          <c:y val="0.1479312600139859"/>
          <c:w val="0.28933858267716533"/>
          <c:h val="0.81747376564660046"/>
        </c:manualLayout>
      </c:layout>
      <c:overlay val="0"/>
      <c:spPr>
        <a:noFill/>
        <a:ln>
          <a:noFill/>
        </a:ln>
        <a:effectLst/>
      </c:spPr>
      <c:txPr>
        <a:bodyPr rot="0" spcFirstLastPara="1" vertOverflow="ellipsis" vert="horz" wrap="square" anchor="ctr" anchorCtr="1"/>
        <a:lstStyle/>
        <a:p>
          <a:pPr>
            <a:defRPr sz="1050" b="0" i="0" u="none" strike="noStrike" kern="1200" baseline="0">
              <a:ln>
                <a:solidFill>
                  <a:sysClr val="windowText" lastClr="000000">
                    <a:alpha val="67000"/>
                  </a:sys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ln>
                  <a:solidFill>
                    <a:schemeClr val="tx1">
                      <a:lumMod val="95000"/>
                      <a:lumOff val="5000"/>
                    </a:schemeClr>
                  </a:solidFill>
                </a:ln>
                <a:solidFill>
                  <a:sysClr val="windowText" lastClr="000000">
                    <a:lumMod val="65000"/>
                    <a:lumOff val="35000"/>
                  </a:sysClr>
                </a:solidFill>
              </a:rPr>
              <a:t>Contibution For Broader Categories To CPI</a:t>
            </a:r>
          </a:p>
          <a:p>
            <a:pPr>
              <a:defRPr/>
            </a:pPr>
            <a:r>
              <a:rPr lang="en-IN" sz="1400" b="0" i="0" u="none" strike="noStrike" kern="1200" spc="0" baseline="0">
                <a:ln>
                  <a:solidFill>
                    <a:schemeClr val="tx1">
                      <a:lumMod val="95000"/>
                      <a:lumOff val="5000"/>
                    </a:schemeClr>
                  </a:solidFill>
                </a:ln>
                <a:solidFill>
                  <a:sysClr val="windowText" lastClr="000000">
                    <a:lumMod val="65000"/>
                    <a:lumOff val="35000"/>
                  </a:sysClr>
                </a:solidFill>
              </a:rPr>
              <a:t>(urban) </a:t>
            </a:r>
          </a:p>
          <a:p>
            <a:pPr>
              <a:defRPr/>
            </a:pPr>
            <a:endParaRPr lang="en-IN"/>
          </a:p>
        </c:rich>
      </c:tx>
      <c:layout>
        <c:manualLayout>
          <c:xMode val="edge"/>
          <c:yMode val="edge"/>
          <c:x val="0.27402767064283928"/>
          <c:y val="1.7013497151132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150"/>
      <c:depthPercent val="10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D3-40BE-9B9C-55855D79166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D3-40BE-9B9C-55855D79166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7D3-40BE-9B9C-55855D79166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7D3-40BE-9B9C-55855D79166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7D3-40BE-9B9C-55855D79166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7D3-40BE-9B9C-55855D79166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7D3-40BE-9B9C-55855D79166E}"/>
              </c:ext>
            </c:extLst>
          </c:dPt>
          <c:dLbls>
            <c:dLbl>
              <c:idx val="4"/>
              <c:layout>
                <c:manualLayout>
                  <c:x val="-3.1828336020049982E-18"/>
                  <c:y val="-0.10798122065727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7D3-40BE-9B9C-55855D79166E}"/>
                </c:ext>
              </c:extLst>
            </c:dLbl>
            <c:dLbl>
              <c:idx val="5"/>
              <c:layout>
                <c:manualLayout>
                  <c:x val="1.1111111111111112E-2"/>
                  <c:y val="-2.81690140845070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7D3-40BE-9B9C-55855D79166E}"/>
                </c:ext>
              </c:extLst>
            </c:dLbl>
            <c:spPr>
              <a:no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alpha val="67000"/>
                        </a:sys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'Solution 1'!$E$16:$E$22</c:f>
              <c:strCache>
                <c:ptCount val="7"/>
                <c:pt idx="0">
                  <c:v>Fuel and light</c:v>
                </c:pt>
                <c:pt idx="1">
                  <c:v>Health</c:v>
                </c:pt>
                <c:pt idx="2">
                  <c:v>Transport and communication</c:v>
                </c:pt>
                <c:pt idx="3">
                  <c:v>sum of others </c:v>
                </c:pt>
                <c:pt idx="4">
                  <c:v>sum of clothing </c:v>
                </c:pt>
                <c:pt idx="5">
                  <c:v>Sum Housing Exepences</c:v>
                </c:pt>
                <c:pt idx="6">
                  <c:v>Sum of food expences</c:v>
                </c:pt>
              </c:strCache>
            </c:strRef>
          </c:cat>
          <c:val>
            <c:numRef>
              <c:f>'Solution 1'!$K$16:$K$22</c:f>
              <c:numCache>
                <c:formatCode>0.0%</c:formatCode>
                <c:ptCount val="7"/>
                <c:pt idx="0">
                  <c:v>4.1106329567868027E-2</c:v>
                </c:pt>
                <c:pt idx="1">
                  <c:v>4.0837367760444679E-2</c:v>
                </c:pt>
                <c:pt idx="2">
                  <c:v>3.5951228258920567E-2</c:v>
                </c:pt>
                <c:pt idx="3">
                  <c:v>0.15716334947104177</c:v>
                </c:pt>
                <c:pt idx="4">
                  <c:v>7.8312712928097536E-2</c:v>
                </c:pt>
                <c:pt idx="5">
                  <c:v>7.7483414021875557E-2</c:v>
                </c:pt>
                <c:pt idx="6">
                  <c:v>0.56914559799175168</c:v>
                </c:pt>
              </c:numCache>
            </c:numRef>
          </c:val>
          <c:extLst>
            <c:ext xmlns:c16="http://schemas.microsoft.com/office/drawing/2014/chart" uri="{C3380CC4-5D6E-409C-BE32-E72D297353CC}">
              <c16:uniqueId val="{0000000E-E7D3-40BE-9B9C-55855D79166E}"/>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93994750656168"/>
          <c:y val="0.1050690029759562"/>
          <c:w val="0.28933858267716533"/>
          <c:h val="0.88241080272746741"/>
        </c:manualLayout>
      </c:layout>
      <c:overlay val="0"/>
      <c:spPr>
        <a:noFill/>
        <a:ln>
          <a:noFill/>
        </a:ln>
        <a:effectLst/>
      </c:spPr>
      <c:txPr>
        <a:bodyPr rot="0" spcFirstLastPara="1" vertOverflow="ellipsis" vert="horz" wrap="square" anchor="ctr" anchorCtr="1"/>
        <a:lstStyle/>
        <a:p>
          <a:pPr>
            <a:defRPr sz="1050" b="0" i="0" u="none" strike="noStrike" kern="1200" baseline="0">
              <a:ln>
                <a:solidFill>
                  <a:sysClr val="windowText" lastClr="000000"/>
                </a:solidFill>
              </a:ln>
              <a:solidFill>
                <a:schemeClr val="tx1">
                  <a:lumMod val="95000"/>
                  <a:lumOff val="5000"/>
                  <a:alpha val="67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ln>
                  <a:solidFill>
                    <a:schemeClr val="tx1">
                      <a:lumMod val="95000"/>
                      <a:lumOff val="5000"/>
                      <a:alpha val="70000"/>
                    </a:schemeClr>
                  </a:solidFill>
                </a:ln>
                <a:solidFill>
                  <a:sysClr val="windowText" lastClr="000000">
                    <a:lumMod val="65000"/>
                    <a:lumOff val="35000"/>
                  </a:sysClr>
                </a:solidFill>
              </a:rPr>
              <a:t>Annual YoY CPI Growth(R+U)- Avg Annual Index</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'Solution 2 '!$A$36:$A$42</c:f>
              <c:numCache>
                <c:formatCode>General</c:formatCode>
                <c:ptCount val="7"/>
                <c:pt idx="0">
                  <c:v>2017</c:v>
                </c:pt>
                <c:pt idx="1">
                  <c:v>2018</c:v>
                </c:pt>
                <c:pt idx="2">
                  <c:v>2019</c:v>
                </c:pt>
                <c:pt idx="3">
                  <c:v>2020</c:v>
                </c:pt>
                <c:pt idx="4">
                  <c:v>2021</c:v>
                </c:pt>
                <c:pt idx="5">
                  <c:v>2022</c:v>
                </c:pt>
                <c:pt idx="6">
                  <c:v>2023</c:v>
                </c:pt>
              </c:numCache>
            </c:numRef>
          </c:cat>
          <c:val>
            <c:numRef>
              <c:f>'Solution 2 '!$C$36:$C$42</c:f>
              <c:numCache>
                <c:formatCode>0.0%</c:formatCode>
                <c:ptCount val="7"/>
                <c:pt idx="1">
                  <c:v>3.9513108614232476E-2</c:v>
                </c:pt>
                <c:pt idx="2">
                  <c:v>3.8961038961039161E-2</c:v>
                </c:pt>
                <c:pt idx="3">
                  <c:v>6.3795712484236794E-2</c:v>
                </c:pt>
                <c:pt idx="4">
                  <c:v>5.2668752988220886E-2</c:v>
                </c:pt>
                <c:pt idx="5">
                  <c:v>6.6219354838709665E-2</c:v>
                </c:pt>
                <c:pt idx="6">
                  <c:v>3.1774615161196632E-2</c:v>
                </c:pt>
              </c:numCache>
            </c:numRef>
          </c:val>
          <c:smooth val="0"/>
          <c:extLst>
            <c:ext xmlns:c16="http://schemas.microsoft.com/office/drawing/2014/chart" uri="{C3380CC4-5D6E-409C-BE32-E72D297353CC}">
              <c16:uniqueId val="{00000000-8EA5-4E6A-9AAB-4ED2090068BB}"/>
            </c:ext>
          </c:extLst>
        </c:ser>
        <c:dLbls>
          <c:dLblPos val="t"/>
          <c:showLegendKey val="0"/>
          <c:showVal val="1"/>
          <c:showCatName val="0"/>
          <c:showSerName val="0"/>
          <c:showPercent val="0"/>
          <c:showBubbleSize val="0"/>
        </c:dLbls>
        <c:smooth val="0"/>
        <c:axId val="274119151"/>
        <c:axId val="274120111"/>
      </c:lineChart>
      <c:catAx>
        <c:axId val="274119151"/>
        <c:scaling>
          <c:orientation val="minMax"/>
        </c:scaling>
        <c:delete val="0"/>
        <c:axPos val="b"/>
        <c:majorGridlines>
          <c:spPr>
            <a:ln w="9525" cap="flat" cmpd="sng" algn="ctr">
              <a:gradFill>
                <a:gsLst>
                  <a:gs pos="0">
                    <a:schemeClr val="accent2">
                      <a:lumMod val="40000"/>
                      <a:lumOff val="60000"/>
                    </a:schemeClr>
                  </a:gs>
                  <a:gs pos="35002">
                    <a:srgbClr val="D3DE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ysDash"/>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0" i="0" u="none" strike="noStrike" kern="1200" baseline="0">
                    <a:ln>
                      <a:solidFill>
                        <a:schemeClr val="tx1">
                          <a:lumMod val="95000"/>
                          <a:lumOff val="5000"/>
                          <a:alpha val="70000"/>
                        </a:schemeClr>
                      </a:solidFill>
                    </a:ln>
                    <a:solidFill>
                      <a:sysClr val="windowText" lastClr="000000">
                        <a:lumMod val="65000"/>
                        <a:lumOff val="35000"/>
                      </a:sysClr>
                    </a:solidFill>
                  </a:rPr>
                  <a:t>Year</a:t>
                </a:r>
                <a:endParaRPr lang="en-IN"/>
              </a:p>
            </c:rich>
          </c:tx>
          <c:layout>
            <c:manualLayout>
              <c:xMode val="edge"/>
              <c:yMode val="edge"/>
              <c:x val="0.48709601924759405"/>
              <c:y val="0.889976669582968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crossAx val="274120111"/>
        <c:crosses val="autoZero"/>
        <c:auto val="1"/>
        <c:lblAlgn val="ctr"/>
        <c:lblOffset val="100"/>
        <c:noMultiLvlLbl val="0"/>
      </c:catAx>
      <c:valAx>
        <c:axId val="274120111"/>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ln>
                      <a:solidFill>
                        <a:schemeClr val="tx1">
                          <a:lumMod val="95000"/>
                          <a:lumOff val="5000"/>
                          <a:alpha val="70000"/>
                        </a:schemeClr>
                      </a:solidFill>
                    </a:ln>
                    <a:solidFill>
                      <a:sysClr val="windowText" lastClr="000000">
                        <a:lumMod val="65000"/>
                        <a:lumOff val="35000"/>
                      </a:sysClr>
                    </a:solidFill>
                  </a:rPr>
                  <a:t>Growth Rate by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7000"/>
                    </a:schemeClr>
                  </a:solidFill>
                </a:ln>
                <a:solidFill>
                  <a:schemeClr val="tx1">
                    <a:lumMod val="65000"/>
                    <a:lumOff val="35000"/>
                  </a:schemeClr>
                </a:solidFill>
                <a:latin typeface="+mn-lt"/>
                <a:ea typeface="+mn-ea"/>
                <a:cs typeface="+mn-cs"/>
              </a:defRPr>
            </a:pPr>
            <a:endParaRPr lang="en-US"/>
          </a:p>
        </c:txPr>
        <c:crossAx val="274119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ln>
                  <a:solidFill>
                    <a:schemeClr val="tx1">
                      <a:alpha val="68000"/>
                    </a:schemeClr>
                  </a:solidFill>
                </a:ln>
                <a:solidFill>
                  <a:schemeClr val="tx1">
                    <a:lumMod val="65000"/>
                    <a:lumOff val="35000"/>
                  </a:schemeClr>
                </a:solidFill>
                <a:latin typeface="+mn-lt"/>
                <a:ea typeface="+mn-ea"/>
                <a:cs typeface="+mn-cs"/>
              </a:defRPr>
            </a:pPr>
            <a:r>
              <a:rPr lang="en-IN" sz="1600" b="1" i="0" u="none" strike="noStrike" kern="1200" baseline="0">
                <a:ln>
                  <a:solidFill>
                    <a:schemeClr val="tx1">
                      <a:alpha val="67000"/>
                    </a:schemeClr>
                  </a:solidFill>
                </a:ln>
                <a:solidFill>
                  <a:sysClr val="windowText" lastClr="000000">
                    <a:lumMod val="65000"/>
                    <a:lumOff val="35000"/>
                  </a:sysClr>
                </a:solidFill>
              </a:rPr>
              <a:t>Absolute Change in Food Catagories for R+U</a:t>
            </a:r>
          </a:p>
          <a:p>
            <a:pPr>
              <a:defRPr/>
            </a:pPr>
            <a:r>
              <a:rPr lang="en-IN" sz="1600" b="1" i="0" u="none" strike="noStrike" kern="1200" baseline="0">
                <a:ln>
                  <a:solidFill>
                    <a:schemeClr val="tx1">
                      <a:alpha val="67000"/>
                    </a:schemeClr>
                  </a:solidFill>
                </a:ln>
                <a:solidFill>
                  <a:sysClr val="windowText" lastClr="000000">
                    <a:lumMod val="65000"/>
                    <a:lumOff val="35000"/>
                  </a:sysClr>
                </a:solidFill>
              </a:rPr>
              <a:t>(jun 22-may 23)</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14C-47DE-86C1-23931A8335FD}"/>
              </c:ext>
            </c:extLst>
          </c:dPt>
          <c:dPt>
            <c:idx val="9"/>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14C-47DE-86C1-23931A8335FD}"/>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8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 '!$N$41:$N$54</c:f>
              <c:strCache>
                <c:ptCount val="14"/>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strCache>
            </c:strRef>
          </c:cat>
          <c:val>
            <c:numRef>
              <c:f>'solution 3 '!$Q$41:$Q$54</c:f>
              <c:numCache>
                <c:formatCode>0.0%</c:formatCode>
                <c:ptCount val="14"/>
                <c:pt idx="0">
                  <c:v>0.3189882855777923</c:v>
                </c:pt>
                <c:pt idx="1">
                  <c:v>-5.999208895416077E-3</c:v>
                </c:pt>
                <c:pt idx="2">
                  <c:v>2.5426089427913145E-2</c:v>
                </c:pt>
                <c:pt idx="3">
                  <c:v>0.22840814741852405</c:v>
                </c:pt>
                <c:pt idx="4">
                  <c:v>-0.43172983547004845</c:v>
                </c:pt>
                <c:pt idx="5">
                  <c:v>5.1865506740527284E-3</c:v>
                </c:pt>
                <c:pt idx="6">
                  <c:v>-0.32186676905674427</c:v>
                </c:pt>
                <c:pt idx="7">
                  <c:v>0.20542393492278999</c:v>
                </c:pt>
                <c:pt idx="8">
                  <c:v>6.8133153992219031E-2</c:v>
                </c:pt>
                <c:pt idx="9">
                  <c:v>0.42687750766593591</c:v>
                </c:pt>
                <c:pt idx="10">
                  <c:v>9.3656252723267483E-2</c:v>
                </c:pt>
                <c:pt idx="11">
                  <c:v>0.14962433521241369</c:v>
                </c:pt>
                <c:pt idx="12">
                  <c:v>6.963624391446202E-2</c:v>
                </c:pt>
                <c:pt idx="13">
                  <c:v>9.6000596441990799E-2</c:v>
                </c:pt>
              </c:numCache>
            </c:numRef>
          </c:val>
          <c:extLst>
            <c:ext xmlns:c16="http://schemas.microsoft.com/office/drawing/2014/chart" uri="{C3380CC4-5D6E-409C-BE32-E72D297353CC}">
              <c16:uniqueId val="{00000004-814C-47DE-86C1-23931A8335FD}"/>
            </c:ext>
          </c:extLst>
        </c:ser>
        <c:dLbls>
          <c:dLblPos val="outEnd"/>
          <c:showLegendKey val="0"/>
          <c:showVal val="1"/>
          <c:showCatName val="0"/>
          <c:showSerName val="0"/>
          <c:showPercent val="0"/>
          <c:showBubbleSize val="0"/>
        </c:dLbls>
        <c:gapWidth val="100"/>
        <c:overlap val="-24"/>
        <c:axId val="45652223"/>
        <c:axId val="45651743"/>
      </c:barChart>
      <c:catAx>
        <c:axId val="45652223"/>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crossAx val="45651743"/>
        <c:crosses val="autoZero"/>
        <c:auto val="1"/>
        <c:lblAlgn val="ctr"/>
        <c:lblOffset val="100"/>
        <c:noMultiLvlLbl val="0"/>
      </c:catAx>
      <c:valAx>
        <c:axId val="456517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crossAx val="4565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tx1">
                <a:alpha val="68000"/>
              </a:schemeClr>
            </a:solidFill>
          </a:ln>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main.xlsx]solution 3 !PivotTable32</c:name>
    <c:fmtId val="26"/>
  </c:pivotSource>
  <c:chart>
    <c:title>
      <c:tx>
        <c:rich>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r>
              <a:rPr lang="en-US">
                <a:ln>
                  <a:solidFill>
                    <a:schemeClr val="tx1">
                      <a:alpha val="70000"/>
                    </a:schemeClr>
                  </a:solidFill>
                </a:ln>
              </a:rPr>
              <a:t>Month-on-month Food Inflation (%)</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dLbl>
          <c:idx val="0"/>
          <c:tx>
            <c:rich>
              <a:bodyPr rot="0" spcFirstLastPara="1" vertOverflow="ellipsis" horzOverflow="clip" vert="horz" wrap="square" lIns="360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-0.47</a:t>
                </a:r>
              </a:p>
            </c:rich>
          </c:tx>
          <c:spPr>
            <a:noFill/>
            <a:ln>
              <a:solidFill>
                <a:schemeClr val="tx1"/>
              </a:solidFill>
            </a:ln>
            <a:effectLst/>
          </c:spPr>
          <c:txPr>
            <a:bodyPr rot="0" spcFirstLastPara="1" vertOverflow="ellipsis" horzOverflow="clip" vert="horz" wrap="square" lIns="360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2842BD8B-A4A8-41A4-A670-9B18014B72AB}"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1EE9754B-0194-4DA4-8A3F-2244995CB64C}"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DC83F5E7-6F21-43D9-AA76-774F80F2C26B}"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C5562238-0690-4A71-92B5-EE66F3DFA962}"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CC5333D7-F85B-4061-B122-ECF9F7ECEE57}"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B8F9AA12-B2DD-4186-9952-795CF548131C}"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05103747-7E20-4215-B5FE-F7957A989FAF}"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D7B4DE6E-B3A7-4562-9544-CA78EA0D15D1}"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072BF2BD-7895-4099-8EE2-F8890D57629A}"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7A832C2A-DC58-487D-B316-CB5B5646B506}"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A674C87F-67B4-4558-A958-8947595DCC35}"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59503281-BE37-406B-A70D-D385D0629074}"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a:no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C5562238-0690-4A71-92B5-EE66F3DFA962}"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CC5333D7-F85B-4061-B122-ECF9F7ECEE57}"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B8F9AA12-B2DD-4186-9952-795CF548131C}"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05103747-7E20-4215-B5FE-F7957A989FAF}"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D7B4DE6E-B3A7-4562-9544-CA78EA0D15D1}"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072BF2BD-7895-4099-8EE2-F8890D57629A}"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DC83F5E7-6F21-43D9-AA76-774F80F2C26B}"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7A832C2A-DC58-487D-B316-CB5B5646B506}"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2842BD8B-A4A8-41A4-A670-9B18014B72AB}"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A674C87F-67B4-4558-A958-8947595DCC35}"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59503281-BE37-406B-A70D-D385D0629074}"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1EE9754B-0194-4DA4-8A3F-2244995CB64C}" type="CELLRANGE">
                  <a:rPr lang="en-US"/>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7"/>
        <c:spPr>
          <a:solidFill>
            <a:schemeClr val="accent1"/>
          </a:solidFill>
          <a:ln>
            <a:no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713C26ED-C8FD-4F70-A664-0CEE758BE8FD}" type="CELLRANGE">
                  <a:rPr lang="en-US"/>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72C2D6B6-7E0D-41CB-8142-1DD276D288DA}"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D9E43DC0-F936-44D1-B7D5-5352604DE13F}"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1DA2C49B-92D0-4BA1-B352-2EFD9016E503}"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4A4DB154-C7D3-4AA5-97AF-A745137D323A}"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52A4B889-6A1F-4079-A4A1-DFBDB4CBA75D}"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96FBCC42-EBD5-4B00-9872-D26DC89939FA}"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B49F1007-F25E-4DFF-BFFE-9DC6A678654B}"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D0FB60FD-DC6E-4DD8-944D-DFC6ACFAF577}"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2B465690-800A-4DF8-90AF-77A4FB6B2BAE}"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511E55B9-BB70-4A99-A6B3-41ECBB1B4D47}"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F15EE46D-A566-4EDA-84E4-FBCAC43C6926}"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1"/>
        <c:ser>
          <c:idx val="0"/>
          <c:order val="0"/>
          <c:tx>
            <c:strRef>
              <c:f>'solution 3 '!$B$70:$B$81</c:f>
              <c:strCache>
                <c:ptCount val="1"/>
                <c:pt idx="0">
                  <c:v>Total</c:v>
                </c:pt>
              </c:strCache>
            </c:strRef>
          </c:tx>
          <c:spPr>
            <a:solidFill>
              <a:schemeClr val="accent1"/>
            </a:solidFill>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F31-4C8E-B0EA-907591FB23D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FF31-4C8E-B0EA-907591FB23D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FF31-4C8E-B0EA-907591FB23D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FF31-4C8E-B0EA-907591FB23D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FF31-4C8E-B0EA-907591FB23D6}"/>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FF31-4C8E-B0EA-907591FB23D6}"/>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D-FF31-4C8E-B0EA-907591FB23D6}"/>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F-FF31-4C8E-B0EA-907591FB23D6}"/>
              </c:ext>
            </c:extLst>
          </c:dPt>
          <c:dPt>
            <c:idx val="8"/>
            <c:invertIfNegative val="0"/>
            <c:bubble3D val="0"/>
            <c:spPr>
              <a:solidFill>
                <a:schemeClr val="accent1"/>
              </a:solidFill>
              <a:ln>
                <a:noFill/>
              </a:ln>
              <a:effectLst/>
            </c:spPr>
            <c:extLst>
              <c:ext xmlns:c16="http://schemas.microsoft.com/office/drawing/2014/chart" uri="{C3380CC4-5D6E-409C-BE32-E72D297353CC}">
                <c16:uniqueId val="{00000011-FF31-4C8E-B0EA-907591FB23D6}"/>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3-FF31-4C8E-B0EA-907591FB23D6}"/>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15-FF31-4C8E-B0EA-907591FB23D6}"/>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17-FF31-4C8E-B0EA-907591FB23D6}"/>
              </c:ext>
            </c:extLst>
          </c:dPt>
          <c:dLbls>
            <c:dLbl>
              <c:idx val="0"/>
              <c:tx>
                <c:rich>
                  <a:bodyPr/>
                  <a:lstStyle/>
                  <a:p>
                    <a:fld id="{713C26ED-C8FD-4F70-A664-0CEE758BE8F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F31-4C8E-B0EA-907591FB23D6}"/>
                </c:ext>
              </c:extLst>
            </c:dLbl>
            <c:dLbl>
              <c:idx val="1"/>
              <c:tx>
                <c:rich>
                  <a:bodyPr/>
                  <a:lstStyle/>
                  <a:p>
                    <a:fld id="{72C2D6B6-7E0D-41CB-8142-1DD276D288D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F31-4C8E-B0EA-907591FB23D6}"/>
                </c:ext>
              </c:extLst>
            </c:dLbl>
            <c:dLbl>
              <c:idx val="2"/>
              <c:tx>
                <c:rich>
                  <a:bodyPr/>
                  <a:lstStyle/>
                  <a:p>
                    <a:fld id="{D9E43DC0-F936-44D1-B7D5-5352604DE13F}"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F31-4C8E-B0EA-907591FB23D6}"/>
                </c:ext>
              </c:extLst>
            </c:dLbl>
            <c:dLbl>
              <c:idx val="3"/>
              <c:tx>
                <c:rich>
                  <a:bodyPr/>
                  <a:lstStyle/>
                  <a:p>
                    <a:fld id="{1DA2C49B-92D0-4BA1-B352-2EFD9016E503}"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F31-4C8E-B0EA-907591FB23D6}"/>
                </c:ext>
              </c:extLst>
            </c:dLbl>
            <c:dLbl>
              <c:idx val="4"/>
              <c:tx>
                <c:rich>
                  <a:bodyPr/>
                  <a:lstStyle/>
                  <a:p>
                    <a:fld id="{4A4DB154-C7D3-4AA5-97AF-A745137D323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F31-4C8E-B0EA-907591FB23D6}"/>
                </c:ext>
              </c:extLst>
            </c:dLbl>
            <c:dLbl>
              <c:idx val="5"/>
              <c:tx>
                <c:rich>
                  <a:bodyPr/>
                  <a:lstStyle/>
                  <a:p>
                    <a:fld id="{52A4B889-6A1F-4079-A4A1-DFBDB4CBA75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F31-4C8E-B0EA-907591FB23D6}"/>
                </c:ext>
              </c:extLst>
            </c:dLbl>
            <c:dLbl>
              <c:idx val="6"/>
              <c:tx>
                <c:rich>
                  <a:bodyPr/>
                  <a:lstStyle/>
                  <a:p>
                    <a:fld id="{96FBCC42-EBD5-4B00-9872-D26DC89939F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F31-4C8E-B0EA-907591FB23D6}"/>
                </c:ext>
              </c:extLst>
            </c:dLbl>
            <c:dLbl>
              <c:idx val="7"/>
              <c:tx>
                <c:rich>
                  <a:bodyPr/>
                  <a:lstStyle/>
                  <a:p>
                    <a:fld id="{B49F1007-F25E-4DFF-BFFE-9DC6A678654B}"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F31-4C8E-B0EA-907591FB23D6}"/>
                </c:ext>
              </c:extLst>
            </c:dLbl>
            <c:dLbl>
              <c:idx val="8"/>
              <c:tx>
                <c:rich>
                  <a:bodyPr/>
                  <a:lstStyle/>
                  <a:p>
                    <a:fld id="{D0FB60FD-DC6E-4DD8-944D-DFC6ACFAF57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F31-4C8E-B0EA-907591FB23D6}"/>
                </c:ext>
              </c:extLst>
            </c:dLbl>
            <c:dLbl>
              <c:idx val="9"/>
              <c:tx>
                <c:rich>
                  <a:bodyPr/>
                  <a:lstStyle/>
                  <a:p>
                    <a:fld id="{2B465690-800A-4DF8-90AF-77A4FB6B2BAE}"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F31-4C8E-B0EA-907591FB23D6}"/>
                </c:ext>
              </c:extLst>
            </c:dLbl>
            <c:dLbl>
              <c:idx val="10"/>
              <c:tx>
                <c:rich>
                  <a:bodyPr/>
                  <a:lstStyle/>
                  <a:p>
                    <a:fld id="{511E55B9-BB70-4A99-A6B3-41ECBB1B4D4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FF31-4C8E-B0EA-907591FB23D6}"/>
                </c:ext>
              </c:extLst>
            </c:dLbl>
            <c:dLbl>
              <c:idx val="11"/>
              <c:tx>
                <c:rich>
                  <a:bodyPr/>
                  <a:lstStyle/>
                  <a:p>
                    <a:fld id="{F15EE46D-A566-4EDA-84E4-FBCAC43C6926}"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FF31-4C8E-B0EA-907591FB23D6}"/>
                </c:ext>
              </c:extLst>
            </c:dLbl>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'solution 3 '!$B$70:$B$81</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'solution 3 '!$B$70:$B$81</c:f>
              <c:numCache>
                <c:formatCode>General</c:formatCode>
                <c:ptCount val="12"/>
                <c:pt idx="0">
                  <c:v>-1.1907635368895402E-2</c:v>
                </c:pt>
                <c:pt idx="1">
                  <c:v>-1.1766123202955499E-2</c:v>
                </c:pt>
                <c:pt idx="2">
                  <c:v>-1.1314395763119676E-2</c:v>
                </c:pt>
                <c:pt idx="3">
                  <c:v>-1.1691472806352255E-2</c:v>
                </c:pt>
                <c:pt idx="4">
                  <c:v>-1.1417697431018036E-2</c:v>
                </c:pt>
                <c:pt idx="5">
                  <c:v>-8.4691848906559095E-3</c:v>
                </c:pt>
                <c:pt idx="6">
                  <c:v>-6.4880451760180313E-3</c:v>
                </c:pt>
                <c:pt idx="7">
                  <c:v>-8.3207261724662224E-3</c:v>
                </c:pt>
                <c:pt idx="8">
                  <c:v>-1.089428947683445E-2</c:v>
                </c:pt>
                <c:pt idx="9">
                  <c:v>-1.0933322692629975E-2</c:v>
                </c:pt>
                <c:pt idx="10">
                  <c:v>-1.2295732191020193E-2</c:v>
                </c:pt>
                <c:pt idx="11">
                  <c:v>-1.2365612570393206E-2</c:v>
                </c:pt>
              </c:numCache>
            </c:numRef>
          </c:val>
          <c:extLst>
            <c:ext xmlns:c15="http://schemas.microsoft.com/office/drawing/2012/chart" uri="{02D57815-91ED-43cb-92C2-25804820EDAC}">
              <c15:datalabelsRange>
                <c15:f>'solution 3 '!$B$70:$B$81</c15:f>
                <c15:dlblRangeCache>
                  <c:ptCount val="12"/>
                  <c:pt idx="0">
                    <c:v>-1.2%</c:v>
                  </c:pt>
                  <c:pt idx="1">
                    <c:v>-1.18%</c:v>
                  </c:pt>
                  <c:pt idx="2">
                    <c:v>-1.13%</c:v>
                  </c:pt>
                  <c:pt idx="3">
                    <c:v>-1.17%</c:v>
                  </c:pt>
                  <c:pt idx="4">
                    <c:v>-1.14%</c:v>
                  </c:pt>
                  <c:pt idx="5">
                    <c:v>-0.85%</c:v>
                  </c:pt>
                  <c:pt idx="6">
                    <c:v>-0.65%</c:v>
                  </c:pt>
                  <c:pt idx="7">
                    <c:v>-0.83%</c:v>
                  </c:pt>
                  <c:pt idx="8">
                    <c:v>-1.09%</c:v>
                  </c:pt>
                  <c:pt idx="9">
                    <c:v>-1.09%</c:v>
                  </c:pt>
                  <c:pt idx="10">
                    <c:v>-1.23%</c:v>
                  </c:pt>
                  <c:pt idx="11">
                    <c:v>-1.24%</c:v>
                  </c:pt>
                </c15:dlblRangeCache>
              </c15:datalabelsRange>
            </c:ext>
            <c:ext xmlns:c16="http://schemas.microsoft.com/office/drawing/2014/chart" uri="{C3380CC4-5D6E-409C-BE32-E72D297353CC}">
              <c16:uniqueId val="{00000018-FF31-4C8E-B0EA-907591FB23D6}"/>
            </c:ext>
          </c:extLst>
        </c:ser>
        <c:dLbls>
          <c:dLblPos val="outEnd"/>
          <c:showLegendKey val="0"/>
          <c:showVal val="1"/>
          <c:showCatName val="0"/>
          <c:showSerName val="0"/>
          <c:showPercent val="0"/>
          <c:showBubbleSize val="0"/>
        </c:dLbls>
        <c:gapWidth val="219"/>
        <c:overlap val="-27"/>
        <c:axId val="1403261407"/>
        <c:axId val="1403263327"/>
      </c:barChart>
      <c:catAx>
        <c:axId val="14032614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5000"/>
                    </a:schemeClr>
                  </a:solidFill>
                </a:ln>
                <a:solidFill>
                  <a:schemeClr val="tx1">
                    <a:lumMod val="65000"/>
                    <a:lumOff val="35000"/>
                  </a:schemeClr>
                </a:solidFill>
                <a:latin typeface="+mn-lt"/>
                <a:ea typeface="+mn-ea"/>
                <a:cs typeface="+mn-cs"/>
              </a:defRPr>
            </a:pPr>
            <a:endParaRPr lang="en-US"/>
          </a:p>
        </c:txPr>
        <c:crossAx val="1403263327"/>
        <c:crosses val="autoZero"/>
        <c:auto val="1"/>
        <c:lblAlgn val="ctr"/>
        <c:lblOffset val="100"/>
        <c:noMultiLvlLbl val="0"/>
      </c:catAx>
      <c:valAx>
        <c:axId val="140326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solidFill>
                        <a:schemeClr val="tx1">
                          <a:alpha val="64000"/>
                        </a:schemeClr>
                      </a:solidFill>
                    </a:ln>
                    <a:solidFill>
                      <a:schemeClr val="tx1">
                        <a:lumMod val="65000"/>
                        <a:lumOff val="35000"/>
                      </a:schemeClr>
                    </a:solidFill>
                    <a:latin typeface="+mn-lt"/>
                    <a:ea typeface="+mn-ea"/>
                    <a:cs typeface="+mn-cs"/>
                  </a:defRPr>
                </a:pPr>
                <a:r>
                  <a:rPr lang="en-IN">
                    <a:ln>
                      <a:solidFill>
                        <a:schemeClr val="tx1">
                          <a:alpha val="64000"/>
                        </a:schemeClr>
                      </a:solidFill>
                    </a:ln>
                  </a:rPr>
                  <a:t>MOM</a:t>
                </a:r>
                <a:r>
                  <a:rPr lang="en-IN" baseline="0">
                    <a:ln>
                      <a:solidFill>
                        <a:schemeClr val="tx1">
                          <a:alpha val="64000"/>
                        </a:schemeClr>
                      </a:solidFill>
                    </a:ln>
                  </a:rPr>
                  <a:t>  %</a:t>
                </a:r>
                <a:endParaRPr lang="en-IN">
                  <a:ln>
                    <a:solidFill>
                      <a:schemeClr val="tx1">
                        <a:alpha val="64000"/>
                      </a:schemeClr>
                    </a:solidFill>
                  </a:ln>
                </a:endParaRPr>
              </a:p>
            </c:rich>
          </c:tx>
          <c:overlay val="0"/>
          <c:spPr>
            <a:noFill/>
            <a:ln>
              <a:solidFill>
                <a:schemeClr val="tx1"/>
              </a:solidFill>
            </a:ln>
            <a:effectLst/>
          </c:spPr>
          <c:txPr>
            <a:bodyPr rot="-5400000" spcFirstLastPara="1" vertOverflow="ellipsis" vert="horz" wrap="square" anchor="ctr" anchorCtr="1"/>
            <a:lstStyle/>
            <a:p>
              <a:pPr>
                <a:defRPr sz="1000" b="0" i="0" u="none" strike="noStrike" kern="1200" baseline="0">
                  <a:ln>
                    <a:solidFill>
                      <a:schemeClr val="tx1">
                        <a:alpha val="64000"/>
                      </a:schemeClr>
                    </a:solidFill>
                  </a:ln>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5000"/>
                    </a:schemeClr>
                  </a:solidFill>
                </a:ln>
                <a:solidFill>
                  <a:schemeClr val="tx1">
                    <a:lumMod val="65000"/>
                    <a:lumOff val="35000"/>
                  </a:schemeClr>
                </a:solidFill>
                <a:latin typeface="+mn-lt"/>
                <a:ea typeface="+mn-ea"/>
                <a:cs typeface="+mn-cs"/>
              </a:defRPr>
            </a:pPr>
            <a:endParaRPr lang="en-US"/>
          </a:p>
        </c:txPr>
        <c:crossAx val="140326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main.xlsx]solution 3 !PivotTable31</c:name>
    <c:fmtId val="14"/>
  </c:pivotSource>
  <c:chart>
    <c:title>
      <c:tx>
        <c:rich>
          <a:bodyPr rot="0" spcFirstLastPara="1" vertOverflow="ellipsis" vert="horz" wrap="square" anchor="ctr" anchorCtr="1"/>
          <a:lstStyle/>
          <a:p>
            <a:pPr>
              <a:defRPr sz="1400" b="0" i="0" u="none" strike="noStrike" kern="1200" spc="0" baseline="0">
                <a:ln>
                  <a:solidFill>
                    <a:schemeClr val="tx1">
                      <a:alpha val="67000"/>
                    </a:schemeClr>
                  </a:solidFill>
                </a:ln>
                <a:solidFill>
                  <a:schemeClr val="tx1">
                    <a:lumMod val="65000"/>
                    <a:lumOff val="35000"/>
                  </a:schemeClr>
                </a:solidFill>
                <a:latin typeface="+mn-lt"/>
                <a:ea typeface="+mn-ea"/>
                <a:cs typeface="+mn-cs"/>
              </a:defRPr>
            </a:pPr>
            <a:r>
              <a:rPr lang="en-IN" sz="1400" b="0" i="0" u="none" strike="noStrike" baseline="0">
                <a:ln>
                  <a:solidFill>
                    <a:schemeClr val="tx1">
                      <a:alpha val="67000"/>
                    </a:schemeClr>
                  </a:solidFill>
                </a:ln>
              </a:rPr>
              <a:t>CPI Trends (Jun 2022 – May 2023)</a:t>
            </a:r>
            <a:endParaRPr lang="en-US">
              <a:ln>
                <a:solidFill>
                  <a:schemeClr val="tx1">
                    <a:alpha val="67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67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3.8113509046146674E-2"/>
              <c:y val="6.6675786207562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2.9800880920402114E-2"/>
              <c:y val="7.1271745310040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5.1967889255720878E-2"/>
              <c:y val="7.5867704412518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5.1967889255720878E-2"/>
              <c:y val="8.96555817199525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4.9197013213806033E-2"/>
              <c:y val="7.5867704412518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3.0066186846935163E-2"/>
              <c:y val="8.04636635149967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3.8113509046146674E-2"/>
              <c:y val="6.6675786207562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2.9800880920402114E-2"/>
              <c:y val="7.1271745310040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5.1967889255720878E-2"/>
              <c:y val="7.5867704412518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5.1967889255720878E-2"/>
              <c:y val="8.96555817199525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4.9197013213806033E-2"/>
              <c:y val="7.5867704412518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3.0066186846935163E-2"/>
              <c:y val="8.04636635149967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3.8113509046146674E-2"/>
              <c:y val="6.6675786207562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2.9800880920402114E-2"/>
              <c:y val="7.1271745310040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5.1967889255720878E-2"/>
              <c:y val="7.5867704412518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5.1967889255720878E-2"/>
              <c:y val="8.96555817199525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4.9197013213806033E-2"/>
              <c:y val="7.5867704412518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3.0066186846935163E-2"/>
              <c:y val="8.04636635149967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'solution 3 '!$B$43:$B$44</c:f>
              <c:strCache>
                <c:ptCount val="1"/>
                <c:pt idx="0">
                  <c:v>Total</c:v>
                </c:pt>
              </c:strCache>
            </c:strRef>
          </c:tx>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0-56B5-4449-866D-89C7FD8CBE77}"/>
              </c:ext>
            </c:extLst>
          </c:dPt>
          <c:dPt>
            <c:idx val="3"/>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1-56B5-4449-866D-89C7FD8CBE77}"/>
              </c:ext>
            </c:extLst>
          </c:dPt>
          <c:dPt>
            <c:idx val="5"/>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2-56B5-4449-866D-89C7FD8CBE77}"/>
              </c:ext>
            </c:extLst>
          </c:dPt>
          <c:dPt>
            <c:idx val="7"/>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3-56B5-4449-866D-89C7FD8CBE77}"/>
              </c:ext>
            </c:extLst>
          </c:dPt>
          <c:dPt>
            <c:idx val="9"/>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4-56B5-4449-866D-89C7FD8CBE77}"/>
              </c:ext>
            </c:extLst>
          </c:dPt>
          <c:dPt>
            <c:idx val="11"/>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5-56B5-4449-866D-89C7FD8CBE77}"/>
              </c:ext>
            </c:extLst>
          </c:dPt>
          <c:dLbls>
            <c:dLbl>
              <c:idx val="1"/>
              <c:layout>
                <c:manualLayout>
                  <c:x val="-3.8113509046146674E-2"/>
                  <c:y val="6.6675786207562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B5-4449-866D-89C7FD8CBE77}"/>
                </c:ext>
              </c:extLst>
            </c:dLbl>
            <c:dLbl>
              <c:idx val="3"/>
              <c:layout>
                <c:manualLayout>
                  <c:x val="-2.9800880920402114E-2"/>
                  <c:y val="7.1271745310040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B5-4449-866D-89C7FD8CBE77}"/>
                </c:ext>
              </c:extLst>
            </c:dLbl>
            <c:dLbl>
              <c:idx val="5"/>
              <c:layout>
                <c:manualLayout>
                  <c:x val="-5.1967889255720878E-2"/>
                  <c:y val="7.58677044125188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B5-4449-866D-89C7FD8CBE77}"/>
                </c:ext>
              </c:extLst>
            </c:dLbl>
            <c:dLbl>
              <c:idx val="7"/>
              <c:layout>
                <c:manualLayout>
                  <c:x val="-5.1967889255720878E-2"/>
                  <c:y val="8.96555817199525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B5-4449-866D-89C7FD8CBE77}"/>
                </c:ext>
              </c:extLst>
            </c:dLbl>
            <c:dLbl>
              <c:idx val="9"/>
              <c:layout>
                <c:manualLayout>
                  <c:x val="-4.9197013213806033E-2"/>
                  <c:y val="7.58677044125188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B5-4449-866D-89C7FD8CBE77}"/>
                </c:ext>
              </c:extLst>
            </c:dLbl>
            <c:dLbl>
              <c:idx val="11"/>
              <c:layout>
                <c:manualLayout>
                  <c:x val="-3.0066186846935163E-2"/>
                  <c:y val="8.04636635149967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B5-4449-866D-89C7FD8CBE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 '!$A$45:$A$57</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'solution 3 '!$B$45:$B$57</c:f>
              <c:numCache>
                <c:formatCode>0.0</c:formatCode>
                <c:ptCount val="12"/>
                <c:pt idx="0">
                  <c:v>175.44285714285715</c:v>
                </c:pt>
                <c:pt idx="1">
                  <c:v>175.77857142857144</c:v>
                </c:pt>
                <c:pt idx="2">
                  <c:v>176.01428571428573</c:v>
                </c:pt>
                <c:pt idx="3">
                  <c:v>176.91428571428574</c:v>
                </c:pt>
                <c:pt idx="4">
                  <c:v>178.11428571428573</c:v>
                </c:pt>
                <c:pt idx="5">
                  <c:v>178.12142857142859</c:v>
                </c:pt>
                <c:pt idx="6">
                  <c:v>177.19285714285715</c:v>
                </c:pt>
                <c:pt idx="7">
                  <c:v>177.92142857142855</c:v>
                </c:pt>
                <c:pt idx="8">
                  <c:v>177.04285714285714</c:v>
                </c:pt>
                <c:pt idx="9">
                  <c:v>177.04999999999998</c:v>
                </c:pt>
                <c:pt idx="10">
                  <c:v>177.87142857142859</c:v>
                </c:pt>
                <c:pt idx="11">
                  <c:v>179.1357142857143</c:v>
                </c:pt>
              </c:numCache>
            </c:numRef>
          </c:val>
          <c:smooth val="0"/>
          <c:extLst>
            <c:ext xmlns:c16="http://schemas.microsoft.com/office/drawing/2014/chart" uri="{C3380CC4-5D6E-409C-BE32-E72D297353CC}">
              <c16:uniqueId val="{00000006-56B5-4449-866D-89C7FD8CBE77}"/>
            </c:ext>
          </c:extLst>
        </c:ser>
        <c:dLbls>
          <c:dLblPos val="t"/>
          <c:showLegendKey val="0"/>
          <c:showVal val="1"/>
          <c:showCatName val="0"/>
          <c:showSerName val="0"/>
          <c:showPercent val="0"/>
          <c:showBubbleSize val="0"/>
        </c:dLbls>
        <c:marker val="1"/>
        <c:smooth val="0"/>
        <c:axId val="232753760"/>
        <c:axId val="232750880"/>
      </c:lineChart>
      <c:catAx>
        <c:axId val="232753760"/>
        <c:scaling>
          <c:orientation val="minMax"/>
        </c:scaling>
        <c:delete val="0"/>
        <c:axPos val="b"/>
        <c:majorGridlines>
          <c:spPr>
            <a:ln w="9525" cap="flat" cmpd="sng" algn="ctr">
              <a:solidFill>
                <a:schemeClr val="accent1">
                  <a:lumMod val="40000"/>
                  <a:lumOff val="60000"/>
                </a:schemeClr>
              </a:solidFill>
              <a:prstDash val="sysDash"/>
              <a:round/>
            </a:ln>
            <a:effectLst/>
          </c:spPr>
        </c:majorGridlines>
        <c:title>
          <c:tx>
            <c:rich>
              <a:bodyPr rot="0" spcFirstLastPara="1" vertOverflow="ellipsis" vert="horz" wrap="square" anchor="ctr" anchorCtr="1"/>
              <a:lstStyle/>
              <a:p>
                <a:pPr>
                  <a:defRPr sz="1000" b="0" i="0" u="none" strike="noStrike" kern="1200" baseline="0">
                    <a:ln>
                      <a:solidFill>
                        <a:schemeClr val="tx1">
                          <a:alpha val="69000"/>
                        </a:schemeClr>
                      </a:solidFill>
                    </a:ln>
                    <a:solidFill>
                      <a:schemeClr val="tx1">
                        <a:lumMod val="65000"/>
                        <a:lumOff val="35000"/>
                      </a:schemeClr>
                    </a:solidFill>
                    <a:latin typeface="+mn-lt"/>
                    <a:ea typeface="+mn-ea"/>
                    <a:cs typeface="+mn-cs"/>
                  </a:defRPr>
                </a:pPr>
                <a:r>
                  <a:rPr lang="en-IN">
                    <a:ln>
                      <a:solidFill>
                        <a:schemeClr val="tx1">
                          <a:alpha val="69000"/>
                        </a:schemeClr>
                      </a:solidFill>
                    </a:ln>
                  </a:rPr>
                  <a:t>Year</a:t>
                </a:r>
              </a:p>
            </c:rich>
          </c:tx>
          <c:layout>
            <c:manualLayout>
              <c:xMode val="edge"/>
              <c:yMode val="edge"/>
              <c:x val="0.45794377434334599"/>
              <c:y val="0.87956271077629367"/>
            </c:manualLayout>
          </c:layout>
          <c:overlay val="0"/>
          <c:spPr>
            <a:noFill/>
            <a:ln>
              <a:noFill/>
            </a:ln>
            <a:effectLst/>
          </c:spPr>
          <c:txPr>
            <a:bodyPr rot="0" spcFirstLastPara="1" vertOverflow="ellipsis" vert="horz" wrap="square" anchor="ctr" anchorCtr="1"/>
            <a:lstStyle/>
            <a:p>
              <a:pPr>
                <a:defRPr sz="10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6000"/>
                    </a:schemeClr>
                  </a:solidFill>
                </a:ln>
                <a:solidFill>
                  <a:schemeClr val="tx1">
                    <a:lumMod val="65000"/>
                    <a:lumOff val="35000"/>
                  </a:schemeClr>
                </a:solidFill>
                <a:latin typeface="+mn-lt"/>
                <a:ea typeface="+mn-ea"/>
                <a:cs typeface="+mn-cs"/>
              </a:defRPr>
            </a:pPr>
            <a:endParaRPr lang="en-US"/>
          </a:p>
        </c:txPr>
        <c:crossAx val="232750880"/>
        <c:crosses val="autoZero"/>
        <c:auto val="1"/>
        <c:lblAlgn val="ctr"/>
        <c:lblOffset val="100"/>
        <c:noMultiLvlLbl val="0"/>
      </c:catAx>
      <c:valAx>
        <c:axId val="232750880"/>
        <c:scaling>
          <c:orientation val="minMax"/>
        </c:scaling>
        <c:delete val="0"/>
        <c:axPos val="l"/>
        <c:majorGridlines>
          <c:spPr>
            <a:ln w="9525" cap="flat" cmpd="sng" algn="ctr">
              <a:solidFill>
                <a:schemeClr val="accent1">
                  <a:lumMod val="40000"/>
                  <a:lumOff val="60000"/>
                </a:schemeClr>
              </a:solidFill>
              <a:prstDash val="sysDash"/>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ln>
                      <a:solidFill>
                        <a:schemeClr val="tx1">
                          <a:alpha val="64000"/>
                        </a:schemeClr>
                      </a:solidFill>
                    </a:ln>
                    <a:solidFill>
                      <a:sysClr val="windowText" lastClr="000000">
                        <a:lumMod val="65000"/>
                        <a:lumOff val="35000"/>
                      </a:sysClr>
                    </a:solidFill>
                  </a:rPr>
                  <a:t>Food Index (Avg)</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6000"/>
                    </a:schemeClr>
                  </a:solidFill>
                </a:ln>
                <a:solidFill>
                  <a:schemeClr val="tx1">
                    <a:lumMod val="65000"/>
                    <a:lumOff val="35000"/>
                  </a:schemeClr>
                </a:solidFill>
                <a:latin typeface="+mn-lt"/>
                <a:ea typeface="+mn-ea"/>
                <a:cs typeface="+mn-cs"/>
              </a:defRPr>
            </a:pPr>
            <a:endParaRPr lang="en-US"/>
          </a:p>
        </c:txPr>
        <c:crossAx val="232753760"/>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ln>
                  <a:solidFill>
                    <a:schemeClr val="tx1">
                      <a:alpha val="67000"/>
                    </a:schemeClr>
                  </a:solidFill>
                </a:ln>
                <a:solidFill>
                  <a:schemeClr val="tx1">
                    <a:lumMod val="65000"/>
                    <a:lumOff val="35000"/>
                  </a:schemeClr>
                </a:solidFill>
                <a:latin typeface="+mn-lt"/>
                <a:ea typeface="+mn-ea"/>
                <a:cs typeface="+mn-cs"/>
              </a:defRPr>
            </a:pPr>
            <a:r>
              <a:rPr lang="en-IN">
                <a:ln>
                  <a:solidFill>
                    <a:schemeClr val="tx1">
                      <a:alpha val="67000"/>
                    </a:schemeClr>
                  </a:solidFill>
                </a:ln>
              </a:rPr>
              <a:t>Impact Of Covid -19 on cpi inflation </a:t>
            </a:r>
          </a:p>
          <a:p>
            <a:pPr>
              <a:defRPr>
                <a:ln>
                  <a:solidFill>
                    <a:schemeClr val="tx1">
                      <a:alpha val="67000"/>
                    </a:schemeClr>
                  </a:solidFill>
                </a:ln>
              </a:defRPr>
            </a:pPr>
            <a:r>
              <a:rPr lang="en-IN">
                <a:ln>
                  <a:solidFill>
                    <a:schemeClr val="tx1">
                      <a:alpha val="67000"/>
                    </a:schemeClr>
                  </a:solidFill>
                </a:ln>
              </a:rPr>
              <a:t>(Pre VS Post covid) For Rural </a:t>
            </a:r>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1">
                    <a:alpha val="67000"/>
                  </a:schemeClr>
                </a:solidFill>
              </a:ln>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'solution 4 '!$E$49</c:f>
              <c:strCache>
                <c:ptCount val="1"/>
                <c:pt idx="0">
                  <c:v>Inflation 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'!$C$50:$D$54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'!$E$50:$E$54</c:f>
              <c:numCache>
                <c:formatCode>0.0%</c:formatCode>
                <c:ptCount val="5"/>
                <c:pt idx="0">
                  <c:v>-9.6198127206671077E-3</c:v>
                </c:pt>
                <c:pt idx="1">
                  <c:v>9.7019195755084803E-2</c:v>
                </c:pt>
                <c:pt idx="2">
                  <c:v>8.3950265755504988E-2</c:v>
                </c:pt>
                <c:pt idx="3">
                  <c:v>4.8304670488379456E-2</c:v>
                </c:pt>
                <c:pt idx="4">
                  <c:v>5.5169176942441521E-2</c:v>
                </c:pt>
              </c:numCache>
            </c:numRef>
          </c:val>
          <c:extLst>
            <c:ext xmlns:c16="http://schemas.microsoft.com/office/drawing/2014/chart" uri="{C3380CC4-5D6E-409C-BE32-E72D297353CC}">
              <c16:uniqueId val="{00000000-C146-4B09-BD2B-85F441C8FA42}"/>
            </c:ext>
          </c:extLst>
        </c:ser>
        <c:ser>
          <c:idx val="1"/>
          <c:order val="1"/>
          <c:tx>
            <c:strRef>
              <c:f>'solution 4 '!$F$49</c:f>
              <c:strCache>
                <c:ptCount val="1"/>
                <c:pt idx="0">
                  <c:v>Inflation Health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8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'!$C$50:$D$54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'!$F$50:$F$54</c:f>
              <c:numCache>
                <c:formatCode>0.0%</c:formatCode>
                <c:ptCount val="5"/>
                <c:pt idx="0">
                  <c:v>9.9999999999999964E-2</c:v>
                </c:pt>
                <c:pt idx="1">
                  <c:v>3.4759358288770172E-2</c:v>
                </c:pt>
                <c:pt idx="2">
                  <c:v>3.7893384714194005E-2</c:v>
                </c:pt>
                <c:pt idx="3">
                  <c:v>7.0769230769230765E-2</c:v>
                </c:pt>
                <c:pt idx="4">
                  <c:v>5.0372066399542142E-2</c:v>
                </c:pt>
              </c:numCache>
            </c:numRef>
          </c:val>
          <c:extLst>
            <c:ext xmlns:c16="http://schemas.microsoft.com/office/drawing/2014/chart" uri="{C3380CC4-5D6E-409C-BE32-E72D297353CC}">
              <c16:uniqueId val="{00000001-C146-4B09-BD2B-85F441C8FA42}"/>
            </c:ext>
          </c:extLst>
        </c:ser>
        <c:ser>
          <c:idx val="2"/>
          <c:order val="2"/>
          <c:tx>
            <c:strRef>
              <c:f>'solution 4 '!$G$49</c:f>
              <c:strCache>
                <c:ptCount val="1"/>
                <c:pt idx="0">
                  <c:v>Inflation Essential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6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'!$C$50:$D$54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'!$G$50:$G$54</c:f>
              <c:numCache>
                <c:formatCode>0.0%</c:formatCode>
                <c:ptCount val="5"/>
                <c:pt idx="0">
                  <c:v>6.780923994038765E-2</c:v>
                </c:pt>
                <c:pt idx="1">
                  <c:v>4.3607186464329324E-2</c:v>
                </c:pt>
                <c:pt idx="2">
                  <c:v>4.3492695883134015E-2</c:v>
                </c:pt>
                <c:pt idx="3">
                  <c:v>5.1212938005390757E-2</c:v>
                </c:pt>
                <c:pt idx="4">
                  <c:v>5.281372253987382E-2</c:v>
                </c:pt>
              </c:numCache>
            </c:numRef>
          </c:val>
          <c:extLst>
            <c:ext xmlns:c16="http://schemas.microsoft.com/office/drawing/2014/chart" uri="{C3380CC4-5D6E-409C-BE32-E72D297353CC}">
              <c16:uniqueId val="{00000002-C146-4B09-BD2B-85F441C8FA42}"/>
            </c:ext>
          </c:extLst>
        </c:ser>
        <c:dLbls>
          <c:dLblPos val="outEnd"/>
          <c:showLegendKey val="0"/>
          <c:showVal val="1"/>
          <c:showCatName val="0"/>
          <c:showSerName val="0"/>
          <c:showPercent val="0"/>
          <c:showBubbleSize val="0"/>
        </c:dLbls>
        <c:gapWidth val="100"/>
        <c:overlap val="-24"/>
        <c:axId val="1019830336"/>
        <c:axId val="1019822176"/>
      </c:barChart>
      <c:catAx>
        <c:axId val="10198303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6000"/>
                    </a:schemeClr>
                  </a:solidFill>
                </a:ln>
                <a:solidFill>
                  <a:schemeClr val="tx1">
                    <a:lumMod val="65000"/>
                    <a:lumOff val="35000"/>
                  </a:schemeClr>
                </a:solidFill>
                <a:latin typeface="+mn-lt"/>
                <a:ea typeface="+mn-ea"/>
                <a:cs typeface="+mn-cs"/>
              </a:defRPr>
            </a:pPr>
            <a:endParaRPr lang="en-US"/>
          </a:p>
        </c:txPr>
        <c:crossAx val="1019822176"/>
        <c:crosses val="autoZero"/>
        <c:auto val="1"/>
        <c:lblAlgn val="ctr"/>
        <c:lblOffset val="100"/>
        <c:noMultiLvlLbl val="0"/>
      </c:catAx>
      <c:valAx>
        <c:axId val="1019822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7000"/>
                    </a:schemeClr>
                  </a:solidFill>
                </a:ln>
                <a:solidFill>
                  <a:schemeClr val="tx1">
                    <a:lumMod val="65000"/>
                    <a:lumOff val="35000"/>
                  </a:schemeClr>
                </a:solidFill>
                <a:latin typeface="+mn-lt"/>
                <a:ea typeface="+mn-ea"/>
                <a:cs typeface="+mn-cs"/>
              </a:defRPr>
            </a:pPr>
            <a:endParaRPr lang="en-US"/>
          </a:p>
        </c:txPr>
        <c:crossAx val="1019830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baseline="0">
                <a:ln>
                  <a:solidFill>
                    <a:schemeClr val="tx1">
                      <a:alpha val="67000"/>
                    </a:schemeClr>
                  </a:solidFill>
                </a:ln>
                <a:solidFill>
                  <a:sysClr val="windowText" lastClr="000000">
                    <a:lumMod val="65000"/>
                    <a:lumOff val="35000"/>
                  </a:sysClr>
                </a:solidFill>
              </a:rPr>
              <a:t>Impact Of Covid -19 on cpi inflation </a:t>
            </a:r>
          </a:p>
          <a:p>
            <a:pPr>
              <a:defRPr/>
            </a:pPr>
            <a:r>
              <a:rPr lang="en-IN" sz="1400" b="1" i="0" u="none" strike="noStrike" kern="1200" baseline="0">
                <a:ln>
                  <a:solidFill>
                    <a:schemeClr val="tx1">
                      <a:alpha val="67000"/>
                    </a:schemeClr>
                  </a:solidFill>
                </a:ln>
                <a:solidFill>
                  <a:sysClr val="windowText" lastClr="000000">
                    <a:lumMod val="65000"/>
                    <a:lumOff val="35000"/>
                  </a:sysClr>
                </a:solidFill>
              </a:rPr>
              <a:t>(Pre VS Post covid) For Urban </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'solution 4 '!$L$49</c:f>
              <c:strCache>
                <c:ptCount val="1"/>
                <c:pt idx="0">
                  <c:v>Inflation Food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2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'!$I$50:$K$54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'!$L$50:$L$54</c:f>
              <c:numCache>
                <c:formatCode>0.0%</c:formatCode>
                <c:ptCount val="5"/>
                <c:pt idx="0">
                  <c:v>2.7282266526755458E-3</c:v>
                </c:pt>
                <c:pt idx="1">
                  <c:v>0.11424829753797781</c:v>
                </c:pt>
                <c:pt idx="2">
                  <c:v>9.4225498535110155E-2</c:v>
                </c:pt>
                <c:pt idx="3">
                  <c:v>4.9938832576022447E-2</c:v>
                </c:pt>
                <c:pt idx="4">
                  <c:v>4.7752926859972192E-2</c:v>
                </c:pt>
              </c:numCache>
            </c:numRef>
          </c:val>
          <c:extLst>
            <c:ext xmlns:c16="http://schemas.microsoft.com/office/drawing/2014/chart" uri="{C3380CC4-5D6E-409C-BE32-E72D297353CC}">
              <c16:uniqueId val="{00000000-D0E6-4485-91AB-EEC4DEF7F1AB}"/>
            </c:ext>
          </c:extLst>
        </c:ser>
        <c:ser>
          <c:idx val="1"/>
          <c:order val="1"/>
          <c:tx>
            <c:strRef>
              <c:f>'solution 4 '!$M$49</c:f>
              <c:strCache>
                <c:ptCount val="1"/>
                <c:pt idx="0">
                  <c:v>Inflation Health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4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'!$I$50:$K$54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'!$M$50:$M$54</c:f>
              <c:numCache>
                <c:formatCode>0.0%</c:formatCode>
                <c:ptCount val="5"/>
                <c:pt idx="0">
                  <c:v>6.4341085271317919E-2</c:v>
                </c:pt>
                <c:pt idx="1">
                  <c:v>3.9187227866472982E-2</c:v>
                </c:pt>
                <c:pt idx="2">
                  <c:v>6.3282336578581316E-2</c:v>
                </c:pt>
                <c:pt idx="3">
                  <c:v>7.1382219338092148E-2</c:v>
                </c:pt>
                <c:pt idx="4">
                  <c:v>6.6827212522576729E-2</c:v>
                </c:pt>
              </c:numCache>
            </c:numRef>
          </c:val>
          <c:extLst>
            <c:ext xmlns:c16="http://schemas.microsoft.com/office/drawing/2014/chart" uri="{C3380CC4-5D6E-409C-BE32-E72D297353CC}">
              <c16:uniqueId val="{00000001-D0E6-4485-91AB-EEC4DEF7F1AB}"/>
            </c:ext>
          </c:extLst>
        </c:ser>
        <c:ser>
          <c:idx val="2"/>
          <c:order val="2"/>
          <c:tx>
            <c:strRef>
              <c:f>'solution 4 '!$N$49</c:f>
              <c:strCache>
                <c:ptCount val="1"/>
                <c:pt idx="0">
                  <c:v>Inflation Essential</c:v>
                </c:pt>
              </c:strCache>
            </c:strRef>
          </c:tx>
          <c:spPr>
            <a:solidFill>
              <a:schemeClr val="accent3"/>
            </a:solidFill>
            <a:ln>
              <a:noFill/>
            </a:ln>
            <a:effectLst/>
          </c:spPr>
          <c:invertIfNegative val="0"/>
          <c:dLbls>
            <c:dLbl>
              <c:idx val="1"/>
              <c:layout>
                <c:manualLayout>
                  <c:x val="5.5555555555555046E-3"/>
                  <c:y val="-3.24074074074074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E6-4485-91AB-EEC4DEF7F1AB}"/>
                </c:ext>
              </c:extLst>
            </c:dLbl>
            <c:dLbl>
              <c:idx val="2"/>
              <c:layout>
                <c:manualLayout>
                  <c:x val="1.6666666666666566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E6-4485-91AB-EEC4DEF7F1AB}"/>
                </c:ext>
              </c:extLst>
            </c:dLbl>
            <c:dLbl>
              <c:idx val="4"/>
              <c:layout>
                <c:manualLayout>
                  <c:x val="1.388888888888899E-2"/>
                  <c:y val="-2.77777777777778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0E6-4485-91AB-EEC4DEF7F1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3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'!$I$50:$K$54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'!$N$50:$N$54</c:f>
              <c:numCache>
                <c:formatCode>0.0%</c:formatCode>
                <c:ptCount val="5"/>
                <c:pt idx="0">
                  <c:v>5.0719005052467979E-2</c:v>
                </c:pt>
                <c:pt idx="1">
                  <c:v>4.5387453874538575E-2</c:v>
                </c:pt>
                <c:pt idx="2">
                  <c:v>6.3531063531063622E-2</c:v>
                </c:pt>
                <c:pt idx="3">
                  <c:v>5.2076466710613278E-2</c:v>
                </c:pt>
                <c:pt idx="4">
                  <c:v>6.6011235955056285E-2</c:v>
                </c:pt>
              </c:numCache>
            </c:numRef>
          </c:val>
          <c:extLst>
            <c:ext xmlns:c16="http://schemas.microsoft.com/office/drawing/2014/chart" uri="{C3380CC4-5D6E-409C-BE32-E72D297353CC}">
              <c16:uniqueId val="{00000005-D0E6-4485-91AB-EEC4DEF7F1AB}"/>
            </c:ext>
          </c:extLst>
        </c:ser>
        <c:dLbls>
          <c:dLblPos val="outEnd"/>
          <c:showLegendKey val="0"/>
          <c:showVal val="1"/>
          <c:showCatName val="0"/>
          <c:showSerName val="0"/>
          <c:showPercent val="0"/>
          <c:showBubbleSize val="0"/>
        </c:dLbls>
        <c:gapWidth val="219"/>
        <c:overlap val="-27"/>
        <c:axId val="852658352"/>
        <c:axId val="852650192"/>
      </c:barChart>
      <c:catAx>
        <c:axId val="85265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6000"/>
                    </a:schemeClr>
                  </a:solidFill>
                </a:ln>
                <a:solidFill>
                  <a:schemeClr val="tx1">
                    <a:lumMod val="65000"/>
                    <a:lumOff val="35000"/>
                  </a:schemeClr>
                </a:solidFill>
                <a:latin typeface="+mn-lt"/>
                <a:ea typeface="+mn-ea"/>
                <a:cs typeface="+mn-cs"/>
              </a:defRPr>
            </a:pPr>
            <a:endParaRPr lang="en-US"/>
          </a:p>
        </c:txPr>
        <c:crossAx val="852650192"/>
        <c:crosses val="autoZero"/>
        <c:auto val="1"/>
        <c:lblAlgn val="ctr"/>
        <c:lblOffset val="100"/>
        <c:noMultiLvlLbl val="0"/>
      </c:catAx>
      <c:valAx>
        <c:axId val="852650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7000"/>
                    </a:schemeClr>
                  </a:solidFill>
                </a:ln>
                <a:solidFill>
                  <a:schemeClr val="tx1">
                    <a:lumMod val="65000"/>
                    <a:lumOff val="35000"/>
                  </a:schemeClr>
                </a:solidFill>
                <a:latin typeface="+mn-lt"/>
                <a:ea typeface="+mn-ea"/>
                <a:cs typeface="+mn-cs"/>
              </a:defRPr>
            </a:pPr>
            <a:endParaRPr lang="en-US"/>
          </a:p>
        </c:txPr>
        <c:crossAx val="852658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ln>
                  <a:solidFill>
                    <a:schemeClr val="tx1">
                      <a:alpha val="67000"/>
                    </a:schemeClr>
                  </a:solidFill>
                </a:ln>
                <a:solidFill>
                  <a:sysClr val="windowText" lastClr="000000">
                    <a:lumMod val="65000"/>
                    <a:lumOff val="35000"/>
                  </a:sysClr>
                </a:solidFill>
              </a:rPr>
              <a:t>Impact Of Covid -19 on cpi inflation </a:t>
            </a:r>
          </a:p>
          <a:p>
            <a:pPr>
              <a:defRPr/>
            </a:pPr>
            <a:r>
              <a:rPr lang="en-IN" sz="1400" b="1" i="0" u="none" strike="noStrike" kern="1200" spc="0" baseline="0">
                <a:ln>
                  <a:solidFill>
                    <a:schemeClr val="tx1">
                      <a:alpha val="67000"/>
                    </a:schemeClr>
                  </a:solidFill>
                </a:ln>
                <a:solidFill>
                  <a:sysClr val="windowText" lastClr="000000">
                    <a:lumMod val="65000"/>
                    <a:lumOff val="35000"/>
                  </a:sysClr>
                </a:solidFill>
              </a:rPr>
              <a:t>(Pre VS Post covid) For R+U</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'solution 4 '!$S$49</c:f>
              <c:strCache>
                <c:ptCount val="1"/>
                <c:pt idx="0">
                  <c:v>Inflation Food</c:v>
                </c:pt>
              </c:strCache>
            </c:strRef>
          </c:tx>
          <c:spPr>
            <a:solidFill>
              <a:schemeClr val="accent1"/>
            </a:solidFill>
            <a:ln>
              <a:noFill/>
            </a:ln>
            <a:effectLst/>
          </c:spPr>
          <c:invertIfNegative val="0"/>
          <c:dLbls>
            <c:dLbl>
              <c:idx val="0"/>
              <c:layout>
                <c:manualLayout>
                  <c:x val="-2.7777777777777776E-2"/>
                  <c:y val="1.38896179644211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DF-48C6-AD15-8B8D81F5CED8}"/>
                </c:ext>
              </c:extLst>
            </c:dLbl>
            <c:dLbl>
              <c:idx val="4"/>
              <c:layout>
                <c:manualLayout>
                  <c:x val="-1.666666666666676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DF-48C6-AD15-8B8D81F5CE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'!$P$50:$R$54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'!$S$50:$S$54</c:f>
              <c:numCache>
                <c:formatCode>0.0%</c:formatCode>
                <c:ptCount val="5"/>
                <c:pt idx="0">
                  <c:v>-4.5487439263932642E-3</c:v>
                </c:pt>
                <c:pt idx="1">
                  <c:v>0.10330794114577922</c:v>
                </c:pt>
                <c:pt idx="2">
                  <c:v>8.7646947288585561E-2</c:v>
                </c:pt>
                <c:pt idx="3">
                  <c:v>4.8740609809986825E-2</c:v>
                </c:pt>
                <c:pt idx="4">
                  <c:v>5.2749957562383577E-2</c:v>
                </c:pt>
              </c:numCache>
            </c:numRef>
          </c:val>
          <c:extLst>
            <c:ext xmlns:c16="http://schemas.microsoft.com/office/drawing/2014/chart" uri="{C3380CC4-5D6E-409C-BE32-E72D297353CC}">
              <c16:uniqueId val="{00000002-8BDF-48C6-AD15-8B8D81F5CED8}"/>
            </c:ext>
          </c:extLst>
        </c:ser>
        <c:ser>
          <c:idx val="1"/>
          <c:order val="1"/>
          <c:tx>
            <c:strRef>
              <c:f>'solution 4 '!$T$49</c:f>
              <c:strCache>
                <c:ptCount val="1"/>
                <c:pt idx="0">
                  <c:v>Inflation Health</c:v>
                </c:pt>
              </c:strCache>
            </c:strRef>
          </c:tx>
          <c:spPr>
            <a:solidFill>
              <a:schemeClr val="accent2"/>
            </a:solidFill>
            <a:ln>
              <a:noFill/>
            </a:ln>
            <a:effectLst/>
          </c:spPr>
          <c:invertIfNegative val="0"/>
          <c:dLbls>
            <c:dLbl>
              <c:idx val="4"/>
              <c:layout>
                <c:manualLayout>
                  <c:x val="-1.0185067526415994E-16"/>
                  <c:y val="-6.01851851851851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DF-48C6-AD15-8B8D81F5CE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6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'!$P$50:$R$54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'!$T$50:$T$54</c:f>
              <c:numCache>
                <c:formatCode>0.0%</c:formatCode>
                <c:ptCount val="5"/>
                <c:pt idx="0">
                  <c:v>8.7021755438859663E-2</c:v>
                </c:pt>
                <c:pt idx="1">
                  <c:v>3.6526533425224064E-2</c:v>
                </c:pt>
                <c:pt idx="2">
                  <c:v>4.6957671957672115E-2</c:v>
                </c:pt>
                <c:pt idx="3">
                  <c:v>7.0935342121782693E-2</c:v>
                </c:pt>
                <c:pt idx="4">
                  <c:v>5.6592765460910084E-2</c:v>
                </c:pt>
              </c:numCache>
            </c:numRef>
          </c:val>
          <c:extLst>
            <c:ext xmlns:c16="http://schemas.microsoft.com/office/drawing/2014/chart" uri="{C3380CC4-5D6E-409C-BE32-E72D297353CC}">
              <c16:uniqueId val="{00000004-8BDF-48C6-AD15-8B8D81F5CED8}"/>
            </c:ext>
          </c:extLst>
        </c:ser>
        <c:ser>
          <c:idx val="2"/>
          <c:order val="2"/>
          <c:tx>
            <c:strRef>
              <c:f>'solution 4 '!$U$49</c:f>
              <c:strCache>
                <c:ptCount val="1"/>
                <c:pt idx="0">
                  <c:v>Inflation Essential</c:v>
                </c:pt>
              </c:strCache>
            </c:strRef>
          </c:tx>
          <c:spPr>
            <a:solidFill>
              <a:schemeClr val="accent3"/>
            </a:solidFill>
            <a:ln>
              <a:noFill/>
            </a:ln>
            <a:effectLst/>
          </c:spPr>
          <c:invertIfNegative val="0"/>
          <c:dLbls>
            <c:dLbl>
              <c:idx val="1"/>
              <c:layout>
                <c:manualLayout>
                  <c:x val="-5.0925337632079971E-17"/>
                  <c:y val="-3.2407407407407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DF-48C6-AD15-8B8D81F5CED8}"/>
                </c:ext>
              </c:extLst>
            </c:dLbl>
            <c:dLbl>
              <c:idx val="2"/>
              <c:layout>
                <c:manualLayout>
                  <c:x val="0"/>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BDF-48C6-AD15-8B8D81F5CED8}"/>
                </c:ext>
              </c:extLst>
            </c:dLbl>
            <c:dLbl>
              <c:idx val="3"/>
              <c:layout>
                <c:manualLayout>
                  <c:x val="8.3333333333334356E-3"/>
                  <c:y val="-4.62962962962971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DF-48C6-AD15-8B8D81F5CED8}"/>
                </c:ext>
              </c:extLst>
            </c:dLbl>
            <c:dLbl>
              <c:idx val="4"/>
              <c:layout>
                <c:manualLayout>
                  <c:x val="1.6666666666666666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BDF-48C6-AD15-8B8D81F5CE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'!$P$50:$R$54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'!$U$50:$U$54</c:f>
              <c:numCache>
                <c:formatCode>0.0%</c:formatCode>
                <c:ptCount val="5"/>
                <c:pt idx="0">
                  <c:v>5.8655494191582912E-2</c:v>
                </c:pt>
                <c:pt idx="1">
                  <c:v>4.3657923104563338E-2</c:v>
                </c:pt>
                <c:pt idx="2">
                  <c:v>5.4054054054053689E-2</c:v>
                </c:pt>
                <c:pt idx="3">
                  <c:v>5.1983805668016234E-2</c:v>
                </c:pt>
                <c:pt idx="4">
                  <c:v>6.0159607120933163E-2</c:v>
                </c:pt>
              </c:numCache>
            </c:numRef>
          </c:val>
          <c:extLst>
            <c:ext xmlns:c16="http://schemas.microsoft.com/office/drawing/2014/chart" uri="{C3380CC4-5D6E-409C-BE32-E72D297353CC}">
              <c16:uniqueId val="{00000009-8BDF-48C6-AD15-8B8D81F5CED8}"/>
            </c:ext>
          </c:extLst>
        </c:ser>
        <c:dLbls>
          <c:dLblPos val="outEnd"/>
          <c:showLegendKey val="0"/>
          <c:showVal val="1"/>
          <c:showCatName val="0"/>
          <c:showSerName val="0"/>
          <c:showPercent val="0"/>
          <c:showBubbleSize val="0"/>
        </c:dLbls>
        <c:gapWidth val="219"/>
        <c:overlap val="-27"/>
        <c:axId val="1110887584"/>
        <c:axId val="1110888064"/>
      </c:barChart>
      <c:catAx>
        <c:axId val="111088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6000"/>
                    </a:schemeClr>
                  </a:solidFill>
                </a:ln>
                <a:solidFill>
                  <a:schemeClr val="tx1">
                    <a:lumMod val="65000"/>
                    <a:lumOff val="35000"/>
                  </a:schemeClr>
                </a:solidFill>
                <a:latin typeface="+mn-lt"/>
                <a:ea typeface="+mn-ea"/>
                <a:cs typeface="+mn-cs"/>
              </a:defRPr>
            </a:pPr>
            <a:endParaRPr lang="en-US"/>
          </a:p>
        </c:txPr>
        <c:crossAx val="1110888064"/>
        <c:crosses val="autoZero"/>
        <c:auto val="1"/>
        <c:lblAlgn val="ctr"/>
        <c:lblOffset val="100"/>
        <c:noMultiLvlLbl val="0"/>
      </c:catAx>
      <c:valAx>
        <c:axId val="1110888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5000"/>
                    </a:schemeClr>
                  </a:solidFill>
                </a:ln>
                <a:solidFill>
                  <a:schemeClr val="tx1">
                    <a:lumMod val="65000"/>
                    <a:lumOff val="35000"/>
                  </a:schemeClr>
                </a:solidFill>
                <a:latin typeface="+mn-lt"/>
                <a:ea typeface="+mn-ea"/>
                <a:cs typeface="+mn-cs"/>
              </a:defRPr>
            </a:pPr>
            <a:endParaRPr lang="en-US"/>
          </a:p>
        </c:txPr>
        <c:crossAx val="111088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6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tx1">
                      <a:alpha val="67000"/>
                    </a:schemeClr>
                  </a:solidFill>
                </a:ln>
                <a:solidFill>
                  <a:schemeClr val="tx1">
                    <a:lumMod val="65000"/>
                    <a:lumOff val="35000"/>
                  </a:schemeClr>
                </a:solidFill>
                <a:latin typeface="+mn-lt"/>
                <a:ea typeface="+mn-ea"/>
                <a:cs typeface="+mn-cs"/>
              </a:defRPr>
            </a:pPr>
            <a:r>
              <a:rPr lang="en-IN" baseline="0">
                <a:ln>
                  <a:solidFill>
                    <a:schemeClr val="tx1">
                      <a:alpha val="67000"/>
                    </a:schemeClr>
                  </a:solidFill>
                </a:ln>
              </a:rPr>
              <a:t>Correlation With Crude Oil (R+U) </a:t>
            </a:r>
            <a:endParaRPr lang="en-IN">
              <a:ln>
                <a:solidFill>
                  <a:schemeClr val="tx1">
                    <a:alpha val="67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67000"/>
                  </a:schemeClr>
                </a:solidFill>
              </a:ln>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Pt>
            <c:idx val="2"/>
            <c:invertIfNegative val="0"/>
            <c:bubble3D val="0"/>
            <c:spPr>
              <a:solidFill>
                <a:srgbClr val="00B050"/>
              </a:solidFill>
              <a:ln>
                <a:noFill/>
              </a:ln>
              <a:effectLst/>
            </c:spPr>
            <c:extLst>
              <c:ext xmlns:c16="http://schemas.microsoft.com/office/drawing/2014/chart" uri="{C3380CC4-5D6E-409C-BE32-E72D297353CC}">
                <c16:uniqueId val="{00000001-D3C9-4C15-959E-13B815D55FFD}"/>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3-D3C9-4C15-959E-13B815D55FFD}"/>
              </c:ext>
            </c:extLst>
          </c:dPt>
          <c:dPt>
            <c:idx val="7"/>
            <c:invertIfNegative val="0"/>
            <c:bubble3D val="0"/>
            <c:spPr>
              <a:solidFill>
                <a:schemeClr val="accent5"/>
              </a:solidFill>
              <a:ln>
                <a:noFill/>
              </a:ln>
              <a:effectLst/>
            </c:spPr>
            <c:extLst>
              <c:ext xmlns:c16="http://schemas.microsoft.com/office/drawing/2014/chart" uri="{C3380CC4-5D6E-409C-BE32-E72D297353CC}">
                <c16:uniqueId val="{00000005-D3C9-4C15-959E-13B815D55FFD}"/>
              </c:ext>
            </c:extLst>
          </c:dPt>
          <c:dPt>
            <c:idx val="15"/>
            <c:invertIfNegative val="0"/>
            <c:bubble3D val="0"/>
            <c:spPr>
              <a:solidFill>
                <a:srgbClr val="C00000"/>
              </a:solidFill>
              <a:ln>
                <a:noFill/>
              </a:ln>
              <a:effectLst/>
            </c:spPr>
            <c:extLst>
              <c:ext xmlns:c16="http://schemas.microsoft.com/office/drawing/2014/chart" uri="{C3380CC4-5D6E-409C-BE32-E72D297353CC}">
                <c16:uniqueId val="{00000007-D3C9-4C15-959E-13B815D55FFD}"/>
              </c:ext>
            </c:extLst>
          </c:dPt>
          <c:dPt>
            <c:idx val="18"/>
            <c:invertIfNegative val="0"/>
            <c:bubble3D val="0"/>
            <c:spPr>
              <a:solidFill>
                <a:srgbClr val="C00000"/>
              </a:solidFill>
              <a:ln>
                <a:noFill/>
              </a:ln>
              <a:effectLst/>
            </c:spPr>
            <c:extLst>
              <c:ext xmlns:c16="http://schemas.microsoft.com/office/drawing/2014/chart" uri="{C3380CC4-5D6E-409C-BE32-E72D297353CC}">
                <c16:uniqueId val="{00000009-D3C9-4C15-959E-13B815D55FFD}"/>
              </c:ext>
            </c:extLst>
          </c:dPt>
          <c:dPt>
            <c:idx val="21"/>
            <c:invertIfNegative val="0"/>
            <c:bubble3D val="0"/>
            <c:spPr>
              <a:solidFill>
                <a:srgbClr val="C00000"/>
              </a:solidFill>
              <a:ln>
                <a:noFill/>
              </a:ln>
              <a:effectLst/>
            </c:spPr>
            <c:extLst>
              <c:ext xmlns:c16="http://schemas.microsoft.com/office/drawing/2014/chart" uri="{C3380CC4-5D6E-409C-BE32-E72D297353CC}">
                <c16:uniqueId val="{0000000B-D3C9-4C15-959E-13B815D55F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8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5 '!$D$98:$D$123</c:f>
              <c:strCache>
                <c:ptCount val="26"/>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strCache>
            </c:strRef>
          </c:cat>
          <c:val>
            <c:numRef>
              <c:f>'solution 5 '!$E$98:$E$123</c:f>
              <c:numCache>
                <c:formatCode>0.00</c:formatCode>
                <c:ptCount val="26"/>
                <c:pt idx="0">
                  <c:v>0.34629904940413564</c:v>
                </c:pt>
                <c:pt idx="1">
                  <c:v>0.4436629926624453</c:v>
                </c:pt>
                <c:pt idx="2">
                  <c:v>-0.17764306806360058</c:v>
                </c:pt>
                <c:pt idx="3">
                  <c:v>0.3944380989800455</c:v>
                </c:pt>
                <c:pt idx="4">
                  <c:v>0.34788423178769573</c:v>
                </c:pt>
                <c:pt idx="5">
                  <c:v>0.3537118985020174</c:v>
                </c:pt>
                <c:pt idx="6">
                  <c:v>0.25696274242831996</c:v>
                </c:pt>
                <c:pt idx="7">
                  <c:v>8.6277005373423088E-2</c:v>
                </c:pt>
                <c:pt idx="8">
                  <c:v>0.28584207138706269</c:v>
                </c:pt>
                <c:pt idx="9">
                  <c:v>0.40416177545512005</c:v>
                </c:pt>
                <c:pt idx="10">
                  <c:v>0.40638064923046785</c:v>
                </c:pt>
                <c:pt idx="11">
                  <c:v>0.44927047059489755</c:v>
                </c:pt>
                <c:pt idx="12">
                  <c:v>0.48687951717359945</c:v>
                </c:pt>
                <c:pt idx="13">
                  <c:v>0.28864452009195413</c:v>
                </c:pt>
                <c:pt idx="14">
                  <c:v>0.4710113548931234</c:v>
                </c:pt>
                <c:pt idx="15">
                  <c:v>0.50131874139574772</c:v>
                </c:pt>
                <c:pt idx="16">
                  <c:v>0.47614847826980888</c:v>
                </c:pt>
                <c:pt idx="17">
                  <c:v>0.41047736852435679</c:v>
                </c:pt>
                <c:pt idx="18">
                  <c:v>0.50500922925704073</c:v>
                </c:pt>
                <c:pt idx="19">
                  <c:v>0.45100201171286158</c:v>
                </c:pt>
                <c:pt idx="20">
                  <c:v>0.39578036651701398</c:v>
                </c:pt>
                <c:pt idx="21">
                  <c:v>0.50054044917424212</c:v>
                </c:pt>
                <c:pt idx="22">
                  <c:v>0.49225735515271235</c:v>
                </c:pt>
                <c:pt idx="23">
                  <c:v>0.43076844378330603</c:v>
                </c:pt>
                <c:pt idx="24">
                  <c:v>0.39181972085386041</c:v>
                </c:pt>
                <c:pt idx="25">
                  <c:v>0.45351390829784477</c:v>
                </c:pt>
              </c:numCache>
            </c:numRef>
          </c:val>
          <c:extLst>
            <c:ext xmlns:c16="http://schemas.microsoft.com/office/drawing/2014/chart" uri="{C3380CC4-5D6E-409C-BE32-E72D297353CC}">
              <c16:uniqueId val="{0000000C-D3C9-4C15-959E-13B815D55FFD}"/>
            </c:ext>
          </c:extLst>
        </c:ser>
        <c:dLbls>
          <c:dLblPos val="outEnd"/>
          <c:showLegendKey val="0"/>
          <c:showVal val="1"/>
          <c:showCatName val="0"/>
          <c:showSerName val="0"/>
          <c:showPercent val="0"/>
          <c:showBubbleSize val="0"/>
        </c:dLbls>
        <c:gapWidth val="219"/>
        <c:overlap val="-27"/>
        <c:axId val="796588496"/>
        <c:axId val="796581296"/>
      </c:barChart>
      <c:catAx>
        <c:axId val="79658849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796581296"/>
        <c:crosses val="autoZero"/>
        <c:auto val="1"/>
        <c:lblAlgn val="ctr"/>
        <c:lblOffset val="100"/>
        <c:noMultiLvlLbl val="0"/>
      </c:catAx>
      <c:valAx>
        <c:axId val="796581296"/>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crossAx val="79658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ln>
                  <a:solidFill>
                    <a:schemeClr val="tx1">
                      <a:lumMod val="95000"/>
                      <a:lumOff val="5000"/>
                    </a:schemeClr>
                  </a:solidFill>
                </a:ln>
                <a:solidFill>
                  <a:sysClr val="windowText" lastClr="000000">
                    <a:lumMod val="65000"/>
                    <a:lumOff val="35000"/>
                  </a:sysClr>
                </a:solidFill>
              </a:rPr>
              <a:t>Contibution For Broader Categories To CPI</a:t>
            </a:r>
          </a:p>
          <a:p>
            <a:pPr>
              <a:defRPr/>
            </a:pPr>
            <a:r>
              <a:rPr lang="en-IN" sz="1400" b="0" i="0" u="none" strike="noStrike" kern="1200" spc="0" baseline="0">
                <a:ln>
                  <a:solidFill>
                    <a:schemeClr val="tx1">
                      <a:lumMod val="95000"/>
                      <a:lumOff val="5000"/>
                    </a:schemeClr>
                  </a:solidFill>
                </a:ln>
                <a:solidFill>
                  <a:sysClr val="windowText" lastClr="000000">
                    <a:lumMod val="65000"/>
                    <a:lumOff val="35000"/>
                  </a:sysClr>
                </a:solidFill>
              </a:rPr>
              <a:t>(Rural) </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150"/>
      <c:depthPercent val="10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0DD-47FF-A84D-96E9CE45169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0DD-47FF-A84D-96E9CE45169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0DD-47FF-A84D-96E9CE45169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0DD-47FF-A84D-96E9CE45169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0DD-47FF-A84D-96E9CE45169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0DD-47FF-A84D-96E9CE45169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0DD-47FF-A84D-96E9CE45169C}"/>
              </c:ext>
            </c:extLst>
          </c:dPt>
          <c:dLbls>
            <c:dLbl>
              <c:idx val="1"/>
              <c:layout>
                <c:manualLayout>
                  <c:x val="-1.6666666666666718E-2"/>
                  <c:y val="4.629629629629629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DD-47FF-A84D-96E9CE45169C}"/>
                </c:ext>
              </c:extLst>
            </c:dLbl>
            <c:dLbl>
              <c:idx val="4"/>
              <c:layout>
                <c:manualLayout>
                  <c:x val="-3.1828336020049982E-18"/>
                  <c:y val="-0.111111111111111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0DD-47FF-A84D-96E9CE45169C}"/>
                </c:ext>
              </c:extLst>
            </c:dLbl>
            <c:dLbl>
              <c:idx val="5"/>
              <c:layout>
                <c:manualLayout>
                  <c:x val="1.9444444444444431E-2"/>
                  <c:y val="-3.24074074074074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0DD-47FF-A84D-96E9CE45169C}"/>
                </c:ext>
              </c:extLst>
            </c:dLbl>
            <c:spPr>
              <a:no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8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'Solution 1'!$E$16:$E$22</c:f>
              <c:strCache>
                <c:ptCount val="7"/>
                <c:pt idx="0">
                  <c:v>Fuel and light</c:v>
                </c:pt>
                <c:pt idx="1">
                  <c:v>Health</c:v>
                </c:pt>
                <c:pt idx="2">
                  <c:v>Transport and communication</c:v>
                </c:pt>
                <c:pt idx="3">
                  <c:v>sum of others </c:v>
                </c:pt>
                <c:pt idx="4">
                  <c:v>sum of clothing </c:v>
                </c:pt>
                <c:pt idx="5">
                  <c:v>Sum Housing Exepences</c:v>
                </c:pt>
                <c:pt idx="6">
                  <c:v>Sum of food expences</c:v>
                </c:pt>
              </c:strCache>
            </c:strRef>
          </c:cat>
          <c:val>
            <c:numRef>
              <c:f>'Solution 1'!$I$16:$I$22</c:f>
              <c:numCache>
                <c:formatCode>0.0%</c:formatCode>
                <c:ptCount val="7"/>
                <c:pt idx="0">
                  <c:v>4.1036134283722707E-2</c:v>
                </c:pt>
                <c:pt idx="1">
                  <c:v>4.2227868594428078E-2</c:v>
                </c:pt>
                <c:pt idx="2">
                  <c:v>3.8157983495604071E-2</c:v>
                </c:pt>
                <c:pt idx="3">
                  <c:v>0.16155869853619048</c:v>
                </c:pt>
                <c:pt idx="4">
                  <c:v>8.5242731544982353E-2</c:v>
                </c:pt>
                <c:pt idx="5">
                  <c:v>7.1744871661892751E-2</c:v>
                </c:pt>
                <c:pt idx="6">
                  <c:v>0.56002518381939614</c:v>
                </c:pt>
              </c:numCache>
            </c:numRef>
          </c:val>
          <c:extLst>
            <c:ext xmlns:c16="http://schemas.microsoft.com/office/drawing/2014/chart" uri="{C3380CC4-5D6E-409C-BE32-E72D297353CC}">
              <c16:uniqueId val="{0000000E-50DD-47FF-A84D-96E9CE45169C}"/>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93994750656168"/>
          <c:y val="0.10618623239235538"/>
          <c:w val="0.28933858267716533"/>
          <c:h val="0.85451077873926418"/>
        </c:manualLayout>
      </c:layout>
      <c:overlay val="0"/>
      <c:spPr>
        <a:noFill/>
        <a:ln>
          <a:noFill/>
        </a:ln>
        <a:effectLst/>
      </c:spPr>
      <c:txPr>
        <a:bodyPr rot="0" spcFirstLastPara="1" vertOverflow="ellipsis" vert="horz" wrap="square" anchor="ctr" anchorCtr="1"/>
        <a:lstStyle/>
        <a:p>
          <a:pPr>
            <a:defRPr sz="105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ln>
                  <a:solidFill>
                    <a:schemeClr val="tx1">
                      <a:lumMod val="95000"/>
                      <a:lumOff val="5000"/>
                    </a:schemeClr>
                  </a:solidFill>
                </a:ln>
                <a:solidFill>
                  <a:sysClr val="windowText" lastClr="000000">
                    <a:lumMod val="65000"/>
                    <a:lumOff val="35000"/>
                  </a:sysClr>
                </a:solidFill>
              </a:rPr>
              <a:t>Contibution For Broader Categories To CPI</a:t>
            </a:r>
          </a:p>
          <a:p>
            <a:pPr>
              <a:defRPr/>
            </a:pPr>
            <a:r>
              <a:rPr lang="en-IN" sz="1400" b="0" i="0" u="none" strike="noStrike" kern="1200" spc="0" baseline="0">
                <a:ln>
                  <a:solidFill>
                    <a:schemeClr val="tx1">
                      <a:lumMod val="95000"/>
                      <a:lumOff val="5000"/>
                    </a:schemeClr>
                  </a:solidFill>
                </a:ln>
                <a:solidFill>
                  <a:sysClr val="windowText" lastClr="000000">
                    <a:lumMod val="65000"/>
                    <a:lumOff val="35000"/>
                  </a:sysClr>
                </a:solidFill>
              </a:rPr>
              <a:t>(Urban) </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150"/>
      <c:depthPercent val="10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F7F-4993-A93E-AECCD8A8CDA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F7F-4993-A93E-AECCD8A8CDA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F7F-4993-A93E-AECCD8A8CDA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F7F-4993-A93E-AECCD8A8CDA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F7F-4993-A93E-AECCD8A8CDA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F7F-4993-A93E-AECCD8A8CDA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F7F-4993-A93E-AECCD8A8CDA0}"/>
              </c:ext>
            </c:extLst>
          </c:dPt>
          <c:dLbls>
            <c:spPr>
              <a:no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alpha val="67000"/>
                        </a:sys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'Solution 1'!$E$16:$E$22</c:f>
              <c:strCache>
                <c:ptCount val="7"/>
                <c:pt idx="0">
                  <c:v>Fuel and light</c:v>
                </c:pt>
                <c:pt idx="1">
                  <c:v>Health</c:v>
                </c:pt>
                <c:pt idx="2">
                  <c:v>Transport and communication</c:v>
                </c:pt>
                <c:pt idx="3">
                  <c:v>sum of others </c:v>
                </c:pt>
                <c:pt idx="4">
                  <c:v>sum of clothing </c:v>
                </c:pt>
                <c:pt idx="5">
                  <c:v>Sum Housing Exepences</c:v>
                </c:pt>
                <c:pt idx="6">
                  <c:v>Sum of food expences</c:v>
                </c:pt>
              </c:strCache>
            </c:strRef>
          </c:cat>
          <c:val>
            <c:numRef>
              <c:f>'Solution 1'!$K$16:$K$22</c:f>
              <c:numCache>
                <c:formatCode>0.0%</c:formatCode>
                <c:ptCount val="7"/>
                <c:pt idx="0">
                  <c:v>4.1106329567868027E-2</c:v>
                </c:pt>
                <c:pt idx="1">
                  <c:v>4.0837367760444679E-2</c:v>
                </c:pt>
                <c:pt idx="2">
                  <c:v>3.5951228258920567E-2</c:v>
                </c:pt>
                <c:pt idx="3">
                  <c:v>0.15716334947104177</c:v>
                </c:pt>
                <c:pt idx="4">
                  <c:v>7.8312712928097536E-2</c:v>
                </c:pt>
                <c:pt idx="5">
                  <c:v>7.7483414021875557E-2</c:v>
                </c:pt>
                <c:pt idx="6">
                  <c:v>0.56914559799175168</c:v>
                </c:pt>
              </c:numCache>
            </c:numRef>
          </c:val>
          <c:extLst>
            <c:ext xmlns:c16="http://schemas.microsoft.com/office/drawing/2014/chart" uri="{C3380CC4-5D6E-409C-BE32-E72D297353CC}">
              <c16:uniqueId val="{00000000-968E-438B-B213-02422DC94C89}"/>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93994750656168"/>
          <c:y val="0.13793635170603674"/>
          <c:w val="0.28933858267716533"/>
          <c:h val="0.84954359871682705"/>
        </c:manualLayout>
      </c:layout>
      <c:overlay val="0"/>
      <c:spPr>
        <a:noFill/>
        <a:ln>
          <a:noFill/>
        </a:ln>
        <a:effectLst/>
      </c:spPr>
      <c:txPr>
        <a:bodyPr rot="0" spcFirstLastPara="1" vertOverflow="ellipsis" vert="horz" wrap="square" anchor="ctr" anchorCtr="1"/>
        <a:lstStyle/>
        <a:p>
          <a:pPr>
            <a:defRPr sz="900" b="0" i="0" u="none" strike="noStrike" kern="1200" baseline="0">
              <a:ln>
                <a:solidFill>
                  <a:sysClr val="windowText" lastClr="000000"/>
                </a:solidFill>
              </a:ln>
              <a:solidFill>
                <a:schemeClr val="tx1">
                  <a:lumMod val="95000"/>
                  <a:lumOff val="5000"/>
                  <a:alpha val="67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ln>
                  <a:solidFill>
                    <a:schemeClr val="tx1">
                      <a:lumMod val="95000"/>
                      <a:lumOff val="5000"/>
                    </a:schemeClr>
                  </a:solidFill>
                </a:ln>
                <a:solidFill>
                  <a:sysClr val="windowText" lastClr="000000">
                    <a:lumMod val="65000"/>
                    <a:lumOff val="35000"/>
                  </a:sysClr>
                </a:solidFill>
              </a:rPr>
              <a:t>Contibution For Broader Categories To CPI</a:t>
            </a:r>
          </a:p>
          <a:p>
            <a:pPr>
              <a:defRPr/>
            </a:pPr>
            <a:r>
              <a:rPr lang="en-IN" sz="1400" b="0" i="0" u="none" strike="noStrike" kern="1200" spc="0" baseline="0">
                <a:ln>
                  <a:solidFill>
                    <a:schemeClr val="tx1">
                      <a:lumMod val="95000"/>
                      <a:lumOff val="5000"/>
                    </a:schemeClr>
                  </a:solidFill>
                </a:ln>
                <a:solidFill>
                  <a:sysClr val="windowText" lastClr="000000">
                    <a:lumMod val="65000"/>
                    <a:lumOff val="35000"/>
                  </a:sysClr>
                </a:solidFill>
              </a:rPr>
              <a:t>(Rural) </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150"/>
      <c:depthPercent val="10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784-4221-8CB3-76D828AA76F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784-4221-8CB3-76D828AA76F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784-4221-8CB3-76D828AA76F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784-4221-8CB3-76D828AA76F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784-4221-8CB3-76D828AA76F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784-4221-8CB3-76D828AA76F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784-4221-8CB3-76D828AA76FE}"/>
              </c:ext>
            </c:extLst>
          </c:dPt>
          <c:dLbls>
            <c:dLbl>
              <c:idx val="1"/>
              <c:layout>
                <c:manualLayout>
                  <c:x val="-1.6666666666666718E-2"/>
                  <c:y val="4.629629629629629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84-4221-8CB3-76D828AA76FE}"/>
                </c:ext>
              </c:extLst>
            </c:dLbl>
            <c:dLbl>
              <c:idx val="4"/>
              <c:layout>
                <c:manualLayout>
                  <c:x val="-3.1828336020049982E-18"/>
                  <c:y val="-0.111111111111111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784-4221-8CB3-76D828AA76FE}"/>
                </c:ext>
              </c:extLst>
            </c:dLbl>
            <c:dLbl>
              <c:idx val="5"/>
              <c:layout>
                <c:manualLayout>
                  <c:x val="1.9444444444444431E-2"/>
                  <c:y val="-3.24074074074074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784-4221-8CB3-76D828AA76FE}"/>
                </c:ext>
              </c:extLst>
            </c:dLbl>
            <c:spPr>
              <a:no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8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'Solution 1'!$E$16:$E$22</c:f>
              <c:strCache>
                <c:ptCount val="7"/>
                <c:pt idx="0">
                  <c:v>Fuel and light</c:v>
                </c:pt>
                <c:pt idx="1">
                  <c:v>Health</c:v>
                </c:pt>
                <c:pt idx="2">
                  <c:v>Transport and communication</c:v>
                </c:pt>
                <c:pt idx="3">
                  <c:v>sum of others </c:v>
                </c:pt>
                <c:pt idx="4">
                  <c:v>sum of clothing </c:v>
                </c:pt>
                <c:pt idx="5">
                  <c:v>Sum Housing Exepences</c:v>
                </c:pt>
                <c:pt idx="6">
                  <c:v>Sum of food expences</c:v>
                </c:pt>
              </c:strCache>
            </c:strRef>
          </c:cat>
          <c:val>
            <c:numRef>
              <c:f>'Solution 1'!$I$16:$I$22</c:f>
              <c:numCache>
                <c:formatCode>0.0%</c:formatCode>
                <c:ptCount val="7"/>
                <c:pt idx="0">
                  <c:v>4.1036134283722707E-2</c:v>
                </c:pt>
                <c:pt idx="1">
                  <c:v>4.2227868594428078E-2</c:v>
                </c:pt>
                <c:pt idx="2">
                  <c:v>3.8157983495604071E-2</c:v>
                </c:pt>
                <c:pt idx="3">
                  <c:v>0.16155869853619048</c:v>
                </c:pt>
                <c:pt idx="4">
                  <c:v>8.5242731544982353E-2</c:v>
                </c:pt>
                <c:pt idx="5">
                  <c:v>7.1744871661892751E-2</c:v>
                </c:pt>
                <c:pt idx="6">
                  <c:v>0.56002518381939614</c:v>
                </c:pt>
              </c:numCache>
            </c:numRef>
          </c:val>
          <c:extLst>
            <c:ext xmlns:c16="http://schemas.microsoft.com/office/drawing/2014/chart" uri="{C3380CC4-5D6E-409C-BE32-E72D297353CC}">
              <c16:uniqueId val="{0000000E-F784-4221-8CB3-76D828AA76FE}"/>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93994750656168"/>
          <c:y val="0.16092300962379705"/>
          <c:w val="0.28933858267716533"/>
          <c:h val="0.7997739865850102"/>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6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ln>
                  <a:solidFill>
                    <a:schemeClr val="tx1">
                      <a:lumMod val="95000"/>
                      <a:lumOff val="5000"/>
                      <a:alpha val="70000"/>
                    </a:schemeClr>
                  </a:solidFill>
                </a:ln>
                <a:solidFill>
                  <a:sysClr val="windowText" lastClr="000000">
                    <a:lumMod val="65000"/>
                    <a:lumOff val="35000"/>
                  </a:sysClr>
                </a:solidFill>
              </a:rPr>
              <a:t>Annual YoY CPI Growth(R+U)- Avg Annual Index</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'Solution 2 '!$A$36:$A$42</c:f>
              <c:numCache>
                <c:formatCode>General</c:formatCode>
                <c:ptCount val="7"/>
                <c:pt idx="0">
                  <c:v>2017</c:v>
                </c:pt>
                <c:pt idx="1">
                  <c:v>2018</c:v>
                </c:pt>
                <c:pt idx="2">
                  <c:v>2019</c:v>
                </c:pt>
                <c:pt idx="3">
                  <c:v>2020</c:v>
                </c:pt>
                <c:pt idx="4">
                  <c:v>2021</c:v>
                </c:pt>
                <c:pt idx="5">
                  <c:v>2022</c:v>
                </c:pt>
                <c:pt idx="6">
                  <c:v>2023</c:v>
                </c:pt>
              </c:numCache>
            </c:numRef>
          </c:cat>
          <c:val>
            <c:numRef>
              <c:f>'Solution 2 '!$C$36:$C$42</c:f>
              <c:numCache>
                <c:formatCode>0.0%</c:formatCode>
                <c:ptCount val="7"/>
                <c:pt idx="1">
                  <c:v>3.9513108614232476E-2</c:v>
                </c:pt>
                <c:pt idx="2">
                  <c:v>3.8961038961039161E-2</c:v>
                </c:pt>
                <c:pt idx="3">
                  <c:v>6.3795712484236794E-2</c:v>
                </c:pt>
                <c:pt idx="4">
                  <c:v>5.2668752988220886E-2</c:v>
                </c:pt>
                <c:pt idx="5">
                  <c:v>6.6219354838709665E-2</c:v>
                </c:pt>
                <c:pt idx="6">
                  <c:v>3.1774615161196632E-2</c:v>
                </c:pt>
              </c:numCache>
            </c:numRef>
          </c:val>
          <c:smooth val="0"/>
          <c:extLst>
            <c:ext xmlns:c16="http://schemas.microsoft.com/office/drawing/2014/chart" uri="{C3380CC4-5D6E-409C-BE32-E72D297353CC}">
              <c16:uniqueId val="{00000000-1031-48C2-B2D9-1054E043BAA4}"/>
            </c:ext>
          </c:extLst>
        </c:ser>
        <c:dLbls>
          <c:dLblPos val="t"/>
          <c:showLegendKey val="0"/>
          <c:showVal val="1"/>
          <c:showCatName val="0"/>
          <c:showSerName val="0"/>
          <c:showPercent val="0"/>
          <c:showBubbleSize val="0"/>
        </c:dLbls>
        <c:smooth val="0"/>
        <c:axId val="274119151"/>
        <c:axId val="274120111"/>
      </c:lineChart>
      <c:catAx>
        <c:axId val="274119151"/>
        <c:scaling>
          <c:orientation val="minMax"/>
        </c:scaling>
        <c:delete val="0"/>
        <c:axPos val="b"/>
        <c:majorGridlines>
          <c:spPr>
            <a:ln w="9525" cap="flat" cmpd="sng" algn="ctr">
              <a:gradFill>
                <a:gsLst>
                  <a:gs pos="0">
                    <a:schemeClr val="accent2">
                      <a:lumMod val="40000"/>
                      <a:lumOff val="60000"/>
                    </a:schemeClr>
                  </a:gs>
                  <a:gs pos="35002">
                    <a:srgbClr val="D3DE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ysDash"/>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0" i="0" u="none" strike="noStrike" kern="1200" baseline="0">
                    <a:ln>
                      <a:solidFill>
                        <a:schemeClr val="tx1">
                          <a:lumMod val="95000"/>
                          <a:lumOff val="5000"/>
                          <a:alpha val="70000"/>
                        </a:schemeClr>
                      </a:solidFill>
                    </a:ln>
                    <a:solidFill>
                      <a:sysClr val="windowText" lastClr="000000">
                        <a:lumMod val="65000"/>
                        <a:lumOff val="35000"/>
                      </a:sysClr>
                    </a:solidFill>
                  </a:rPr>
                  <a:t>Year</a:t>
                </a:r>
                <a:endParaRPr lang="en-IN"/>
              </a:p>
            </c:rich>
          </c:tx>
          <c:layout>
            <c:manualLayout>
              <c:xMode val="edge"/>
              <c:yMode val="edge"/>
              <c:x val="0.48709601924759405"/>
              <c:y val="0.889976669582968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crossAx val="274120111"/>
        <c:crosses val="autoZero"/>
        <c:auto val="1"/>
        <c:lblAlgn val="ctr"/>
        <c:lblOffset val="100"/>
        <c:noMultiLvlLbl val="0"/>
      </c:catAx>
      <c:valAx>
        <c:axId val="274120111"/>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ln>
                      <a:solidFill>
                        <a:schemeClr val="tx1">
                          <a:lumMod val="95000"/>
                          <a:lumOff val="5000"/>
                          <a:alpha val="70000"/>
                        </a:schemeClr>
                      </a:solidFill>
                    </a:ln>
                    <a:solidFill>
                      <a:sysClr val="windowText" lastClr="000000">
                        <a:lumMod val="65000"/>
                        <a:lumOff val="35000"/>
                      </a:sysClr>
                    </a:solidFill>
                  </a:rPr>
                  <a:t>Growth Rate by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7000"/>
                    </a:schemeClr>
                  </a:solidFill>
                </a:ln>
                <a:solidFill>
                  <a:schemeClr val="tx1">
                    <a:lumMod val="65000"/>
                    <a:lumOff val="35000"/>
                  </a:schemeClr>
                </a:solidFill>
                <a:latin typeface="+mn-lt"/>
                <a:ea typeface="+mn-ea"/>
                <a:cs typeface="+mn-cs"/>
              </a:defRPr>
            </a:pPr>
            <a:endParaRPr lang="en-US"/>
          </a:p>
        </c:txPr>
        <c:crossAx val="274119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main.xlsx]solution 3 !PivotTable31</c:name>
    <c:fmtId val="0"/>
  </c:pivotSource>
  <c:chart>
    <c:title>
      <c:tx>
        <c:rich>
          <a:bodyPr rot="0" spcFirstLastPara="1" vertOverflow="ellipsis" vert="horz" wrap="square" anchor="ctr" anchorCtr="1"/>
          <a:lstStyle/>
          <a:p>
            <a:pPr>
              <a:defRPr sz="1400" b="0" i="0" u="none" strike="noStrike" kern="1200" spc="0" baseline="0">
                <a:ln>
                  <a:solidFill>
                    <a:schemeClr val="tx1">
                      <a:alpha val="67000"/>
                    </a:schemeClr>
                  </a:solidFill>
                </a:ln>
                <a:solidFill>
                  <a:schemeClr val="tx1">
                    <a:lumMod val="65000"/>
                    <a:lumOff val="35000"/>
                  </a:schemeClr>
                </a:solidFill>
                <a:latin typeface="+mn-lt"/>
                <a:ea typeface="+mn-ea"/>
                <a:cs typeface="+mn-cs"/>
              </a:defRPr>
            </a:pPr>
            <a:r>
              <a:rPr lang="en-IN" sz="1400" b="0" i="0" u="none" strike="noStrike" baseline="0">
                <a:ln>
                  <a:solidFill>
                    <a:schemeClr val="tx1">
                      <a:alpha val="67000"/>
                    </a:schemeClr>
                  </a:solidFill>
                </a:ln>
              </a:rPr>
              <a:t>CPI Trends (Jun 2022 – May 2023)</a:t>
            </a:r>
            <a:endParaRPr lang="en-US">
              <a:ln>
                <a:solidFill>
                  <a:schemeClr val="tx1">
                    <a:alpha val="67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67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3.8113509046146674E-2"/>
              <c:y val="6.6675786207562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2.9800880920402114E-2"/>
              <c:y val="7.1271745310040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5.1967889255720878E-2"/>
              <c:y val="7.5867704412518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5.1967889255720878E-2"/>
              <c:y val="8.96555817199525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4.9197013213806033E-2"/>
              <c:y val="7.5867704412518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layout>
            <c:manualLayout>
              <c:x val="-3.0066186846935163E-2"/>
              <c:y val="8.04636635149967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'solution 3 '!$B$43:$B$44</c:f>
              <c:strCache>
                <c:ptCount val="1"/>
                <c:pt idx="0">
                  <c:v>Total</c:v>
                </c:pt>
              </c:strCache>
            </c:strRef>
          </c:tx>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2-DD6A-4415-A2F1-17D510E59C23}"/>
              </c:ext>
            </c:extLst>
          </c:dPt>
          <c:dPt>
            <c:idx val="3"/>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3-DD6A-4415-A2F1-17D510E59C23}"/>
              </c:ext>
            </c:extLst>
          </c:dPt>
          <c:dPt>
            <c:idx val="5"/>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4-DD6A-4415-A2F1-17D510E59C23}"/>
              </c:ext>
            </c:extLst>
          </c:dPt>
          <c:dPt>
            <c:idx val="7"/>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5-DD6A-4415-A2F1-17D510E59C23}"/>
              </c:ext>
            </c:extLst>
          </c:dPt>
          <c:dPt>
            <c:idx val="9"/>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6-DD6A-4415-A2F1-17D510E59C23}"/>
              </c:ext>
            </c:extLst>
          </c:dPt>
          <c:dPt>
            <c:idx val="11"/>
            <c:marker>
              <c:symbol val="circle"/>
              <c:size val="5"/>
              <c:spPr>
                <a:solidFill>
                  <a:schemeClr val="accent1"/>
                </a:solidFill>
                <a:ln w="9525">
                  <a:solidFill>
                    <a:schemeClr val="accent1"/>
                  </a:solidFill>
                </a:ln>
                <a:effectLst/>
              </c:spPr>
            </c:marker>
            <c:bubble3D val="0"/>
            <c:spPr>
              <a:ln w="28575" cap="rnd">
                <a:solidFill>
                  <a:schemeClr val="accent2">
                    <a:lumMod val="60000"/>
                    <a:lumOff val="40000"/>
                  </a:schemeClr>
                </a:solidFill>
                <a:round/>
              </a:ln>
              <a:effectLst/>
            </c:spPr>
            <c:extLst>
              <c:ext xmlns:c16="http://schemas.microsoft.com/office/drawing/2014/chart" uri="{C3380CC4-5D6E-409C-BE32-E72D297353CC}">
                <c16:uniqueId val="{00000007-DD6A-4415-A2F1-17D510E59C23}"/>
              </c:ext>
            </c:extLst>
          </c:dPt>
          <c:dLbls>
            <c:dLbl>
              <c:idx val="1"/>
              <c:layout>
                <c:manualLayout>
                  <c:x val="-3.8113509046146674E-2"/>
                  <c:y val="6.6675786207562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6A-4415-A2F1-17D510E59C23}"/>
                </c:ext>
              </c:extLst>
            </c:dLbl>
            <c:dLbl>
              <c:idx val="3"/>
              <c:layout>
                <c:manualLayout>
                  <c:x val="-2.9800880920402114E-2"/>
                  <c:y val="7.1271745310040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6A-4415-A2F1-17D510E59C23}"/>
                </c:ext>
              </c:extLst>
            </c:dLbl>
            <c:dLbl>
              <c:idx val="5"/>
              <c:layout>
                <c:manualLayout>
                  <c:x val="-5.1967889255720878E-2"/>
                  <c:y val="7.58677044125188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6A-4415-A2F1-17D510E59C23}"/>
                </c:ext>
              </c:extLst>
            </c:dLbl>
            <c:dLbl>
              <c:idx val="7"/>
              <c:layout>
                <c:manualLayout>
                  <c:x val="-5.1967889255720878E-2"/>
                  <c:y val="8.96555817199525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6A-4415-A2F1-17D510E59C23}"/>
                </c:ext>
              </c:extLst>
            </c:dLbl>
            <c:dLbl>
              <c:idx val="9"/>
              <c:layout>
                <c:manualLayout>
                  <c:x val="-4.9197013213806033E-2"/>
                  <c:y val="7.58677044125188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6A-4415-A2F1-17D510E59C23}"/>
                </c:ext>
              </c:extLst>
            </c:dLbl>
            <c:dLbl>
              <c:idx val="11"/>
              <c:layout>
                <c:manualLayout>
                  <c:x val="-3.0066186846935163E-2"/>
                  <c:y val="8.04636635149967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6A-4415-A2F1-17D510E59C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 '!$A$45:$A$57</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'solution 3 '!$B$45:$B$57</c:f>
              <c:numCache>
                <c:formatCode>0.0</c:formatCode>
                <c:ptCount val="12"/>
                <c:pt idx="0">
                  <c:v>175.44285714285715</c:v>
                </c:pt>
                <c:pt idx="1">
                  <c:v>175.77857142857144</c:v>
                </c:pt>
                <c:pt idx="2">
                  <c:v>176.01428571428573</c:v>
                </c:pt>
                <c:pt idx="3">
                  <c:v>176.91428571428574</c:v>
                </c:pt>
                <c:pt idx="4">
                  <c:v>178.11428571428573</c:v>
                </c:pt>
                <c:pt idx="5">
                  <c:v>178.12142857142859</c:v>
                </c:pt>
                <c:pt idx="6">
                  <c:v>177.19285714285715</c:v>
                </c:pt>
                <c:pt idx="7">
                  <c:v>177.92142857142855</c:v>
                </c:pt>
                <c:pt idx="8">
                  <c:v>177.04285714285714</c:v>
                </c:pt>
                <c:pt idx="9">
                  <c:v>177.04999999999998</c:v>
                </c:pt>
                <c:pt idx="10">
                  <c:v>177.87142857142859</c:v>
                </c:pt>
                <c:pt idx="11">
                  <c:v>179.1357142857143</c:v>
                </c:pt>
              </c:numCache>
            </c:numRef>
          </c:val>
          <c:smooth val="0"/>
          <c:extLst>
            <c:ext xmlns:c16="http://schemas.microsoft.com/office/drawing/2014/chart" uri="{C3380CC4-5D6E-409C-BE32-E72D297353CC}">
              <c16:uniqueId val="{00000000-DD6A-4415-A2F1-17D510E59C23}"/>
            </c:ext>
          </c:extLst>
        </c:ser>
        <c:dLbls>
          <c:dLblPos val="t"/>
          <c:showLegendKey val="0"/>
          <c:showVal val="1"/>
          <c:showCatName val="0"/>
          <c:showSerName val="0"/>
          <c:showPercent val="0"/>
          <c:showBubbleSize val="0"/>
        </c:dLbls>
        <c:marker val="1"/>
        <c:smooth val="0"/>
        <c:axId val="232753760"/>
        <c:axId val="232750880"/>
      </c:lineChart>
      <c:catAx>
        <c:axId val="232753760"/>
        <c:scaling>
          <c:orientation val="minMax"/>
        </c:scaling>
        <c:delete val="0"/>
        <c:axPos val="b"/>
        <c:majorGridlines>
          <c:spPr>
            <a:ln w="9525" cap="flat" cmpd="sng" algn="ctr">
              <a:solidFill>
                <a:schemeClr val="accent1">
                  <a:lumMod val="40000"/>
                  <a:lumOff val="60000"/>
                </a:schemeClr>
              </a:solidFill>
              <a:prstDash val="sysDash"/>
              <a:round/>
            </a:ln>
            <a:effectLst/>
          </c:spPr>
        </c:majorGridlines>
        <c:title>
          <c:tx>
            <c:rich>
              <a:bodyPr rot="0" spcFirstLastPara="1" vertOverflow="ellipsis" vert="horz" wrap="square" anchor="ctr" anchorCtr="1"/>
              <a:lstStyle/>
              <a:p>
                <a:pPr>
                  <a:defRPr sz="1000" b="0" i="0" u="none" strike="noStrike" kern="1200" baseline="0">
                    <a:ln>
                      <a:solidFill>
                        <a:schemeClr val="tx1">
                          <a:alpha val="69000"/>
                        </a:schemeClr>
                      </a:solidFill>
                    </a:ln>
                    <a:solidFill>
                      <a:schemeClr val="tx1">
                        <a:lumMod val="65000"/>
                        <a:lumOff val="35000"/>
                      </a:schemeClr>
                    </a:solidFill>
                    <a:latin typeface="+mn-lt"/>
                    <a:ea typeface="+mn-ea"/>
                    <a:cs typeface="+mn-cs"/>
                  </a:defRPr>
                </a:pPr>
                <a:r>
                  <a:rPr lang="en-IN">
                    <a:ln>
                      <a:solidFill>
                        <a:schemeClr val="tx1">
                          <a:alpha val="69000"/>
                        </a:schemeClr>
                      </a:solidFill>
                    </a:ln>
                  </a:rPr>
                  <a:t>Year</a:t>
                </a:r>
              </a:p>
            </c:rich>
          </c:tx>
          <c:layout>
            <c:manualLayout>
              <c:xMode val="edge"/>
              <c:yMode val="edge"/>
              <c:x val="0.45794377434334599"/>
              <c:y val="0.87956271077629367"/>
            </c:manualLayout>
          </c:layout>
          <c:overlay val="0"/>
          <c:spPr>
            <a:noFill/>
            <a:ln>
              <a:noFill/>
            </a:ln>
            <a:effectLst/>
          </c:spPr>
          <c:txPr>
            <a:bodyPr rot="0" spcFirstLastPara="1" vertOverflow="ellipsis" vert="horz" wrap="square" anchor="ctr" anchorCtr="1"/>
            <a:lstStyle/>
            <a:p>
              <a:pPr>
                <a:defRPr sz="10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6000"/>
                    </a:schemeClr>
                  </a:solidFill>
                </a:ln>
                <a:solidFill>
                  <a:schemeClr val="tx1">
                    <a:lumMod val="65000"/>
                    <a:lumOff val="35000"/>
                  </a:schemeClr>
                </a:solidFill>
                <a:latin typeface="+mn-lt"/>
                <a:ea typeface="+mn-ea"/>
                <a:cs typeface="+mn-cs"/>
              </a:defRPr>
            </a:pPr>
            <a:endParaRPr lang="en-US"/>
          </a:p>
        </c:txPr>
        <c:crossAx val="232750880"/>
        <c:crosses val="autoZero"/>
        <c:auto val="1"/>
        <c:lblAlgn val="ctr"/>
        <c:lblOffset val="100"/>
        <c:noMultiLvlLbl val="0"/>
      </c:catAx>
      <c:valAx>
        <c:axId val="232750880"/>
        <c:scaling>
          <c:orientation val="minMax"/>
        </c:scaling>
        <c:delete val="0"/>
        <c:axPos val="l"/>
        <c:majorGridlines>
          <c:spPr>
            <a:ln w="9525" cap="flat" cmpd="sng" algn="ctr">
              <a:solidFill>
                <a:schemeClr val="accent1">
                  <a:lumMod val="40000"/>
                  <a:lumOff val="60000"/>
                </a:schemeClr>
              </a:solidFill>
              <a:prstDash val="sysDash"/>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ln>
                      <a:solidFill>
                        <a:schemeClr val="tx1">
                          <a:alpha val="64000"/>
                        </a:schemeClr>
                      </a:solidFill>
                    </a:ln>
                    <a:solidFill>
                      <a:sysClr val="windowText" lastClr="000000">
                        <a:lumMod val="65000"/>
                        <a:lumOff val="35000"/>
                      </a:sysClr>
                    </a:solidFill>
                  </a:rPr>
                  <a:t>Food Index (Avg)</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6000"/>
                    </a:schemeClr>
                  </a:solidFill>
                </a:ln>
                <a:solidFill>
                  <a:schemeClr val="tx1">
                    <a:lumMod val="65000"/>
                    <a:lumOff val="35000"/>
                  </a:schemeClr>
                </a:solidFill>
                <a:latin typeface="+mn-lt"/>
                <a:ea typeface="+mn-ea"/>
                <a:cs typeface="+mn-cs"/>
              </a:defRPr>
            </a:pPr>
            <a:endParaRPr lang="en-US"/>
          </a:p>
        </c:txPr>
        <c:crossAx val="232753760"/>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main.xlsx]solution 3 !PivotTable32</c:name>
    <c:fmtId val="17"/>
  </c:pivotSource>
  <c:chart>
    <c:title>
      <c:tx>
        <c:rich>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r>
              <a:rPr lang="en-US">
                <a:ln>
                  <a:solidFill>
                    <a:schemeClr val="tx1">
                      <a:alpha val="70000"/>
                    </a:schemeClr>
                  </a:solidFill>
                </a:ln>
              </a:rPr>
              <a:t>Month-on-month Food Inflation (%)</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dLbl>
          <c:idx val="0"/>
          <c:tx>
            <c:rich>
              <a:bodyPr rot="0" spcFirstLastPara="1" vertOverflow="ellipsis" horzOverflow="clip" vert="horz" wrap="square" lIns="360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-0.47</a:t>
                </a:r>
              </a:p>
            </c:rich>
          </c:tx>
          <c:spPr>
            <a:noFill/>
            <a:ln>
              <a:solidFill>
                <a:schemeClr val="tx1"/>
              </a:solidFill>
            </a:ln>
            <a:effectLst/>
          </c:spPr>
          <c:txPr>
            <a:bodyPr rot="0" spcFirstLastPara="1" vertOverflow="ellipsis" horzOverflow="clip" vert="horz" wrap="square" lIns="360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E5B8F0D1-6D5D-4DA7-BE0F-38EB6D1CF498}"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AC250389-D337-4497-B2B7-A56D50F8C2FA}"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99A01CFB-ECA9-4258-B269-F9A1C28326EB}"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797A3E44-57CD-44A3-BFFC-F3DD6353E25C}" type="CELLRANGE">
                  <a:rPr lang="en-US"/>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F96660C0-80D8-4E45-8F90-262CAD59DADF}"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4B38CA20-0F2D-46AF-A50E-E31600B5B036}"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9A3D6869-70DF-4E4F-8D81-98BDBBF6BA7D}"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1F8903A0-AB88-4C1B-A4F3-816E749EB2A4}"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DAD99163-FCD2-4380-AA8A-0588E5A76825}"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B204A2C1-4C0E-4F55-82AD-E7E7ED82ACE2}"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9D916336-6AE5-489F-B557-C2BC40A00182}"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fld id="{DC2A151B-EB06-4D1D-8AD4-D816708F207D}" type="CELLRANGE">
                  <a:rPr lang="en-IN"/>
                  <a:pPr>
                    <a:defRPr>
                      <a:ln>
                        <a:solidFill>
                          <a:schemeClr val="tx1">
                            <a:alpha val="65000"/>
                          </a:schemeClr>
                        </a:solidFill>
                      </a:ln>
                    </a:defRPr>
                  </a:pPr>
                  <a:t>[CELLRANGE]</a:t>
                </a:fld>
                <a:endParaRPr lang="en-IN"/>
              </a:p>
            </c:rich>
          </c:tx>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1"/>
        <c:ser>
          <c:idx val="0"/>
          <c:order val="0"/>
          <c:tx>
            <c:strRef>
              <c:f>'solution 3 '!$B$70:$B$81</c:f>
              <c:strCache>
                <c:ptCount val="1"/>
                <c:pt idx="0">
                  <c:v>Total</c:v>
                </c:pt>
              </c:strCache>
            </c:strRef>
          </c:tx>
          <c:spPr>
            <a:solidFill>
              <a:schemeClr val="accent1"/>
            </a:solidFill>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10-8B96-4E7E-81EF-48FD8F17E21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11-8B96-4E7E-81EF-48FD8F17E21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12-8B96-4E7E-81EF-48FD8F17E21E}"/>
              </c:ext>
            </c:extLst>
          </c:dPt>
          <c:dPt>
            <c:idx val="3"/>
            <c:invertIfNegative val="0"/>
            <c:bubble3D val="0"/>
            <c:spPr>
              <a:solidFill>
                <a:schemeClr val="accent1"/>
              </a:solidFill>
              <a:ln>
                <a:noFill/>
              </a:ln>
              <a:effectLst/>
            </c:spPr>
            <c:extLst>
              <c:ext xmlns:c16="http://schemas.microsoft.com/office/drawing/2014/chart" uri="{C3380CC4-5D6E-409C-BE32-E72D297353CC}">
                <c16:uniqueId val="{00000013-8B96-4E7E-81EF-48FD8F17E21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14-8B96-4E7E-81EF-48FD8F17E21E}"/>
              </c:ext>
            </c:extLst>
          </c:dPt>
          <c:dPt>
            <c:idx val="5"/>
            <c:invertIfNegative val="0"/>
            <c:bubble3D val="0"/>
            <c:spPr>
              <a:solidFill>
                <a:schemeClr val="accent1"/>
              </a:solidFill>
              <a:ln>
                <a:noFill/>
              </a:ln>
              <a:effectLst/>
            </c:spPr>
            <c:extLst>
              <c:ext xmlns:c16="http://schemas.microsoft.com/office/drawing/2014/chart" uri="{C3380CC4-5D6E-409C-BE32-E72D297353CC}">
                <c16:uniqueId val="{00000015-8B96-4E7E-81EF-48FD8F17E21E}"/>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F-8B96-4E7E-81EF-48FD8F17E21E}"/>
              </c:ext>
            </c:extLst>
          </c:dPt>
          <c:dPt>
            <c:idx val="7"/>
            <c:invertIfNegative val="0"/>
            <c:bubble3D val="0"/>
            <c:spPr>
              <a:solidFill>
                <a:schemeClr val="accent1"/>
              </a:solidFill>
              <a:ln>
                <a:noFill/>
              </a:ln>
              <a:effectLst/>
            </c:spPr>
            <c:extLst>
              <c:ext xmlns:c16="http://schemas.microsoft.com/office/drawing/2014/chart" uri="{C3380CC4-5D6E-409C-BE32-E72D297353CC}">
                <c16:uniqueId val="{00000016-8B96-4E7E-81EF-48FD8F17E21E}"/>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3-8B96-4E7E-81EF-48FD8F17E21E}"/>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2-8B96-4E7E-81EF-48FD8F17E21E}"/>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17-8B96-4E7E-81EF-48FD8F17E21E}"/>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E-8B96-4E7E-81EF-48FD8F17E21E}"/>
              </c:ext>
            </c:extLst>
          </c:dPt>
          <c:dLbls>
            <c:dLbl>
              <c:idx val="0"/>
              <c:tx>
                <c:rich>
                  <a:bodyPr/>
                  <a:lstStyle/>
                  <a:p>
                    <a:fld id="{797A3E44-57CD-44A3-BFFC-F3DD6353E25C}"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8B96-4E7E-81EF-48FD8F17E21E}"/>
                </c:ext>
              </c:extLst>
            </c:dLbl>
            <c:dLbl>
              <c:idx val="1"/>
              <c:tx>
                <c:rich>
                  <a:bodyPr/>
                  <a:lstStyle/>
                  <a:p>
                    <a:fld id="{F96660C0-80D8-4E45-8F90-262CAD59DADF}"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B96-4E7E-81EF-48FD8F17E21E}"/>
                </c:ext>
              </c:extLst>
            </c:dLbl>
            <c:dLbl>
              <c:idx val="2"/>
              <c:tx>
                <c:rich>
                  <a:bodyPr/>
                  <a:lstStyle/>
                  <a:p>
                    <a:fld id="{4B38CA20-0F2D-46AF-A50E-E31600B5B036}"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B96-4E7E-81EF-48FD8F17E21E}"/>
                </c:ext>
              </c:extLst>
            </c:dLbl>
            <c:dLbl>
              <c:idx val="3"/>
              <c:tx>
                <c:rich>
                  <a:bodyPr/>
                  <a:lstStyle/>
                  <a:p>
                    <a:fld id="{9A3D6869-70DF-4E4F-8D81-98BDBBF6BA7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B96-4E7E-81EF-48FD8F17E21E}"/>
                </c:ext>
              </c:extLst>
            </c:dLbl>
            <c:dLbl>
              <c:idx val="4"/>
              <c:tx>
                <c:rich>
                  <a:bodyPr/>
                  <a:lstStyle/>
                  <a:p>
                    <a:fld id="{1F8903A0-AB88-4C1B-A4F3-816E749EB2A4}"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B96-4E7E-81EF-48FD8F17E21E}"/>
                </c:ext>
              </c:extLst>
            </c:dLbl>
            <c:dLbl>
              <c:idx val="5"/>
              <c:tx>
                <c:rich>
                  <a:bodyPr/>
                  <a:lstStyle/>
                  <a:p>
                    <a:fld id="{DAD99163-FCD2-4380-AA8A-0588E5A7682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B96-4E7E-81EF-48FD8F17E21E}"/>
                </c:ext>
              </c:extLst>
            </c:dLbl>
            <c:dLbl>
              <c:idx val="6"/>
              <c:tx>
                <c:rich>
                  <a:bodyPr/>
                  <a:lstStyle/>
                  <a:p>
                    <a:fld id="{99A01CFB-ECA9-4258-B269-F9A1C28326EB}"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B96-4E7E-81EF-48FD8F17E21E}"/>
                </c:ext>
              </c:extLst>
            </c:dLbl>
            <c:dLbl>
              <c:idx val="7"/>
              <c:tx>
                <c:rich>
                  <a:bodyPr/>
                  <a:lstStyle/>
                  <a:p>
                    <a:fld id="{B204A2C1-4C0E-4F55-82AD-E7E7ED82ACE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B96-4E7E-81EF-48FD8F17E21E}"/>
                </c:ext>
              </c:extLst>
            </c:dLbl>
            <c:dLbl>
              <c:idx val="8"/>
              <c:tx>
                <c:rich>
                  <a:bodyPr/>
                  <a:lstStyle/>
                  <a:p>
                    <a:fld id="{E5B8F0D1-6D5D-4DA7-BE0F-38EB6D1CF49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B96-4E7E-81EF-48FD8F17E21E}"/>
                </c:ext>
              </c:extLst>
            </c:dLbl>
            <c:dLbl>
              <c:idx val="9"/>
              <c:tx>
                <c:rich>
                  <a:bodyPr/>
                  <a:lstStyle/>
                  <a:p>
                    <a:fld id="{9D916336-6AE5-489F-B557-C2BC40A0018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B96-4E7E-81EF-48FD8F17E21E}"/>
                </c:ext>
              </c:extLst>
            </c:dLbl>
            <c:dLbl>
              <c:idx val="10"/>
              <c:tx>
                <c:rich>
                  <a:bodyPr/>
                  <a:lstStyle/>
                  <a:p>
                    <a:fld id="{DC2A151B-EB06-4D1D-8AD4-D816708F207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B96-4E7E-81EF-48FD8F17E21E}"/>
                </c:ext>
              </c:extLst>
            </c:dLbl>
            <c:dLbl>
              <c:idx val="11"/>
              <c:tx>
                <c:rich>
                  <a:bodyPr/>
                  <a:lstStyle/>
                  <a:p>
                    <a:fld id="{AC250389-D337-4497-B2B7-A56D50F8C2F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B96-4E7E-81EF-48FD8F17E21E}"/>
                </c:ext>
              </c:extLst>
            </c:dLbl>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'solution 3 '!$B$70:$B$81</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'solution 3 '!$B$70:$B$81</c:f>
              <c:numCache>
                <c:formatCode>General</c:formatCode>
                <c:ptCount val="12"/>
                <c:pt idx="0">
                  <c:v>-1.1907635368895402E-2</c:v>
                </c:pt>
                <c:pt idx="1">
                  <c:v>-1.1766123202955499E-2</c:v>
                </c:pt>
                <c:pt idx="2">
                  <c:v>-1.1314395763119676E-2</c:v>
                </c:pt>
                <c:pt idx="3">
                  <c:v>-1.1691472806352255E-2</c:v>
                </c:pt>
                <c:pt idx="4">
                  <c:v>-1.1417697431018036E-2</c:v>
                </c:pt>
                <c:pt idx="5">
                  <c:v>-8.4691848906559095E-3</c:v>
                </c:pt>
                <c:pt idx="6">
                  <c:v>-6.4880451760180313E-3</c:v>
                </c:pt>
                <c:pt idx="7">
                  <c:v>-8.3207261724662224E-3</c:v>
                </c:pt>
                <c:pt idx="8">
                  <c:v>-1.089428947683445E-2</c:v>
                </c:pt>
                <c:pt idx="9">
                  <c:v>-1.0933322692629975E-2</c:v>
                </c:pt>
                <c:pt idx="10">
                  <c:v>-1.2295732191020193E-2</c:v>
                </c:pt>
                <c:pt idx="11">
                  <c:v>-1.2365612570393206E-2</c:v>
                </c:pt>
              </c:numCache>
            </c:numRef>
          </c:val>
          <c:extLst>
            <c:ext xmlns:c15="http://schemas.microsoft.com/office/drawing/2012/chart" uri="{02D57815-91ED-43cb-92C2-25804820EDAC}">
              <c15:datalabelsRange>
                <c15:f>'solution 3 '!$B$70:$B$81</c15:f>
                <c15:dlblRangeCache>
                  <c:ptCount val="12"/>
                  <c:pt idx="0">
                    <c:v>-1.2%</c:v>
                  </c:pt>
                  <c:pt idx="1">
                    <c:v>-1.18%</c:v>
                  </c:pt>
                  <c:pt idx="2">
                    <c:v>-1.13%</c:v>
                  </c:pt>
                  <c:pt idx="3">
                    <c:v>-1.17%</c:v>
                  </c:pt>
                  <c:pt idx="4">
                    <c:v>-1.14%</c:v>
                  </c:pt>
                  <c:pt idx="5">
                    <c:v>-0.85%</c:v>
                  </c:pt>
                  <c:pt idx="6">
                    <c:v>-0.65%</c:v>
                  </c:pt>
                  <c:pt idx="7">
                    <c:v>-0.83%</c:v>
                  </c:pt>
                  <c:pt idx="8">
                    <c:v>-1.09%</c:v>
                  </c:pt>
                  <c:pt idx="9">
                    <c:v>-1.09%</c:v>
                  </c:pt>
                  <c:pt idx="10">
                    <c:v>-1.23%</c:v>
                  </c:pt>
                  <c:pt idx="11">
                    <c:v>-1.24%</c:v>
                  </c:pt>
                </c15:dlblRangeCache>
              </c15:datalabelsRange>
            </c:ext>
            <c:ext xmlns:c16="http://schemas.microsoft.com/office/drawing/2014/chart" uri="{C3380CC4-5D6E-409C-BE32-E72D297353CC}">
              <c16:uniqueId val="{00000000-8B96-4E7E-81EF-48FD8F17E21E}"/>
            </c:ext>
          </c:extLst>
        </c:ser>
        <c:dLbls>
          <c:dLblPos val="outEnd"/>
          <c:showLegendKey val="0"/>
          <c:showVal val="1"/>
          <c:showCatName val="0"/>
          <c:showSerName val="0"/>
          <c:showPercent val="0"/>
          <c:showBubbleSize val="0"/>
        </c:dLbls>
        <c:gapWidth val="219"/>
        <c:overlap val="-27"/>
        <c:axId val="1403261407"/>
        <c:axId val="1403263327"/>
      </c:barChart>
      <c:catAx>
        <c:axId val="14032614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5000"/>
                    </a:schemeClr>
                  </a:solidFill>
                </a:ln>
                <a:solidFill>
                  <a:schemeClr val="tx1">
                    <a:lumMod val="65000"/>
                    <a:lumOff val="35000"/>
                  </a:schemeClr>
                </a:solidFill>
                <a:latin typeface="+mn-lt"/>
                <a:ea typeface="+mn-ea"/>
                <a:cs typeface="+mn-cs"/>
              </a:defRPr>
            </a:pPr>
            <a:endParaRPr lang="en-US"/>
          </a:p>
        </c:txPr>
        <c:crossAx val="1403263327"/>
        <c:crosses val="autoZero"/>
        <c:auto val="1"/>
        <c:lblAlgn val="ctr"/>
        <c:lblOffset val="100"/>
        <c:noMultiLvlLbl val="0"/>
      </c:catAx>
      <c:valAx>
        <c:axId val="140326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solidFill>
                        <a:schemeClr val="tx1">
                          <a:alpha val="64000"/>
                        </a:schemeClr>
                      </a:solidFill>
                    </a:ln>
                    <a:solidFill>
                      <a:schemeClr val="tx1">
                        <a:lumMod val="65000"/>
                        <a:lumOff val="35000"/>
                      </a:schemeClr>
                    </a:solidFill>
                    <a:latin typeface="+mn-lt"/>
                    <a:ea typeface="+mn-ea"/>
                    <a:cs typeface="+mn-cs"/>
                  </a:defRPr>
                </a:pPr>
                <a:r>
                  <a:rPr lang="en-IN">
                    <a:ln>
                      <a:solidFill>
                        <a:schemeClr val="tx1">
                          <a:alpha val="64000"/>
                        </a:schemeClr>
                      </a:solidFill>
                    </a:ln>
                  </a:rPr>
                  <a:t>MOM</a:t>
                </a:r>
                <a:r>
                  <a:rPr lang="en-IN" baseline="0">
                    <a:ln>
                      <a:solidFill>
                        <a:schemeClr val="tx1">
                          <a:alpha val="64000"/>
                        </a:schemeClr>
                      </a:solidFill>
                    </a:ln>
                  </a:rPr>
                  <a:t>  %</a:t>
                </a:r>
                <a:endParaRPr lang="en-IN">
                  <a:ln>
                    <a:solidFill>
                      <a:schemeClr val="tx1">
                        <a:alpha val="64000"/>
                      </a:schemeClr>
                    </a:solidFill>
                  </a:ln>
                </a:endParaRPr>
              </a:p>
            </c:rich>
          </c:tx>
          <c:overlay val="0"/>
          <c:spPr>
            <a:noFill/>
            <a:ln>
              <a:solidFill>
                <a:schemeClr val="tx1"/>
              </a:solidFill>
            </a:ln>
            <a:effectLst/>
          </c:spPr>
          <c:txPr>
            <a:bodyPr rot="-5400000" spcFirstLastPara="1" vertOverflow="ellipsis" vert="horz" wrap="square" anchor="ctr" anchorCtr="1"/>
            <a:lstStyle/>
            <a:p>
              <a:pPr>
                <a:defRPr sz="1000" b="0" i="0" u="none" strike="noStrike" kern="1200" baseline="0">
                  <a:ln>
                    <a:solidFill>
                      <a:schemeClr val="tx1">
                        <a:alpha val="64000"/>
                      </a:schemeClr>
                    </a:solidFill>
                  </a:ln>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5000"/>
                    </a:schemeClr>
                  </a:solidFill>
                </a:ln>
                <a:solidFill>
                  <a:schemeClr val="tx1">
                    <a:lumMod val="65000"/>
                    <a:lumOff val="35000"/>
                  </a:schemeClr>
                </a:solidFill>
                <a:latin typeface="+mn-lt"/>
                <a:ea typeface="+mn-ea"/>
                <a:cs typeface="+mn-cs"/>
              </a:defRPr>
            </a:pPr>
            <a:endParaRPr lang="en-US"/>
          </a:p>
        </c:txPr>
        <c:crossAx val="140326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ln>
                  <a:solidFill>
                    <a:schemeClr val="tx1">
                      <a:alpha val="67000"/>
                    </a:schemeClr>
                  </a:solidFill>
                </a:ln>
                <a:solidFill>
                  <a:schemeClr val="tx1">
                    <a:lumMod val="65000"/>
                    <a:lumOff val="35000"/>
                  </a:schemeClr>
                </a:solidFill>
                <a:latin typeface="+mn-lt"/>
                <a:ea typeface="+mn-ea"/>
                <a:cs typeface="+mn-cs"/>
              </a:defRPr>
            </a:pPr>
            <a:r>
              <a:rPr lang="en-IN">
                <a:ln>
                  <a:solidFill>
                    <a:schemeClr val="tx1">
                      <a:alpha val="67000"/>
                    </a:schemeClr>
                  </a:solidFill>
                </a:ln>
              </a:rPr>
              <a:t>Absolute</a:t>
            </a:r>
            <a:r>
              <a:rPr lang="en-IN" baseline="0">
                <a:ln>
                  <a:solidFill>
                    <a:schemeClr val="tx1">
                      <a:alpha val="67000"/>
                    </a:schemeClr>
                  </a:solidFill>
                </a:ln>
              </a:rPr>
              <a:t> Change in Food Catagories for Rural </a:t>
            </a:r>
          </a:p>
          <a:p>
            <a:pPr>
              <a:defRPr>
                <a:ln>
                  <a:solidFill>
                    <a:schemeClr val="tx1">
                      <a:alpha val="67000"/>
                    </a:schemeClr>
                  </a:solidFill>
                </a:ln>
              </a:defRPr>
            </a:pPr>
            <a:r>
              <a:rPr lang="en-IN" baseline="0">
                <a:ln>
                  <a:solidFill>
                    <a:schemeClr val="tx1">
                      <a:alpha val="67000"/>
                    </a:schemeClr>
                  </a:solidFill>
                </a:ln>
              </a:rPr>
              <a:t>(jun 22-may 23)</a:t>
            </a:r>
            <a:endParaRPr lang="en-IN">
              <a:ln>
                <a:solidFill>
                  <a:schemeClr val="tx1">
                    <a:alpha val="67000"/>
                  </a:schemeClr>
                </a:solidFill>
              </a:ln>
            </a:endParaRPr>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1">
                    <a:alpha val="67000"/>
                  </a:schemeClr>
                </a:solidFill>
              </a:ln>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425-4DA4-A818-EBBF8B1C993C}"/>
              </c:ext>
            </c:extLst>
          </c:dPt>
          <c:dPt>
            <c:idx val="9"/>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25-4DA4-A818-EBBF8B1C993C}"/>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4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 '!$N$41:$N$54</c:f>
              <c:strCache>
                <c:ptCount val="14"/>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strCache>
            </c:strRef>
          </c:cat>
          <c:val>
            <c:numRef>
              <c:f>'solution 3 '!$O$41:$O$54</c:f>
              <c:numCache>
                <c:formatCode>0.0%</c:formatCode>
                <c:ptCount val="14"/>
                <c:pt idx="0">
                  <c:v>0.34066704419856786</c:v>
                </c:pt>
                <c:pt idx="1">
                  <c:v>-0.11422773633376847</c:v>
                </c:pt>
                <c:pt idx="2">
                  <c:v>2.8960683865628993E-2</c:v>
                </c:pt>
                <c:pt idx="3">
                  <c:v>0.228534608499881</c:v>
                </c:pt>
                <c:pt idx="4">
                  <c:v>-0.42672500885280379</c:v>
                </c:pt>
                <c:pt idx="5">
                  <c:v>0.10135141574149971</c:v>
                </c:pt>
                <c:pt idx="6">
                  <c:v>-0.39266581287407326</c:v>
                </c:pt>
                <c:pt idx="7">
                  <c:v>0.18137341135694865</c:v>
                </c:pt>
                <c:pt idx="8">
                  <c:v>4.9319050934295922E-2</c:v>
                </c:pt>
                <c:pt idx="9">
                  <c:v>0.41380298285359796</c:v>
                </c:pt>
                <c:pt idx="10">
                  <c:v>9.4469396321527913E-2</c:v>
                </c:pt>
                <c:pt idx="11">
                  <c:v>0.15656525713444469</c:v>
                </c:pt>
                <c:pt idx="12">
                  <c:v>5.8537164045741018E-2</c:v>
                </c:pt>
                <c:pt idx="13">
                  <c:v>9.3634844313454133E-2</c:v>
                </c:pt>
              </c:numCache>
            </c:numRef>
          </c:val>
          <c:extLst>
            <c:ext xmlns:c16="http://schemas.microsoft.com/office/drawing/2014/chart" uri="{C3380CC4-5D6E-409C-BE32-E72D297353CC}">
              <c16:uniqueId val="{00000000-4425-4DA4-A818-EBBF8B1C993C}"/>
            </c:ext>
          </c:extLst>
        </c:ser>
        <c:dLbls>
          <c:dLblPos val="outEnd"/>
          <c:showLegendKey val="0"/>
          <c:showVal val="1"/>
          <c:showCatName val="0"/>
          <c:showSerName val="0"/>
          <c:showPercent val="0"/>
          <c:showBubbleSize val="0"/>
        </c:dLbls>
        <c:gapWidth val="100"/>
        <c:overlap val="-24"/>
        <c:axId val="767994416"/>
        <c:axId val="767998256"/>
      </c:barChart>
      <c:catAx>
        <c:axId val="767994416"/>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solidFill>
                    <a:schemeClr val="tx1">
                      <a:alpha val="65000"/>
                    </a:schemeClr>
                  </a:solidFill>
                </a:ln>
                <a:solidFill>
                  <a:schemeClr val="tx1">
                    <a:lumMod val="65000"/>
                    <a:lumOff val="35000"/>
                  </a:schemeClr>
                </a:solidFill>
                <a:latin typeface="+mn-lt"/>
                <a:ea typeface="+mn-ea"/>
                <a:cs typeface="+mn-cs"/>
              </a:defRPr>
            </a:pPr>
            <a:endParaRPr lang="en-US"/>
          </a:p>
        </c:txPr>
        <c:crossAx val="767998256"/>
        <c:crosses val="autoZero"/>
        <c:auto val="1"/>
        <c:lblAlgn val="ctr"/>
        <c:lblOffset val="100"/>
        <c:noMultiLvlLbl val="0"/>
      </c:catAx>
      <c:valAx>
        <c:axId val="7679982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6000"/>
                    </a:schemeClr>
                  </a:solidFill>
                </a:ln>
                <a:solidFill>
                  <a:schemeClr val="tx1">
                    <a:lumMod val="65000"/>
                    <a:lumOff val="35000"/>
                  </a:schemeClr>
                </a:solidFill>
                <a:latin typeface="+mn-lt"/>
                <a:ea typeface="+mn-ea"/>
                <a:cs typeface="+mn-cs"/>
              </a:defRPr>
            </a:pPr>
            <a:endParaRPr lang="en-US"/>
          </a:p>
        </c:txPr>
        <c:crossAx val="76799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kern="1200" baseline="0">
                <a:ln>
                  <a:solidFill>
                    <a:schemeClr val="tx1">
                      <a:alpha val="67000"/>
                    </a:schemeClr>
                  </a:solidFill>
                </a:ln>
                <a:solidFill>
                  <a:sysClr val="windowText" lastClr="000000">
                    <a:lumMod val="65000"/>
                    <a:lumOff val="35000"/>
                  </a:sysClr>
                </a:solidFill>
              </a:rPr>
              <a:t>Absolute Change in Food Catagories for Urban</a:t>
            </a:r>
          </a:p>
          <a:p>
            <a:pPr>
              <a:defRPr/>
            </a:pPr>
            <a:r>
              <a:rPr lang="en-IN" sz="1600" b="1" i="0" u="none" strike="noStrike" kern="1200" baseline="0">
                <a:ln>
                  <a:solidFill>
                    <a:schemeClr val="tx1">
                      <a:alpha val="67000"/>
                    </a:schemeClr>
                  </a:solidFill>
                </a:ln>
                <a:solidFill>
                  <a:sysClr val="windowText" lastClr="000000">
                    <a:lumMod val="65000"/>
                    <a:lumOff val="35000"/>
                  </a:sysClr>
                </a:solidFill>
              </a:rPr>
              <a:t>(jun 22-may 23)</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151-4188-8494-A759EC4C40B7}"/>
              </c:ext>
            </c:extLst>
          </c:dPt>
          <c:dPt>
            <c:idx val="9"/>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151-4188-8494-A759EC4C40B7}"/>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6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 '!$N$41:$N$54</c:f>
              <c:strCache>
                <c:ptCount val="14"/>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strCache>
            </c:strRef>
          </c:cat>
          <c:val>
            <c:numRef>
              <c:f>'solution 3 '!$P$41:$P$54</c:f>
              <c:numCache>
                <c:formatCode>0.0%</c:formatCode>
                <c:ptCount val="14"/>
                <c:pt idx="0">
                  <c:v>0.3309922309994594</c:v>
                </c:pt>
                <c:pt idx="1">
                  <c:v>-5.8088900372441687E-2</c:v>
                </c:pt>
                <c:pt idx="2">
                  <c:v>2.6190415074314147E-2</c:v>
                </c:pt>
                <c:pt idx="3">
                  <c:v>0.22644895890524355</c:v>
                </c:pt>
                <c:pt idx="4">
                  <c:v>-0.42386228867615255</c:v>
                </c:pt>
                <c:pt idx="5">
                  <c:v>5.9459021721165614E-2</c:v>
                </c:pt>
                <c:pt idx="6">
                  <c:v>-0.37208720225590086</c:v>
                </c:pt>
                <c:pt idx="7">
                  <c:v>0.19518149478550978</c:v>
                </c:pt>
                <c:pt idx="8">
                  <c:v>5.7415244904643517E-2</c:v>
                </c:pt>
                <c:pt idx="9">
                  <c:v>0.41818145484406399</c:v>
                </c:pt>
                <c:pt idx="10">
                  <c:v>9.5164156311954559E-2</c:v>
                </c:pt>
                <c:pt idx="11">
                  <c:v>0.15352152529093169</c:v>
                </c:pt>
                <c:pt idx="12">
                  <c:v>6.3448605835329144E-2</c:v>
                </c:pt>
                <c:pt idx="13">
                  <c:v>9.5519437799913898E-2</c:v>
                </c:pt>
              </c:numCache>
            </c:numRef>
          </c:val>
          <c:extLst>
            <c:ext xmlns:c16="http://schemas.microsoft.com/office/drawing/2014/chart" uri="{C3380CC4-5D6E-409C-BE32-E72D297353CC}">
              <c16:uniqueId val="{00000000-A151-4188-8494-A759EC4C40B7}"/>
            </c:ext>
          </c:extLst>
        </c:ser>
        <c:dLbls>
          <c:dLblPos val="outEnd"/>
          <c:showLegendKey val="0"/>
          <c:showVal val="1"/>
          <c:showCatName val="0"/>
          <c:showSerName val="0"/>
          <c:showPercent val="0"/>
          <c:showBubbleSize val="0"/>
        </c:dLbls>
        <c:gapWidth val="100"/>
        <c:overlap val="-24"/>
        <c:axId val="829866096"/>
        <c:axId val="829866576"/>
      </c:barChart>
      <c:catAx>
        <c:axId val="829866096"/>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solidFill>
                    <a:schemeClr val="tx1">
                      <a:alpha val="67000"/>
                    </a:schemeClr>
                  </a:solidFill>
                </a:ln>
                <a:solidFill>
                  <a:schemeClr val="tx1">
                    <a:lumMod val="65000"/>
                    <a:lumOff val="35000"/>
                  </a:schemeClr>
                </a:solidFill>
                <a:latin typeface="+mn-lt"/>
                <a:ea typeface="+mn-ea"/>
                <a:cs typeface="+mn-cs"/>
              </a:defRPr>
            </a:pPr>
            <a:endParaRPr lang="en-US"/>
          </a:p>
        </c:txPr>
        <c:crossAx val="829866576"/>
        <c:crosses val="autoZero"/>
        <c:auto val="1"/>
        <c:lblAlgn val="ctr"/>
        <c:lblOffset val="100"/>
        <c:noMultiLvlLbl val="0"/>
      </c:catAx>
      <c:valAx>
        <c:axId val="8298665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7000"/>
                    </a:schemeClr>
                  </a:solidFill>
                </a:ln>
                <a:solidFill>
                  <a:schemeClr val="tx1">
                    <a:lumMod val="65000"/>
                    <a:lumOff val="35000"/>
                  </a:schemeClr>
                </a:solidFill>
                <a:latin typeface="+mn-lt"/>
                <a:ea typeface="+mn-ea"/>
                <a:cs typeface="+mn-cs"/>
              </a:defRPr>
            </a:pPr>
            <a:endParaRPr lang="en-US"/>
          </a:p>
        </c:txPr>
        <c:crossAx val="82986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ln>
                  <a:solidFill>
                    <a:schemeClr val="tx1">
                      <a:alpha val="68000"/>
                    </a:schemeClr>
                  </a:solidFill>
                </a:ln>
                <a:solidFill>
                  <a:schemeClr val="tx1">
                    <a:lumMod val="65000"/>
                    <a:lumOff val="35000"/>
                  </a:schemeClr>
                </a:solidFill>
                <a:latin typeface="+mn-lt"/>
                <a:ea typeface="+mn-ea"/>
                <a:cs typeface="+mn-cs"/>
              </a:defRPr>
            </a:pPr>
            <a:r>
              <a:rPr lang="en-IN" sz="1600" b="1" i="0" u="none" strike="noStrike" kern="1200" baseline="0">
                <a:ln>
                  <a:solidFill>
                    <a:schemeClr val="tx1">
                      <a:alpha val="67000"/>
                    </a:schemeClr>
                  </a:solidFill>
                </a:ln>
                <a:solidFill>
                  <a:sysClr val="windowText" lastClr="000000">
                    <a:lumMod val="65000"/>
                    <a:lumOff val="35000"/>
                  </a:sysClr>
                </a:solidFill>
              </a:rPr>
              <a:t>Absolute Change in Food Catagories for R+U</a:t>
            </a:r>
          </a:p>
          <a:p>
            <a:pPr>
              <a:defRPr/>
            </a:pPr>
            <a:r>
              <a:rPr lang="en-IN" sz="1600" b="1" i="0" u="none" strike="noStrike" kern="1200" baseline="0">
                <a:ln>
                  <a:solidFill>
                    <a:schemeClr val="tx1">
                      <a:alpha val="67000"/>
                    </a:schemeClr>
                  </a:solidFill>
                </a:ln>
                <a:solidFill>
                  <a:sysClr val="windowText" lastClr="000000">
                    <a:lumMod val="65000"/>
                    <a:lumOff val="35000"/>
                  </a:sysClr>
                </a:solidFill>
              </a:rPr>
              <a:t>(jun 22-may 23)</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8DD-4CB5-9F13-F4B47FA6E80A}"/>
              </c:ext>
            </c:extLst>
          </c:dPt>
          <c:dPt>
            <c:idx val="9"/>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DD-4CB5-9F13-F4B47FA6E80A}"/>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8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 '!$N$41:$N$54</c:f>
              <c:strCache>
                <c:ptCount val="14"/>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strCache>
            </c:strRef>
          </c:cat>
          <c:val>
            <c:numRef>
              <c:f>'solution 3 '!$Q$41:$Q$54</c:f>
              <c:numCache>
                <c:formatCode>0.0%</c:formatCode>
                <c:ptCount val="14"/>
                <c:pt idx="0">
                  <c:v>0.3189882855777923</c:v>
                </c:pt>
                <c:pt idx="1">
                  <c:v>-5.999208895416077E-3</c:v>
                </c:pt>
                <c:pt idx="2">
                  <c:v>2.5426089427913145E-2</c:v>
                </c:pt>
                <c:pt idx="3">
                  <c:v>0.22840814741852405</c:v>
                </c:pt>
                <c:pt idx="4">
                  <c:v>-0.43172983547004845</c:v>
                </c:pt>
                <c:pt idx="5">
                  <c:v>5.1865506740527284E-3</c:v>
                </c:pt>
                <c:pt idx="6">
                  <c:v>-0.32186676905674427</c:v>
                </c:pt>
                <c:pt idx="7">
                  <c:v>0.20542393492278999</c:v>
                </c:pt>
                <c:pt idx="8">
                  <c:v>6.8133153992219031E-2</c:v>
                </c:pt>
                <c:pt idx="9">
                  <c:v>0.42687750766593591</c:v>
                </c:pt>
                <c:pt idx="10">
                  <c:v>9.3656252723267483E-2</c:v>
                </c:pt>
                <c:pt idx="11">
                  <c:v>0.14962433521241369</c:v>
                </c:pt>
                <c:pt idx="12">
                  <c:v>6.963624391446202E-2</c:v>
                </c:pt>
                <c:pt idx="13">
                  <c:v>9.6000596441990799E-2</c:v>
                </c:pt>
              </c:numCache>
            </c:numRef>
          </c:val>
          <c:extLst>
            <c:ext xmlns:c16="http://schemas.microsoft.com/office/drawing/2014/chart" uri="{C3380CC4-5D6E-409C-BE32-E72D297353CC}">
              <c16:uniqueId val="{00000000-D8DD-4CB5-9F13-F4B47FA6E80A}"/>
            </c:ext>
          </c:extLst>
        </c:ser>
        <c:dLbls>
          <c:dLblPos val="outEnd"/>
          <c:showLegendKey val="0"/>
          <c:showVal val="1"/>
          <c:showCatName val="0"/>
          <c:showSerName val="0"/>
          <c:showPercent val="0"/>
          <c:showBubbleSize val="0"/>
        </c:dLbls>
        <c:gapWidth val="100"/>
        <c:overlap val="-24"/>
        <c:axId val="45652223"/>
        <c:axId val="45651743"/>
      </c:barChart>
      <c:catAx>
        <c:axId val="45652223"/>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crossAx val="45651743"/>
        <c:crosses val="autoZero"/>
        <c:auto val="1"/>
        <c:lblAlgn val="ctr"/>
        <c:lblOffset val="100"/>
        <c:noMultiLvlLbl val="0"/>
      </c:catAx>
      <c:valAx>
        <c:axId val="456517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crossAx val="4565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tx1">
                <a:alpha val="68000"/>
              </a:schemeClr>
            </a:solidFill>
          </a:ln>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ln>
                  <a:solidFill>
                    <a:schemeClr val="tx1">
                      <a:alpha val="67000"/>
                    </a:schemeClr>
                  </a:solidFill>
                </a:ln>
                <a:solidFill>
                  <a:schemeClr val="tx1">
                    <a:lumMod val="65000"/>
                    <a:lumOff val="35000"/>
                  </a:schemeClr>
                </a:solidFill>
                <a:latin typeface="+mn-lt"/>
                <a:ea typeface="+mn-ea"/>
                <a:cs typeface="+mn-cs"/>
              </a:defRPr>
            </a:pPr>
            <a:r>
              <a:rPr lang="en-IN">
                <a:ln>
                  <a:solidFill>
                    <a:schemeClr val="tx1">
                      <a:alpha val="67000"/>
                    </a:schemeClr>
                  </a:solidFill>
                </a:ln>
              </a:rPr>
              <a:t>Impact Of Covid -19 on cpi inflation </a:t>
            </a:r>
          </a:p>
          <a:p>
            <a:pPr>
              <a:defRPr>
                <a:ln>
                  <a:solidFill>
                    <a:schemeClr val="tx1">
                      <a:alpha val="67000"/>
                    </a:schemeClr>
                  </a:solidFill>
                </a:ln>
              </a:defRPr>
            </a:pPr>
            <a:r>
              <a:rPr lang="en-IN">
                <a:ln>
                  <a:solidFill>
                    <a:schemeClr val="tx1">
                      <a:alpha val="67000"/>
                    </a:schemeClr>
                  </a:solidFill>
                </a:ln>
              </a:rPr>
              <a:t>(Pre VS Post covid) For Rural </a:t>
            </a:r>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1">
                    <a:alpha val="67000"/>
                  </a:schemeClr>
                </a:solidFill>
              </a:ln>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'solution 4 '!$E$49</c:f>
              <c:strCache>
                <c:ptCount val="1"/>
                <c:pt idx="0">
                  <c:v>Inflation 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'!$C$50:$D$54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'!$E$50:$E$54</c:f>
              <c:numCache>
                <c:formatCode>0.0%</c:formatCode>
                <c:ptCount val="5"/>
                <c:pt idx="0">
                  <c:v>-9.6198127206671077E-3</c:v>
                </c:pt>
                <c:pt idx="1">
                  <c:v>9.7019195755084803E-2</c:v>
                </c:pt>
                <c:pt idx="2">
                  <c:v>8.3950265755504988E-2</c:v>
                </c:pt>
                <c:pt idx="3">
                  <c:v>4.8304670488379456E-2</c:v>
                </c:pt>
                <c:pt idx="4">
                  <c:v>5.5169176942441521E-2</c:v>
                </c:pt>
              </c:numCache>
            </c:numRef>
          </c:val>
          <c:extLst>
            <c:ext xmlns:c16="http://schemas.microsoft.com/office/drawing/2014/chart" uri="{C3380CC4-5D6E-409C-BE32-E72D297353CC}">
              <c16:uniqueId val="{00000000-E719-48A1-B2ED-7F2DD5750EE7}"/>
            </c:ext>
          </c:extLst>
        </c:ser>
        <c:ser>
          <c:idx val="1"/>
          <c:order val="1"/>
          <c:tx>
            <c:strRef>
              <c:f>'solution 4 '!$F$49</c:f>
              <c:strCache>
                <c:ptCount val="1"/>
                <c:pt idx="0">
                  <c:v>Inflation Health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8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'!$C$50:$D$54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'!$F$50:$F$54</c:f>
              <c:numCache>
                <c:formatCode>0.0%</c:formatCode>
                <c:ptCount val="5"/>
                <c:pt idx="0">
                  <c:v>9.9999999999999964E-2</c:v>
                </c:pt>
                <c:pt idx="1">
                  <c:v>3.4759358288770172E-2</c:v>
                </c:pt>
                <c:pt idx="2">
                  <c:v>3.7893384714194005E-2</c:v>
                </c:pt>
                <c:pt idx="3">
                  <c:v>7.0769230769230765E-2</c:v>
                </c:pt>
                <c:pt idx="4">
                  <c:v>5.0372066399542142E-2</c:v>
                </c:pt>
              </c:numCache>
            </c:numRef>
          </c:val>
          <c:extLst>
            <c:ext xmlns:c16="http://schemas.microsoft.com/office/drawing/2014/chart" uri="{C3380CC4-5D6E-409C-BE32-E72D297353CC}">
              <c16:uniqueId val="{00000001-E719-48A1-B2ED-7F2DD5750EE7}"/>
            </c:ext>
          </c:extLst>
        </c:ser>
        <c:ser>
          <c:idx val="2"/>
          <c:order val="2"/>
          <c:tx>
            <c:strRef>
              <c:f>'solution 4 '!$G$49</c:f>
              <c:strCache>
                <c:ptCount val="1"/>
                <c:pt idx="0">
                  <c:v>Inflation Essential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6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'!$C$50:$D$54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'!$G$50:$G$54</c:f>
              <c:numCache>
                <c:formatCode>0.0%</c:formatCode>
                <c:ptCount val="5"/>
                <c:pt idx="0">
                  <c:v>6.780923994038765E-2</c:v>
                </c:pt>
                <c:pt idx="1">
                  <c:v>4.3607186464329324E-2</c:v>
                </c:pt>
                <c:pt idx="2">
                  <c:v>4.3492695883134015E-2</c:v>
                </c:pt>
                <c:pt idx="3">
                  <c:v>5.1212938005390757E-2</c:v>
                </c:pt>
                <c:pt idx="4">
                  <c:v>5.281372253987382E-2</c:v>
                </c:pt>
              </c:numCache>
            </c:numRef>
          </c:val>
          <c:extLst>
            <c:ext xmlns:c16="http://schemas.microsoft.com/office/drawing/2014/chart" uri="{C3380CC4-5D6E-409C-BE32-E72D297353CC}">
              <c16:uniqueId val="{00000002-E719-48A1-B2ED-7F2DD5750EE7}"/>
            </c:ext>
          </c:extLst>
        </c:ser>
        <c:dLbls>
          <c:dLblPos val="outEnd"/>
          <c:showLegendKey val="0"/>
          <c:showVal val="1"/>
          <c:showCatName val="0"/>
          <c:showSerName val="0"/>
          <c:showPercent val="0"/>
          <c:showBubbleSize val="0"/>
        </c:dLbls>
        <c:gapWidth val="100"/>
        <c:overlap val="-24"/>
        <c:axId val="1019830336"/>
        <c:axId val="1019822176"/>
      </c:barChart>
      <c:catAx>
        <c:axId val="10198303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6000"/>
                    </a:schemeClr>
                  </a:solidFill>
                </a:ln>
                <a:solidFill>
                  <a:schemeClr val="tx1">
                    <a:lumMod val="65000"/>
                    <a:lumOff val="35000"/>
                  </a:schemeClr>
                </a:solidFill>
                <a:latin typeface="+mn-lt"/>
                <a:ea typeface="+mn-ea"/>
                <a:cs typeface="+mn-cs"/>
              </a:defRPr>
            </a:pPr>
            <a:endParaRPr lang="en-US"/>
          </a:p>
        </c:txPr>
        <c:crossAx val="1019822176"/>
        <c:crosses val="autoZero"/>
        <c:auto val="1"/>
        <c:lblAlgn val="ctr"/>
        <c:lblOffset val="100"/>
        <c:noMultiLvlLbl val="0"/>
      </c:catAx>
      <c:valAx>
        <c:axId val="1019822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7000"/>
                    </a:schemeClr>
                  </a:solidFill>
                </a:ln>
                <a:solidFill>
                  <a:schemeClr val="tx1">
                    <a:lumMod val="65000"/>
                    <a:lumOff val="35000"/>
                  </a:schemeClr>
                </a:solidFill>
                <a:latin typeface="+mn-lt"/>
                <a:ea typeface="+mn-ea"/>
                <a:cs typeface="+mn-cs"/>
              </a:defRPr>
            </a:pPr>
            <a:endParaRPr lang="en-US"/>
          </a:p>
        </c:txPr>
        <c:crossAx val="1019830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baseline="0">
                <a:ln>
                  <a:solidFill>
                    <a:schemeClr val="tx1">
                      <a:alpha val="67000"/>
                    </a:schemeClr>
                  </a:solidFill>
                </a:ln>
                <a:solidFill>
                  <a:sysClr val="windowText" lastClr="000000">
                    <a:lumMod val="65000"/>
                    <a:lumOff val="35000"/>
                  </a:sysClr>
                </a:solidFill>
              </a:rPr>
              <a:t>Impact Of Covid -19 on cpi inflation </a:t>
            </a:r>
          </a:p>
          <a:p>
            <a:pPr>
              <a:defRPr/>
            </a:pPr>
            <a:r>
              <a:rPr lang="en-IN" sz="1400" b="1" i="0" u="none" strike="noStrike" kern="1200" baseline="0">
                <a:ln>
                  <a:solidFill>
                    <a:schemeClr val="tx1">
                      <a:alpha val="67000"/>
                    </a:schemeClr>
                  </a:solidFill>
                </a:ln>
                <a:solidFill>
                  <a:sysClr val="windowText" lastClr="000000">
                    <a:lumMod val="65000"/>
                    <a:lumOff val="35000"/>
                  </a:sysClr>
                </a:solidFill>
              </a:rPr>
              <a:t>(Pre VS Post covid) For Urban </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'solution 4 '!$L$49</c:f>
              <c:strCache>
                <c:ptCount val="1"/>
                <c:pt idx="0">
                  <c:v>Inflation Food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2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'!$I$50:$K$54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'!$L$50:$L$54</c:f>
              <c:numCache>
                <c:formatCode>0.0%</c:formatCode>
                <c:ptCount val="5"/>
                <c:pt idx="0">
                  <c:v>2.7282266526755458E-3</c:v>
                </c:pt>
                <c:pt idx="1">
                  <c:v>0.11424829753797781</c:v>
                </c:pt>
                <c:pt idx="2">
                  <c:v>9.4225498535110155E-2</c:v>
                </c:pt>
                <c:pt idx="3">
                  <c:v>4.9938832576022447E-2</c:v>
                </c:pt>
                <c:pt idx="4">
                  <c:v>4.7752926859972192E-2</c:v>
                </c:pt>
              </c:numCache>
            </c:numRef>
          </c:val>
          <c:extLst>
            <c:ext xmlns:c16="http://schemas.microsoft.com/office/drawing/2014/chart" uri="{C3380CC4-5D6E-409C-BE32-E72D297353CC}">
              <c16:uniqueId val="{00000000-8D8A-4CD5-8002-EFBD6D71732C}"/>
            </c:ext>
          </c:extLst>
        </c:ser>
        <c:ser>
          <c:idx val="1"/>
          <c:order val="1"/>
          <c:tx>
            <c:strRef>
              <c:f>'solution 4 '!$M$49</c:f>
              <c:strCache>
                <c:ptCount val="1"/>
                <c:pt idx="0">
                  <c:v>Inflation Health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4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'!$I$50:$K$54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'!$M$50:$M$54</c:f>
              <c:numCache>
                <c:formatCode>0.0%</c:formatCode>
                <c:ptCount val="5"/>
                <c:pt idx="0">
                  <c:v>6.4341085271317919E-2</c:v>
                </c:pt>
                <c:pt idx="1">
                  <c:v>3.9187227866472982E-2</c:v>
                </c:pt>
                <c:pt idx="2">
                  <c:v>6.3282336578581316E-2</c:v>
                </c:pt>
                <c:pt idx="3">
                  <c:v>7.1382219338092148E-2</c:v>
                </c:pt>
                <c:pt idx="4">
                  <c:v>6.6827212522576729E-2</c:v>
                </c:pt>
              </c:numCache>
            </c:numRef>
          </c:val>
          <c:extLst>
            <c:ext xmlns:c16="http://schemas.microsoft.com/office/drawing/2014/chart" uri="{C3380CC4-5D6E-409C-BE32-E72D297353CC}">
              <c16:uniqueId val="{00000001-8D8A-4CD5-8002-EFBD6D71732C}"/>
            </c:ext>
          </c:extLst>
        </c:ser>
        <c:ser>
          <c:idx val="2"/>
          <c:order val="2"/>
          <c:tx>
            <c:strRef>
              <c:f>'solution 4 '!$N$49</c:f>
              <c:strCache>
                <c:ptCount val="1"/>
                <c:pt idx="0">
                  <c:v>Inflation Essential</c:v>
                </c:pt>
              </c:strCache>
            </c:strRef>
          </c:tx>
          <c:spPr>
            <a:solidFill>
              <a:schemeClr val="accent3"/>
            </a:solidFill>
            <a:ln>
              <a:noFill/>
            </a:ln>
            <a:effectLst/>
          </c:spPr>
          <c:invertIfNegative val="0"/>
          <c:dLbls>
            <c:dLbl>
              <c:idx val="1"/>
              <c:layout>
                <c:manualLayout>
                  <c:x val="5.5555555555555046E-3"/>
                  <c:y val="-3.24074074074074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D8A-4CD5-8002-EFBD6D71732C}"/>
                </c:ext>
              </c:extLst>
            </c:dLbl>
            <c:dLbl>
              <c:idx val="2"/>
              <c:layout>
                <c:manualLayout>
                  <c:x val="1.6666666666666566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8A-4CD5-8002-EFBD6D71732C}"/>
                </c:ext>
              </c:extLst>
            </c:dLbl>
            <c:dLbl>
              <c:idx val="4"/>
              <c:layout>
                <c:manualLayout>
                  <c:x val="1.388888888888899E-2"/>
                  <c:y val="-2.77777777777778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8A-4CD5-8002-EFBD6D7173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3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'!$I$50:$K$54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'!$N$50:$N$54</c:f>
              <c:numCache>
                <c:formatCode>0.0%</c:formatCode>
                <c:ptCount val="5"/>
                <c:pt idx="0">
                  <c:v>5.0719005052467979E-2</c:v>
                </c:pt>
                <c:pt idx="1">
                  <c:v>4.5387453874538575E-2</c:v>
                </c:pt>
                <c:pt idx="2">
                  <c:v>6.3531063531063622E-2</c:v>
                </c:pt>
                <c:pt idx="3">
                  <c:v>5.2076466710613278E-2</c:v>
                </c:pt>
                <c:pt idx="4">
                  <c:v>6.6011235955056285E-2</c:v>
                </c:pt>
              </c:numCache>
            </c:numRef>
          </c:val>
          <c:extLst>
            <c:ext xmlns:c16="http://schemas.microsoft.com/office/drawing/2014/chart" uri="{C3380CC4-5D6E-409C-BE32-E72D297353CC}">
              <c16:uniqueId val="{00000002-8D8A-4CD5-8002-EFBD6D71732C}"/>
            </c:ext>
          </c:extLst>
        </c:ser>
        <c:dLbls>
          <c:dLblPos val="outEnd"/>
          <c:showLegendKey val="0"/>
          <c:showVal val="1"/>
          <c:showCatName val="0"/>
          <c:showSerName val="0"/>
          <c:showPercent val="0"/>
          <c:showBubbleSize val="0"/>
        </c:dLbls>
        <c:gapWidth val="219"/>
        <c:overlap val="-27"/>
        <c:axId val="852658352"/>
        <c:axId val="852650192"/>
      </c:barChart>
      <c:catAx>
        <c:axId val="85265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6000"/>
                    </a:schemeClr>
                  </a:solidFill>
                </a:ln>
                <a:solidFill>
                  <a:schemeClr val="tx1">
                    <a:lumMod val="65000"/>
                    <a:lumOff val="35000"/>
                  </a:schemeClr>
                </a:solidFill>
                <a:latin typeface="+mn-lt"/>
                <a:ea typeface="+mn-ea"/>
                <a:cs typeface="+mn-cs"/>
              </a:defRPr>
            </a:pPr>
            <a:endParaRPr lang="en-US"/>
          </a:p>
        </c:txPr>
        <c:crossAx val="852650192"/>
        <c:crosses val="autoZero"/>
        <c:auto val="1"/>
        <c:lblAlgn val="ctr"/>
        <c:lblOffset val="100"/>
        <c:noMultiLvlLbl val="0"/>
      </c:catAx>
      <c:valAx>
        <c:axId val="852650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7000"/>
                    </a:schemeClr>
                  </a:solidFill>
                </a:ln>
                <a:solidFill>
                  <a:schemeClr val="tx1">
                    <a:lumMod val="65000"/>
                    <a:lumOff val="35000"/>
                  </a:schemeClr>
                </a:solidFill>
                <a:latin typeface="+mn-lt"/>
                <a:ea typeface="+mn-ea"/>
                <a:cs typeface="+mn-cs"/>
              </a:defRPr>
            </a:pPr>
            <a:endParaRPr lang="en-US"/>
          </a:p>
        </c:txPr>
        <c:crossAx val="852658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ln>
                  <a:solidFill>
                    <a:schemeClr val="tx1">
                      <a:alpha val="67000"/>
                    </a:schemeClr>
                  </a:solidFill>
                </a:ln>
                <a:solidFill>
                  <a:sysClr val="windowText" lastClr="000000">
                    <a:lumMod val="65000"/>
                    <a:lumOff val="35000"/>
                  </a:sysClr>
                </a:solidFill>
              </a:rPr>
              <a:t>Impact Of Covid -19 on cpi inflation </a:t>
            </a:r>
          </a:p>
          <a:p>
            <a:pPr>
              <a:defRPr/>
            </a:pPr>
            <a:r>
              <a:rPr lang="en-IN" sz="1400" b="1" i="0" u="none" strike="noStrike" kern="1200" spc="0" baseline="0">
                <a:ln>
                  <a:solidFill>
                    <a:schemeClr val="tx1">
                      <a:alpha val="67000"/>
                    </a:schemeClr>
                  </a:solidFill>
                </a:ln>
                <a:solidFill>
                  <a:sysClr val="windowText" lastClr="000000">
                    <a:lumMod val="65000"/>
                    <a:lumOff val="35000"/>
                  </a:sysClr>
                </a:solidFill>
              </a:rPr>
              <a:t>(Pre VS Post covid) For R+U</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'solution 4 '!$S$49</c:f>
              <c:strCache>
                <c:ptCount val="1"/>
                <c:pt idx="0">
                  <c:v>Inflation Food</c:v>
                </c:pt>
              </c:strCache>
            </c:strRef>
          </c:tx>
          <c:spPr>
            <a:solidFill>
              <a:schemeClr val="accent1"/>
            </a:solidFill>
            <a:ln>
              <a:noFill/>
            </a:ln>
            <a:effectLst/>
          </c:spPr>
          <c:invertIfNegative val="0"/>
          <c:dLbls>
            <c:dLbl>
              <c:idx val="0"/>
              <c:layout>
                <c:manualLayout>
                  <c:x val="-2.7777777777777776E-2"/>
                  <c:y val="1.38896179644211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9A8-41F7-A420-4750BABD772C}"/>
                </c:ext>
              </c:extLst>
            </c:dLbl>
            <c:dLbl>
              <c:idx val="4"/>
              <c:layout>
                <c:manualLayout>
                  <c:x val="-1.666666666666676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A8-41F7-A420-4750BABD77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'!$P$50:$R$54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'!$S$50:$S$54</c:f>
              <c:numCache>
                <c:formatCode>0.0%</c:formatCode>
                <c:ptCount val="5"/>
                <c:pt idx="0">
                  <c:v>-4.5487439263932642E-3</c:v>
                </c:pt>
                <c:pt idx="1">
                  <c:v>0.10330794114577922</c:v>
                </c:pt>
                <c:pt idx="2">
                  <c:v>8.7646947288585561E-2</c:v>
                </c:pt>
                <c:pt idx="3">
                  <c:v>4.8740609809986825E-2</c:v>
                </c:pt>
                <c:pt idx="4">
                  <c:v>5.2749957562383577E-2</c:v>
                </c:pt>
              </c:numCache>
            </c:numRef>
          </c:val>
          <c:extLst>
            <c:ext xmlns:c16="http://schemas.microsoft.com/office/drawing/2014/chart" uri="{C3380CC4-5D6E-409C-BE32-E72D297353CC}">
              <c16:uniqueId val="{00000000-C9A8-41F7-A420-4750BABD772C}"/>
            </c:ext>
          </c:extLst>
        </c:ser>
        <c:ser>
          <c:idx val="1"/>
          <c:order val="1"/>
          <c:tx>
            <c:strRef>
              <c:f>'solution 4 '!$T$49</c:f>
              <c:strCache>
                <c:ptCount val="1"/>
                <c:pt idx="0">
                  <c:v>Inflation Health</c:v>
                </c:pt>
              </c:strCache>
            </c:strRef>
          </c:tx>
          <c:spPr>
            <a:solidFill>
              <a:schemeClr val="accent2"/>
            </a:solidFill>
            <a:ln>
              <a:noFill/>
            </a:ln>
            <a:effectLst/>
          </c:spPr>
          <c:invertIfNegative val="0"/>
          <c:dLbls>
            <c:dLbl>
              <c:idx val="4"/>
              <c:layout>
                <c:manualLayout>
                  <c:x val="-1.0185067526415994E-16"/>
                  <c:y val="-6.01851851851851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A8-41F7-A420-4750BABD77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6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'!$P$50:$R$54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'!$T$50:$T$54</c:f>
              <c:numCache>
                <c:formatCode>0.0%</c:formatCode>
                <c:ptCount val="5"/>
                <c:pt idx="0">
                  <c:v>8.7021755438859663E-2</c:v>
                </c:pt>
                <c:pt idx="1">
                  <c:v>3.6526533425224064E-2</c:v>
                </c:pt>
                <c:pt idx="2">
                  <c:v>4.6957671957672115E-2</c:v>
                </c:pt>
                <c:pt idx="3">
                  <c:v>7.0935342121782693E-2</c:v>
                </c:pt>
                <c:pt idx="4">
                  <c:v>5.6592765460910084E-2</c:v>
                </c:pt>
              </c:numCache>
            </c:numRef>
          </c:val>
          <c:extLst>
            <c:ext xmlns:c16="http://schemas.microsoft.com/office/drawing/2014/chart" uri="{C3380CC4-5D6E-409C-BE32-E72D297353CC}">
              <c16:uniqueId val="{00000001-C9A8-41F7-A420-4750BABD772C}"/>
            </c:ext>
          </c:extLst>
        </c:ser>
        <c:ser>
          <c:idx val="2"/>
          <c:order val="2"/>
          <c:tx>
            <c:strRef>
              <c:f>'solution 4 '!$U$49</c:f>
              <c:strCache>
                <c:ptCount val="1"/>
                <c:pt idx="0">
                  <c:v>Inflation Essential</c:v>
                </c:pt>
              </c:strCache>
            </c:strRef>
          </c:tx>
          <c:spPr>
            <a:solidFill>
              <a:schemeClr val="accent3"/>
            </a:solidFill>
            <a:ln>
              <a:noFill/>
            </a:ln>
            <a:effectLst/>
          </c:spPr>
          <c:invertIfNegative val="0"/>
          <c:dLbls>
            <c:dLbl>
              <c:idx val="1"/>
              <c:layout>
                <c:manualLayout>
                  <c:x val="-5.0925337632079971E-17"/>
                  <c:y val="-3.2407407407407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9A8-41F7-A420-4750BABD772C}"/>
                </c:ext>
              </c:extLst>
            </c:dLbl>
            <c:dLbl>
              <c:idx val="2"/>
              <c:layout>
                <c:manualLayout>
                  <c:x val="0"/>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9A8-41F7-A420-4750BABD772C}"/>
                </c:ext>
              </c:extLst>
            </c:dLbl>
            <c:dLbl>
              <c:idx val="3"/>
              <c:layout>
                <c:manualLayout>
                  <c:x val="8.3333333333334356E-3"/>
                  <c:y val="-4.62962962962971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A8-41F7-A420-4750BABD772C}"/>
                </c:ext>
              </c:extLst>
            </c:dLbl>
            <c:dLbl>
              <c:idx val="4"/>
              <c:layout>
                <c:manualLayout>
                  <c:x val="1.6666666666666666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A8-41F7-A420-4750BABD77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 '!$P$50:$R$54</c:f>
              <c:multiLvlStrCache>
                <c:ptCount val="5"/>
                <c:lvl>
                  <c:pt idx="0">
                    <c:v>2018</c:v>
                  </c:pt>
                  <c:pt idx="1">
                    <c:v>2019</c:v>
                  </c:pt>
                  <c:pt idx="2">
                    <c:v>2020</c:v>
                  </c:pt>
                  <c:pt idx="3">
                    <c:v>2021</c:v>
                  </c:pt>
                  <c:pt idx="4">
                    <c:v>2022</c:v>
                  </c:pt>
                </c:lvl>
                <c:lvl>
                  <c:pt idx="0">
                    <c:v>Pre Covid </c:v>
                  </c:pt>
                  <c:pt idx="2">
                    <c:v>covid </c:v>
                  </c:pt>
                  <c:pt idx="3">
                    <c:v>Post covid </c:v>
                  </c:pt>
                </c:lvl>
              </c:multiLvlStrCache>
            </c:multiLvlStrRef>
          </c:cat>
          <c:val>
            <c:numRef>
              <c:f>'solution 4 '!$U$50:$U$54</c:f>
              <c:numCache>
                <c:formatCode>0.0%</c:formatCode>
                <c:ptCount val="5"/>
                <c:pt idx="0">
                  <c:v>5.8655494191582912E-2</c:v>
                </c:pt>
                <c:pt idx="1">
                  <c:v>4.3657923104563338E-2</c:v>
                </c:pt>
                <c:pt idx="2">
                  <c:v>5.4054054054053689E-2</c:v>
                </c:pt>
                <c:pt idx="3">
                  <c:v>5.1983805668016234E-2</c:v>
                </c:pt>
                <c:pt idx="4">
                  <c:v>6.0159607120933163E-2</c:v>
                </c:pt>
              </c:numCache>
            </c:numRef>
          </c:val>
          <c:extLst>
            <c:ext xmlns:c16="http://schemas.microsoft.com/office/drawing/2014/chart" uri="{C3380CC4-5D6E-409C-BE32-E72D297353CC}">
              <c16:uniqueId val="{00000002-C9A8-41F7-A420-4750BABD772C}"/>
            </c:ext>
          </c:extLst>
        </c:ser>
        <c:dLbls>
          <c:dLblPos val="outEnd"/>
          <c:showLegendKey val="0"/>
          <c:showVal val="1"/>
          <c:showCatName val="0"/>
          <c:showSerName val="0"/>
          <c:showPercent val="0"/>
          <c:showBubbleSize val="0"/>
        </c:dLbls>
        <c:gapWidth val="219"/>
        <c:overlap val="-27"/>
        <c:axId val="1110887584"/>
        <c:axId val="1110888064"/>
      </c:barChart>
      <c:catAx>
        <c:axId val="111088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6000"/>
                    </a:schemeClr>
                  </a:solidFill>
                </a:ln>
                <a:solidFill>
                  <a:schemeClr val="tx1">
                    <a:lumMod val="65000"/>
                    <a:lumOff val="35000"/>
                  </a:schemeClr>
                </a:solidFill>
                <a:latin typeface="+mn-lt"/>
                <a:ea typeface="+mn-ea"/>
                <a:cs typeface="+mn-cs"/>
              </a:defRPr>
            </a:pPr>
            <a:endParaRPr lang="en-US"/>
          </a:p>
        </c:txPr>
        <c:crossAx val="1110888064"/>
        <c:crosses val="autoZero"/>
        <c:auto val="1"/>
        <c:lblAlgn val="ctr"/>
        <c:lblOffset val="100"/>
        <c:noMultiLvlLbl val="0"/>
      </c:catAx>
      <c:valAx>
        <c:axId val="1110888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5000"/>
                    </a:schemeClr>
                  </a:solidFill>
                </a:ln>
                <a:solidFill>
                  <a:schemeClr val="tx1">
                    <a:lumMod val="65000"/>
                    <a:lumOff val="35000"/>
                  </a:schemeClr>
                </a:solidFill>
                <a:latin typeface="+mn-lt"/>
                <a:ea typeface="+mn-ea"/>
                <a:cs typeface="+mn-cs"/>
              </a:defRPr>
            </a:pPr>
            <a:endParaRPr lang="en-US"/>
          </a:p>
        </c:txPr>
        <c:crossAx val="111088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6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tx1">
                      <a:alpha val="67000"/>
                    </a:schemeClr>
                  </a:solidFill>
                </a:ln>
                <a:solidFill>
                  <a:schemeClr val="tx1">
                    <a:lumMod val="65000"/>
                    <a:lumOff val="35000"/>
                  </a:schemeClr>
                </a:solidFill>
                <a:latin typeface="+mn-lt"/>
                <a:ea typeface="+mn-ea"/>
                <a:cs typeface="+mn-cs"/>
              </a:defRPr>
            </a:pPr>
            <a:r>
              <a:rPr lang="en-IN">
                <a:ln>
                  <a:solidFill>
                    <a:schemeClr val="tx1">
                      <a:alpha val="67000"/>
                    </a:schemeClr>
                  </a:solidFill>
                </a:ln>
              </a:rPr>
              <a:t>Correlection</a:t>
            </a:r>
            <a:r>
              <a:rPr lang="en-IN" baseline="0">
                <a:ln>
                  <a:solidFill>
                    <a:schemeClr val="tx1">
                      <a:alpha val="67000"/>
                    </a:schemeClr>
                  </a:solidFill>
                </a:ln>
              </a:rPr>
              <a:t> With Crude Oil </a:t>
            </a:r>
            <a:endParaRPr lang="en-IN">
              <a:ln>
                <a:solidFill>
                  <a:schemeClr val="tx1">
                    <a:alpha val="67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67000"/>
                  </a:schemeClr>
                </a:solidFill>
              </a:ln>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Pt>
            <c:idx val="2"/>
            <c:invertIfNegative val="0"/>
            <c:bubble3D val="0"/>
            <c:spPr>
              <a:solidFill>
                <a:srgbClr val="00B050"/>
              </a:solidFill>
              <a:ln>
                <a:noFill/>
              </a:ln>
              <a:effectLst/>
            </c:spPr>
            <c:extLst>
              <c:ext xmlns:c16="http://schemas.microsoft.com/office/drawing/2014/chart" uri="{C3380CC4-5D6E-409C-BE32-E72D297353CC}">
                <c16:uniqueId val="{00000004-D2BF-4697-8743-9E4865D00633}"/>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1-8F51-4932-9725-AC5F841F49F2}"/>
              </c:ext>
            </c:extLst>
          </c:dPt>
          <c:dPt>
            <c:idx val="7"/>
            <c:invertIfNegative val="0"/>
            <c:bubble3D val="0"/>
            <c:spPr>
              <a:solidFill>
                <a:schemeClr val="accent5"/>
              </a:solidFill>
              <a:ln>
                <a:noFill/>
              </a:ln>
              <a:effectLst/>
            </c:spPr>
            <c:extLst>
              <c:ext xmlns:c16="http://schemas.microsoft.com/office/drawing/2014/chart" uri="{C3380CC4-5D6E-409C-BE32-E72D297353CC}">
                <c16:uniqueId val="{00000002-8F51-4932-9725-AC5F841F49F2}"/>
              </c:ext>
            </c:extLst>
          </c:dPt>
          <c:dPt>
            <c:idx val="15"/>
            <c:invertIfNegative val="0"/>
            <c:bubble3D val="0"/>
            <c:spPr>
              <a:solidFill>
                <a:srgbClr val="C00000"/>
              </a:solidFill>
              <a:ln>
                <a:noFill/>
              </a:ln>
              <a:effectLst/>
            </c:spPr>
            <c:extLst>
              <c:ext xmlns:c16="http://schemas.microsoft.com/office/drawing/2014/chart" uri="{C3380CC4-5D6E-409C-BE32-E72D297353CC}">
                <c16:uniqueId val="{00000005-D2BF-4697-8743-9E4865D00633}"/>
              </c:ext>
            </c:extLst>
          </c:dPt>
          <c:dPt>
            <c:idx val="18"/>
            <c:invertIfNegative val="0"/>
            <c:bubble3D val="0"/>
            <c:spPr>
              <a:solidFill>
                <a:srgbClr val="C00000"/>
              </a:solidFill>
              <a:ln>
                <a:noFill/>
              </a:ln>
              <a:effectLst/>
            </c:spPr>
            <c:extLst>
              <c:ext xmlns:c16="http://schemas.microsoft.com/office/drawing/2014/chart" uri="{C3380CC4-5D6E-409C-BE32-E72D297353CC}">
                <c16:uniqueId val="{00000007-D2BF-4697-8743-9E4865D00633}"/>
              </c:ext>
            </c:extLst>
          </c:dPt>
          <c:dPt>
            <c:idx val="21"/>
            <c:invertIfNegative val="0"/>
            <c:bubble3D val="0"/>
            <c:spPr>
              <a:solidFill>
                <a:srgbClr val="C00000"/>
              </a:solidFill>
              <a:ln>
                <a:noFill/>
              </a:ln>
              <a:effectLst/>
            </c:spPr>
            <c:extLst>
              <c:ext xmlns:c16="http://schemas.microsoft.com/office/drawing/2014/chart" uri="{C3380CC4-5D6E-409C-BE32-E72D297353CC}">
                <c16:uniqueId val="{00000006-D2BF-4697-8743-9E4865D006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68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5 '!$D$98:$D$123</c:f>
              <c:strCache>
                <c:ptCount val="26"/>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strCache>
            </c:strRef>
          </c:cat>
          <c:val>
            <c:numRef>
              <c:f>'solution 5 '!$E$98:$E$123</c:f>
              <c:numCache>
                <c:formatCode>0.00</c:formatCode>
                <c:ptCount val="26"/>
                <c:pt idx="0">
                  <c:v>0.34629904940413564</c:v>
                </c:pt>
                <c:pt idx="1">
                  <c:v>0.4436629926624453</c:v>
                </c:pt>
                <c:pt idx="2">
                  <c:v>-0.17764306806360058</c:v>
                </c:pt>
                <c:pt idx="3">
                  <c:v>0.3944380989800455</c:v>
                </c:pt>
                <c:pt idx="4">
                  <c:v>0.34788423178769573</c:v>
                </c:pt>
                <c:pt idx="5">
                  <c:v>0.3537118985020174</c:v>
                </c:pt>
                <c:pt idx="6">
                  <c:v>0.25696274242831996</c:v>
                </c:pt>
                <c:pt idx="7">
                  <c:v>8.6277005373423088E-2</c:v>
                </c:pt>
                <c:pt idx="8">
                  <c:v>0.28584207138706269</c:v>
                </c:pt>
                <c:pt idx="9">
                  <c:v>0.40416177545512005</c:v>
                </c:pt>
                <c:pt idx="10">
                  <c:v>0.40638064923046785</c:v>
                </c:pt>
                <c:pt idx="11">
                  <c:v>0.44927047059489755</c:v>
                </c:pt>
                <c:pt idx="12">
                  <c:v>0.48687951717359945</c:v>
                </c:pt>
                <c:pt idx="13">
                  <c:v>0.28864452009195413</c:v>
                </c:pt>
                <c:pt idx="14">
                  <c:v>0.4710113548931234</c:v>
                </c:pt>
                <c:pt idx="15">
                  <c:v>0.50131874139574772</c:v>
                </c:pt>
                <c:pt idx="16">
                  <c:v>0.47614847826980888</c:v>
                </c:pt>
                <c:pt idx="17">
                  <c:v>0.41047736852435679</c:v>
                </c:pt>
                <c:pt idx="18">
                  <c:v>0.50500922925704073</c:v>
                </c:pt>
                <c:pt idx="19">
                  <c:v>0.45100201171286158</c:v>
                </c:pt>
                <c:pt idx="20">
                  <c:v>0.39578036651701398</c:v>
                </c:pt>
                <c:pt idx="21">
                  <c:v>0.50054044917424212</c:v>
                </c:pt>
                <c:pt idx="22">
                  <c:v>0.49225735515271235</c:v>
                </c:pt>
                <c:pt idx="23">
                  <c:v>0.43076844378330603</c:v>
                </c:pt>
                <c:pt idx="24">
                  <c:v>0.39181972085386041</c:v>
                </c:pt>
                <c:pt idx="25">
                  <c:v>0.45351390829784477</c:v>
                </c:pt>
              </c:numCache>
            </c:numRef>
          </c:val>
          <c:extLst>
            <c:ext xmlns:c16="http://schemas.microsoft.com/office/drawing/2014/chart" uri="{C3380CC4-5D6E-409C-BE32-E72D297353CC}">
              <c16:uniqueId val="{00000000-8F51-4932-9725-AC5F841F49F2}"/>
            </c:ext>
          </c:extLst>
        </c:ser>
        <c:dLbls>
          <c:dLblPos val="outEnd"/>
          <c:showLegendKey val="0"/>
          <c:showVal val="1"/>
          <c:showCatName val="0"/>
          <c:showSerName val="0"/>
          <c:showPercent val="0"/>
          <c:showBubbleSize val="0"/>
        </c:dLbls>
        <c:gapWidth val="219"/>
        <c:overlap val="-27"/>
        <c:axId val="796588496"/>
        <c:axId val="796581296"/>
      </c:barChart>
      <c:catAx>
        <c:axId val="79658849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796581296"/>
        <c:crosses val="autoZero"/>
        <c:auto val="1"/>
        <c:lblAlgn val="ctr"/>
        <c:lblOffset val="100"/>
        <c:noMultiLvlLbl val="0"/>
      </c:catAx>
      <c:valAx>
        <c:axId val="796581296"/>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9000"/>
                    </a:schemeClr>
                  </a:solidFill>
                </a:ln>
                <a:solidFill>
                  <a:schemeClr val="tx1">
                    <a:lumMod val="65000"/>
                    <a:lumOff val="35000"/>
                  </a:schemeClr>
                </a:solidFill>
                <a:latin typeface="+mn-lt"/>
                <a:ea typeface="+mn-ea"/>
                <a:cs typeface="+mn-cs"/>
              </a:defRPr>
            </a:pPr>
            <a:endParaRPr lang="en-US"/>
          </a:p>
        </c:txPr>
        <c:crossAx val="79658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3.xml"/><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0</xdr:col>
      <xdr:colOff>290688</xdr:colOff>
      <xdr:row>11</xdr:row>
      <xdr:rowOff>0</xdr:rowOff>
    </xdr:from>
    <xdr:to>
      <xdr:col>9</xdr:col>
      <xdr:colOff>546340</xdr:colOff>
      <xdr:row>36</xdr:row>
      <xdr:rowOff>0</xdr:rowOff>
    </xdr:to>
    <xdr:graphicFrame macro="">
      <xdr:nvGraphicFramePr>
        <xdr:cNvPr id="7" name="Chart 6">
          <a:extLst>
            <a:ext uri="{FF2B5EF4-FFF2-40B4-BE49-F238E27FC236}">
              <a16:creationId xmlns:a16="http://schemas.microsoft.com/office/drawing/2014/main" id="{AA61AEB8-D1E9-4D0F-909A-0C27DBC10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439248</xdr:colOff>
      <xdr:row>11</xdr:row>
      <xdr:rowOff>6430</xdr:rowOff>
    </xdr:from>
    <xdr:to>
      <xdr:col>30</xdr:col>
      <xdr:colOff>361463</xdr:colOff>
      <xdr:row>36</xdr:row>
      <xdr:rowOff>2874</xdr:rowOff>
    </xdr:to>
    <xdr:graphicFrame macro="">
      <xdr:nvGraphicFramePr>
        <xdr:cNvPr id="16" name="Chart 15">
          <a:extLst>
            <a:ext uri="{FF2B5EF4-FFF2-40B4-BE49-F238E27FC236}">
              <a16:creationId xmlns:a16="http://schemas.microsoft.com/office/drawing/2014/main" id="{417675FB-D61B-4B0C-956F-F0BA1D88C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42</xdr:row>
      <xdr:rowOff>64452</xdr:rowOff>
    </xdr:from>
    <xdr:to>
      <xdr:col>11</xdr:col>
      <xdr:colOff>425824</xdr:colOff>
      <xdr:row>67</xdr:row>
      <xdr:rowOff>112058</xdr:rowOff>
    </xdr:to>
    <xdr:graphicFrame macro="">
      <xdr:nvGraphicFramePr>
        <xdr:cNvPr id="18" name="Chart 17">
          <a:extLst>
            <a:ext uri="{FF2B5EF4-FFF2-40B4-BE49-F238E27FC236}">
              <a16:creationId xmlns:a16="http://schemas.microsoft.com/office/drawing/2014/main" id="{0AD12511-F2F8-441A-91EB-EA0281D44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536964</xdr:colOff>
      <xdr:row>43</xdr:row>
      <xdr:rowOff>120440</xdr:rowOff>
    </xdr:from>
    <xdr:to>
      <xdr:col>13</xdr:col>
      <xdr:colOff>514729</xdr:colOff>
      <xdr:row>49</xdr:row>
      <xdr:rowOff>160675</xdr:rowOff>
    </xdr:to>
    <xdr:sp macro="" textlink="">
      <xdr:nvSpPr>
        <xdr:cNvPr id="21" name="Rectangle 20">
          <a:extLst>
            <a:ext uri="{FF2B5EF4-FFF2-40B4-BE49-F238E27FC236}">
              <a16:creationId xmlns:a16="http://schemas.microsoft.com/office/drawing/2014/main" id="{26749C02-63F7-D639-6EF7-29DFA458C7B6}"/>
            </a:ext>
          </a:extLst>
        </xdr:cNvPr>
        <xdr:cNvSpPr/>
      </xdr:nvSpPr>
      <xdr:spPr>
        <a:xfrm>
          <a:off x="7193258" y="7830087"/>
          <a:ext cx="1188000" cy="1116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effectLst/>
              <a:latin typeface="+mn-lt"/>
              <a:ea typeface="+mn-ea"/>
              <a:cs typeface="+mn-cs"/>
            </a:rPr>
            <a:t>Highest</a:t>
          </a:r>
          <a:r>
            <a:rPr lang="en-IN" sz="1600" b="1" baseline="0">
              <a:solidFill>
                <a:schemeClr val="tx1"/>
              </a:solidFill>
              <a:effectLst/>
              <a:latin typeface="+mn-lt"/>
              <a:ea typeface="+mn-ea"/>
              <a:cs typeface="+mn-cs"/>
            </a:rPr>
            <a:t> Infaltion </a:t>
          </a:r>
          <a:endParaRPr lang="en-IN" sz="1600">
            <a:solidFill>
              <a:schemeClr val="tx1"/>
            </a:solidFill>
            <a:effectLst/>
          </a:endParaRPr>
        </a:p>
        <a:p>
          <a:pPr algn="ctr"/>
          <a:r>
            <a:rPr lang="en-IN" sz="1600" b="1" baseline="0">
              <a:solidFill>
                <a:schemeClr val="tx1"/>
              </a:solidFill>
              <a:effectLst/>
              <a:latin typeface="+mn-lt"/>
              <a:ea typeface="+mn-ea"/>
              <a:cs typeface="+mn-cs"/>
            </a:rPr>
            <a:t>    6.6% (2022)</a:t>
          </a:r>
          <a:endParaRPr lang="en-IN" sz="1600">
            <a:solidFill>
              <a:schemeClr val="tx1"/>
            </a:solidFill>
            <a:effectLst/>
          </a:endParaRPr>
        </a:p>
        <a:p>
          <a:pPr algn="l"/>
          <a:endParaRPr lang="en-IN" sz="1100">
            <a:solidFill>
              <a:schemeClr val="tx1"/>
            </a:solidFill>
          </a:endParaRPr>
        </a:p>
      </xdr:txBody>
    </xdr:sp>
    <xdr:clientData/>
  </xdr:twoCellAnchor>
  <xdr:twoCellAnchor>
    <xdr:from>
      <xdr:col>11</xdr:col>
      <xdr:colOff>564241</xdr:colOff>
      <xdr:row>50</xdr:row>
      <xdr:rowOff>168616</xdr:rowOff>
    </xdr:from>
    <xdr:to>
      <xdr:col>13</xdr:col>
      <xdr:colOff>533763</xdr:colOff>
      <xdr:row>56</xdr:row>
      <xdr:rowOff>172851</xdr:rowOff>
    </xdr:to>
    <xdr:sp macro="" textlink="">
      <xdr:nvSpPr>
        <xdr:cNvPr id="22" name="Rectangle 21">
          <a:extLst>
            <a:ext uri="{FF2B5EF4-FFF2-40B4-BE49-F238E27FC236}">
              <a16:creationId xmlns:a16="http://schemas.microsoft.com/office/drawing/2014/main" id="{27966CEA-9D73-9B58-4C21-214468256A3A}"/>
            </a:ext>
          </a:extLst>
        </xdr:cNvPr>
        <xdr:cNvSpPr/>
      </xdr:nvSpPr>
      <xdr:spPr>
        <a:xfrm>
          <a:off x="7220535" y="9133322"/>
          <a:ext cx="1179757" cy="1080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Average</a:t>
          </a:r>
          <a:r>
            <a:rPr lang="en-IN" sz="1600" b="1" baseline="0">
              <a:solidFill>
                <a:schemeClr val="tx1"/>
              </a:solidFill>
              <a:effectLst/>
              <a:latin typeface="+mn-lt"/>
              <a:ea typeface="+mn-ea"/>
              <a:cs typeface="+mn-cs"/>
            </a:rPr>
            <a:t> Infaltion          4.7%</a:t>
          </a:r>
          <a:endParaRPr lang="en-IN" sz="1600">
            <a:solidFill>
              <a:schemeClr val="tx1"/>
            </a:solidFill>
            <a:effectLst/>
          </a:endParaRPr>
        </a:p>
        <a:p>
          <a:pPr algn="l"/>
          <a:endParaRPr lang="en-IN" sz="1100">
            <a:solidFill>
              <a:schemeClr val="tx1"/>
            </a:solidFill>
          </a:endParaRPr>
        </a:p>
      </xdr:txBody>
    </xdr:sp>
    <xdr:clientData/>
  </xdr:twoCellAnchor>
  <xdr:twoCellAnchor>
    <xdr:from>
      <xdr:col>11</xdr:col>
      <xdr:colOff>534211</xdr:colOff>
      <xdr:row>58</xdr:row>
      <xdr:rowOff>93653</xdr:rowOff>
    </xdr:from>
    <xdr:to>
      <xdr:col>13</xdr:col>
      <xdr:colOff>583976</xdr:colOff>
      <xdr:row>64</xdr:row>
      <xdr:rowOff>133888</xdr:rowOff>
    </xdr:to>
    <xdr:sp macro="" textlink="">
      <xdr:nvSpPr>
        <xdr:cNvPr id="23" name="Rectangle 22">
          <a:extLst>
            <a:ext uri="{FF2B5EF4-FFF2-40B4-BE49-F238E27FC236}">
              <a16:creationId xmlns:a16="http://schemas.microsoft.com/office/drawing/2014/main" id="{A62A9C40-3437-F827-BA43-813F6C77D66A}"/>
            </a:ext>
          </a:extLst>
        </xdr:cNvPr>
        <xdr:cNvSpPr/>
      </xdr:nvSpPr>
      <xdr:spPr>
        <a:xfrm>
          <a:off x="7190505" y="10492712"/>
          <a:ext cx="1260000" cy="1116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Lowest inflation </a:t>
          </a:r>
        </a:p>
        <a:p>
          <a:pPr algn="ctr"/>
          <a:r>
            <a:rPr lang="en-IN" sz="1600" b="1">
              <a:solidFill>
                <a:schemeClr val="tx1"/>
              </a:solidFill>
            </a:rPr>
            <a:t>      3.9%(2019)</a:t>
          </a:r>
        </a:p>
      </xdr:txBody>
    </xdr:sp>
    <xdr:clientData/>
  </xdr:twoCellAnchor>
  <xdr:twoCellAnchor>
    <xdr:from>
      <xdr:col>14</xdr:col>
      <xdr:colOff>127135</xdr:colOff>
      <xdr:row>43</xdr:row>
      <xdr:rowOff>134092</xdr:rowOff>
    </xdr:from>
    <xdr:to>
      <xdr:col>17</xdr:col>
      <xdr:colOff>490047</xdr:colOff>
      <xdr:row>61</xdr:row>
      <xdr:rowOff>110798</xdr:rowOff>
    </xdr:to>
    <xdr:sp macro="" textlink="">
      <xdr:nvSpPr>
        <xdr:cNvPr id="27" name="Rectangle 26">
          <a:extLst>
            <a:ext uri="{FF2B5EF4-FFF2-40B4-BE49-F238E27FC236}">
              <a16:creationId xmlns:a16="http://schemas.microsoft.com/office/drawing/2014/main" id="{C2629409-1682-97D0-FCB0-8165E3910373}"/>
            </a:ext>
          </a:extLst>
        </xdr:cNvPr>
        <xdr:cNvSpPr/>
      </xdr:nvSpPr>
      <xdr:spPr>
        <a:xfrm>
          <a:off x="8598782" y="7843739"/>
          <a:ext cx="2178265" cy="32040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effectLst/>
              <a:latin typeface="+mn-lt"/>
              <a:ea typeface="+mn-ea"/>
              <a:cs typeface="+mn-cs"/>
            </a:rPr>
            <a:t>2022 – Highest Inflation (6.6%)</a:t>
          </a:r>
          <a:endParaRPr lang="en-IN" sz="1600">
            <a:solidFill>
              <a:schemeClr val="tx1"/>
            </a:solidFill>
            <a:effectLst/>
          </a:endParaRPr>
        </a:p>
        <a:p>
          <a:r>
            <a:rPr lang="en-IN" sz="1600" b="1">
              <a:solidFill>
                <a:schemeClr val="tx1"/>
              </a:solidFill>
              <a:effectLst/>
              <a:latin typeface="+mn-lt"/>
              <a:ea typeface="+mn-ea"/>
              <a:cs typeface="+mn-cs"/>
            </a:rPr>
            <a:t>💡 Reason:</a:t>
          </a:r>
          <a:endParaRPr lang="en-IN" sz="1600">
            <a:solidFill>
              <a:schemeClr val="tx1"/>
            </a:solidFill>
            <a:effectLst/>
          </a:endParaRPr>
        </a:p>
        <a:p>
          <a:r>
            <a:rPr lang="en-IN" sz="1600" b="1">
              <a:solidFill>
                <a:schemeClr val="tx1"/>
              </a:solidFill>
              <a:effectLst/>
              <a:latin typeface="+mn-lt"/>
              <a:ea typeface="+mn-ea"/>
              <a:cs typeface="+mn-cs"/>
            </a:rPr>
            <a:t> • Global fuel prices rose (Ukraine war)</a:t>
          </a:r>
          <a:endParaRPr lang="en-IN" sz="1600">
            <a:solidFill>
              <a:schemeClr val="tx1"/>
            </a:solidFill>
            <a:effectLst/>
          </a:endParaRPr>
        </a:p>
        <a:p>
          <a:r>
            <a:rPr lang="en-IN" sz="1600" b="1">
              <a:solidFill>
                <a:schemeClr val="tx1"/>
              </a:solidFill>
              <a:effectLst/>
              <a:latin typeface="+mn-lt"/>
              <a:ea typeface="+mn-ea"/>
              <a:cs typeface="+mn-cs"/>
            </a:rPr>
            <a:t>• Food supply disruptions</a:t>
          </a:r>
          <a:endParaRPr lang="en-IN" sz="1600">
            <a:solidFill>
              <a:schemeClr val="tx1"/>
            </a:solidFill>
            <a:effectLst/>
          </a:endParaRPr>
        </a:p>
        <a:p>
          <a:r>
            <a:rPr lang="en-IN" sz="1600" b="1">
              <a:solidFill>
                <a:schemeClr val="tx1"/>
              </a:solidFill>
              <a:effectLst/>
              <a:latin typeface="+mn-lt"/>
              <a:ea typeface="+mn-ea"/>
              <a:cs typeface="+mn-cs"/>
            </a:rPr>
            <a:t>• Post-COVID demand rebound</a:t>
          </a:r>
          <a:endParaRPr lang="en-IN" sz="1600">
            <a:solidFill>
              <a:schemeClr val="tx1"/>
            </a:solidFill>
            <a:effectLst/>
          </a:endParaRPr>
        </a:p>
        <a:p>
          <a:r>
            <a:rPr lang="en-IN" sz="1600" b="1">
              <a:solidFill>
                <a:schemeClr val="tx1"/>
              </a:solidFill>
              <a:effectLst/>
              <a:latin typeface="+mn-lt"/>
              <a:ea typeface="+mn-ea"/>
              <a:cs typeface="+mn-cs"/>
            </a:rPr>
            <a:t>• Increased costs for imported goods and raw materials.</a:t>
          </a:r>
          <a:endParaRPr lang="en-IN" sz="1600">
            <a:solidFill>
              <a:schemeClr val="tx1"/>
            </a:solidFill>
            <a:effectLst/>
          </a:endParaRPr>
        </a:p>
        <a:p>
          <a:pPr algn="l"/>
          <a:endParaRPr lang="en-IN" sz="1100"/>
        </a:p>
      </xdr:txBody>
    </xdr:sp>
    <xdr:clientData/>
  </xdr:twoCellAnchor>
  <xdr:twoCellAnchor editAs="oneCell">
    <xdr:from>
      <xdr:col>11</xdr:col>
      <xdr:colOff>356399</xdr:colOff>
      <xdr:row>82</xdr:row>
      <xdr:rowOff>172636</xdr:rowOff>
    </xdr:from>
    <xdr:to>
      <xdr:col>14</xdr:col>
      <xdr:colOff>361088</xdr:colOff>
      <xdr:row>91</xdr:row>
      <xdr:rowOff>40800</xdr:rowOff>
    </xdr:to>
    <mc:AlternateContent xmlns:mc="http://schemas.openxmlformats.org/markup-compatibility/2006" xmlns:a14="http://schemas.microsoft.com/office/drawing/2010/main">
      <mc:Choice Requires="a14">
        <xdr:graphicFrame macro="">
          <xdr:nvGraphicFramePr>
            <xdr:cNvPr id="31" name="Sector 1">
              <a:extLst>
                <a:ext uri="{FF2B5EF4-FFF2-40B4-BE49-F238E27FC236}">
                  <a16:creationId xmlns:a16="http://schemas.microsoft.com/office/drawing/2014/main" id="{5BC1B9CC-A726-424D-8ECB-7242504BCE91}"/>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7061999" y="14752236"/>
              <a:ext cx="1833489" cy="1468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517769</xdr:colOff>
      <xdr:row>102</xdr:row>
      <xdr:rowOff>166077</xdr:rowOff>
    </xdr:from>
    <xdr:to>
      <xdr:col>20</xdr:col>
      <xdr:colOff>392206</xdr:colOff>
      <xdr:row>127</xdr:row>
      <xdr:rowOff>78153</xdr:rowOff>
    </xdr:to>
    <xdr:graphicFrame macro="">
      <xdr:nvGraphicFramePr>
        <xdr:cNvPr id="33" name="Chart 32">
          <a:extLst>
            <a:ext uri="{FF2B5EF4-FFF2-40B4-BE49-F238E27FC236}">
              <a16:creationId xmlns:a16="http://schemas.microsoft.com/office/drawing/2014/main" id="{BF3EA720-8CE4-4B73-A08A-B085387B5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85020</xdr:colOff>
      <xdr:row>82</xdr:row>
      <xdr:rowOff>147728</xdr:rowOff>
    </xdr:from>
    <xdr:to>
      <xdr:col>25</xdr:col>
      <xdr:colOff>552823</xdr:colOff>
      <xdr:row>101</xdr:row>
      <xdr:rowOff>128773</xdr:rowOff>
    </xdr:to>
    <xdr:graphicFrame macro="">
      <xdr:nvGraphicFramePr>
        <xdr:cNvPr id="34" name="Chart 33">
          <a:extLst>
            <a:ext uri="{FF2B5EF4-FFF2-40B4-BE49-F238E27FC236}">
              <a16:creationId xmlns:a16="http://schemas.microsoft.com/office/drawing/2014/main" id="{AE1B408D-0530-4D05-8FEA-72C0445F7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210467</xdr:colOff>
      <xdr:row>82</xdr:row>
      <xdr:rowOff>160713</xdr:rowOff>
    </xdr:from>
    <xdr:to>
      <xdr:col>11</xdr:col>
      <xdr:colOff>124414</xdr:colOff>
      <xdr:row>101</xdr:row>
      <xdr:rowOff>74680</xdr:rowOff>
    </xdr:to>
    <xdr:graphicFrame macro="">
      <xdr:nvGraphicFramePr>
        <xdr:cNvPr id="35" name="Chart 34">
          <a:extLst>
            <a:ext uri="{FF2B5EF4-FFF2-40B4-BE49-F238E27FC236}">
              <a16:creationId xmlns:a16="http://schemas.microsoft.com/office/drawing/2014/main" id="{D15A5E22-DDD7-49AB-8AB2-401C69A5F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127389</xdr:colOff>
      <xdr:row>7</xdr:row>
      <xdr:rowOff>55387</xdr:rowOff>
    </xdr:from>
    <xdr:to>
      <xdr:col>22</xdr:col>
      <xdr:colOff>336177</xdr:colOff>
      <xdr:row>10</xdr:row>
      <xdr:rowOff>11594</xdr:rowOff>
    </xdr:to>
    <xdr:sp macro="" textlink="">
      <xdr:nvSpPr>
        <xdr:cNvPr id="37" name="Rectangle: Rounded Corners 36">
          <a:extLst>
            <a:ext uri="{FF2B5EF4-FFF2-40B4-BE49-F238E27FC236}">
              <a16:creationId xmlns:a16="http://schemas.microsoft.com/office/drawing/2014/main" id="{88CE24CE-4827-17C3-9150-A4AE922F38C9}"/>
            </a:ext>
          </a:extLst>
        </xdr:cNvPr>
        <xdr:cNvSpPr/>
      </xdr:nvSpPr>
      <xdr:spPr>
        <a:xfrm>
          <a:off x="4968330" y="1310446"/>
          <a:ext cx="8680435" cy="494089"/>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latin typeface="Arial" panose="020B0604020202020204" pitchFamily="34" charset="0"/>
              <a:cs typeface="Arial" panose="020B0604020202020204" pitchFamily="34" charset="0"/>
            </a:rPr>
            <a:t>Insight 1.Showing the highest broader category in three sector in the last month is food exp</a:t>
          </a:r>
        </a:p>
      </xdr:txBody>
    </xdr:sp>
    <xdr:clientData/>
  </xdr:twoCellAnchor>
  <xdr:twoCellAnchor>
    <xdr:from>
      <xdr:col>0</xdr:col>
      <xdr:colOff>151376</xdr:colOff>
      <xdr:row>37</xdr:row>
      <xdr:rowOff>115679</xdr:rowOff>
    </xdr:from>
    <xdr:to>
      <xdr:col>13</xdr:col>
      <xdr:colOff>116341</xdr:colOff>
      <xdr:row>41</xdr:row>
      <xdr:rowOff>25118</xdr:rowOff>
    </xdr:to>
    <xdr:sp macro="" textlink="">
      <xdr:nvSpPr>
        <xdr:cNvPr id="40" name="Rectangle: Rounded Corners 39">
          <a:extLst>
            <a:ext uri="{FF2B5EF4-FFF2-40B4-BE49-F238E27FC236}">
              <a16:creationId xmlns:a16="http://schemas.microsoft.com/office/drawing/2014/main" id="{2D50E113-870A-AD3E-35E4-37DEA50DBDAD}"/>
            </a:ext>
          </a:extLst>
        </xdr:cNvPr>
        <xdr:cNvSpPr/>
      </xdr:nvSpPr>
      <xdr:spPr>
        <a:xfrm>
          <a:off x="151376" y="7031188"/>
          <a:ext cx="7815003" cy="657062"/>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Arial" panose="020B0604020202020204" pitchFamily="34" charset="0"/>
              <a:cs typeface="Arial" panose="020B0604020202020204" pitchFamily="34" charset="0"/>
            </a:rPr>
            <a:t>CPI Inflation Trend (2017–2023):</a:t>
          </a:r>
          <a:r>
            <a:rPr lang="en-IN" sz="1600">
              <a:solidFill>
                <a:schemeClr val="tx1"/>
              </a:solidFill>
              <a:latin typeface="Arial" panose="020B0604020202020204" pitchFamily="34" charset="0"/>
              <a:cs typeface="Arial" panose="020B0604020202020204" pitchFamily="34" charset="0"/>
            </a:rPr>
            <a:t> Year-on-year growth in combined rural and urban CPI, highlighting the year with the highest inflation and its key economic drivers.</a:t>
          </a:r>
        </a:p>
      </xdr:txBody>
    </xdr:sp>
    <xdr:clientData/>
  </xdr:twoCellAnchor>
  <xdr:twoCellAnchor>
    <xdr:from>
      <xdr:col>4</xdr:col>
      <xdr:colOff>362607</xdr:colOff>
      <xdr:row>75</xdr:row>
      <xdr:rowOff>39656</xdr:rowOff>
    </xdr:from>
    <xdr:to>
      <xdr:col>20</xdr:col>
      <xdr:colOff>159316</xdr:colOff>
      <xdr:row>79</xdr:row>
      <xdr:rowOff>93357</xdr:rowOff>
    </xdr:to>
    <xdr:sp macro="" textlink="">
      <xdr:nvSpPr>
        <xdr:cNvPr id="41" name="Rectangle: Rounded Corners 40">
          <a:extLst>
            <a:ext uri="{FF2B5EF4-FFF2-40B4-BE49-F238E27FC236}">
              <a16:creationId xmlns:a16="http://schemas.microsoft.com/office/drawing/2014/main" id="{E2012C1E-DF17-842F-6439-AC50A48D7F99}"/>
            </a:ext>
          </a:extLst>
        </xdr:cNvPr>
        <xdr:cNvSpPr/>
      </xdr:nvSpPr>
      <xdr:spPr>
        <a:xfrm>
          <a:off x="2785376" y="13960810"/>
          <a:ext cx="9487786" cy="796162"/>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Arial" panose="020B0604020202020204" pitchFamily="34" charset="0"/>
              <a:cs typeface="Arial" panose="020B0604020202020204" pitchFamily="34" charset="0"/>
            </a:rPr>
            <a:t>CPI Food Inflation Analysis (Jun 2022 – May 2023):</a:t>
          </a:r>
          <a:r>
            <a:rPr lang="en-IN" sz="1600">
              <a:solidFill>
                <a:schemeClr val="tx1"/>
              </a:solidFill>
              <a:latin typeface="Arial" panose="020B0604020202020204" pitchFamily="34" charset="0"/>
              <a:cs typeface="Arial" panose="020B0604020202020204" pitchFamily="34" charset="0"/>
            </a:rPr>
            <a:t> Analyzing monthly trends, month-on-month changes, and key category contributors — highlighting the highest and lowest food inflation months.</a:t>
          </a:r>
        </a:p>
      </xdr:txBody>
    </xdr:sp>
    <xdr:clientData/>
  </xdr:twoCellAnchor>
  <xdr:twoCellAnchor>
    <xdr:from>
      <xdr:col>0</xdr:col>
      <xdr:colOff>44824</xdr:colOff>
      <xdr:row>133</xdr:row>
      <xdr:rowOff>111091</xdr:rowOff>
    </xdr:from>
    <xdr:to>
      <xdr:col>9</xdr:col>
      <xdr:colOff>22412</xdr:colOff>
      <xdr:row>157</xdr:row>
      <xdr:rowOff>100853</xdr:rowOff>
    </xdr:to>
    <xdr:graphicFrame macro="">
      <xdr:nvGraphicFramePr>
        <xdr:cNvPr id="42" name="Chart 41">
          <a:extLst>
            <a:ext uri="{FF2B5EF4-FFF2-40B4-BE49-F238E27FC236}">
              <a16:creationId xmlns:a16="http://schemas.microsoft.com/office/drawing/2014/main" id="{74055B67-C6C7-4EB6-8047-1EFF5E729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497743</xdr:colOff>
      <xdr:row>133</xdr:row>
      <xdr:rowOff>108642</xdr:rowOff>
    </xdr:from>
    <xdr:to>
      <xdr:col>19</xdr:col>
      <xdr:colOff>504264</xdr:colOff>
      <xdr:row>157</xdr:row>
      <xdr:rowOff>56029</xdr:rowOff>
    </xdr:to>
    <xdr:graphicFrame macro="">
      <xdr:nvGraphicFramePr>
        <xdr:cNvPr id="43" name="Chart 42">
          <a:extLst>
            <a:ext uri="{FF2B5EF4-FFF2-40B4-BE49-F238E27FC236}">
              <a16:creationId xmlns:a16="http://schemas.microsoft.com/office/drawing/2014/main" id="{D7BE27AA-66D3-440F-8C5C-977CF3A49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452789</xdr:colOff>
      <xdr:row>133</xdr:row>
      <xdr:rowOff>127885</xdr:rowOff>
    </xdr:from>
    <xdr:to>
      <xdr:col>32</xdr:col>
      <xdr:colOff>134470</xdr:colOff>
      <xdr:row>157</xdr:row>
      <xdr:rowOff>56031</xdr:rowOff>
    </xdr:to>
    <xdr:graphicFrame macro="">
      <xdr:nvGraphicFramePr>
        <xdr:cNvPr id="44" name="Chart 43">
          <a:extLst>
            <a:ext uri="{FF2B5EF4-FFF2-40B4-BE49-F238E27FC236}">
              <a16:creationId xmlns:a16="http://schemas.microsoft.com/office/drawing/2014/main" id="{EA9F2778-91C7-4846-B5B3-0E2DAF6E5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82705</xdr:colOff>
      <xdr:row>128</xdr:row>
      <xdr:rowOff>21445</xdr:rowOff>
    </xdr:from>
    <xdr:to>
      <xdr:col>25</xdr:col>
      <xdr:colOff>329214</xdr:colOff>
      <xdr:row>132</xdr:row>
      <xdr:rowOff>73997</xdr:rowOff>
    </xdr:to>
    <xdr:sp macro="" textlink="">
      <xdr:nvSpPr>
        <xdr:cNvPr id="45" name="Rectangle: Rounded Corners 44">
          <a:extLst>
            <a:ext uri="{FF2B5EF4-FFF2-40B4-BE49-F238E27FC236}">
              <a16:creationId xmlns:a16="http://schemas.microsoft.com/office/drawing/2014/main" id="{9CA97348-00BE-C893-7229-8678CF1D9D2F}"/>
            </a:ext>
          </a:extLst>
        </xdr:cNvPr>
        <xdr:cNvSpPr/>
      </xdr:nvSpPr>
      <xdr:spPr>
        <a:xfrm>
          <a:off x="3713411" y="22971092"/>
          <a:ext cx="11743744" cy="769729"/>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Arial" panose="020B0604020202020204" pitchFamily="34" charset="0"/>
              <a:cs typeface="Arial" panose="020B0604020202020204" pitchFamily="34" charset="0"/>
            </a:rPr>
            <a:t>Impact of COVID-19 on CPI Inflation:</a:t>
          </a:r>
          <a:r>
            <a:rPr lang="en-IN" sz="1600">
              <a:solidFill>
                <a:schemeClr val="tx1"/>
              </a:solidFill>
              <a:latin typeface="Arial" panose="020B0604020202020204" pitchFamily="34" charset="0"/>
              <a:cs typeface="Arial" panose="020B0604020202020204" pitchFamily="34" charset="0"/>
            </a:rPr>
            <a:t> Comparing pre- and post-pandemic inflation trends reveals sharp increases in food, healthcare, and essential services due to lockdown disruptions and supply chain issues.</a:t>
          </a:r>
        </a:p>
      </xdr:txBody>
    </xdr:sp>
    <xdr:clientData/>
  </xdr:twoCellAnchor>
  <xdr:twoCellAnchor>
    <xdr:from>
      <xdr:col>0</xdr:col>
      <xdr:colOff>205402</xdr:colOff>
      <xdr:row>163</xdr:row>
      <xdr:rowOff>128398</xdr:rowOff>
    </xdr:from>
    <xdr:to>
      <xdr:col>17</xdr:col>
      <xdr:colOff>251122</xdr:colOff>
      <xdr:row>167</xdr:row>
      <xdr:rowOff>67446</xdr:rowOff>
    </xdr:to>
    <xdr:sp macro="" textlink="">
      <xdr:nvSpPr>
        <xdr:cNvPr id="47" name="Rectangle: Rounded Corners 46">
          <a:extLst>
            <a:ext uri="{FF2B5EF4-FFF2-40B4-BE49-F238E27FC236}">
              <a16:creationId xmlns:a16="http://schemas.microsoft.com/office/drawing/2014/main" id="{540E443D-D65E-FEB2-7D5C-1D0874D51B37}"/>
            </a:ext>
          </a:extLst>
        </xdr:cNvPr>
        <xdr:cNvSpPr/>
      </xdr:nvSpPr>
      <xdr:spPr>
        <a:xfrm>
          <a:off x="205402" y="29353339"/>
          <a:ext cx="10332720" cy="65622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latin typeface="Arial" panose="020B0604020202020204" pitchFamily="34" charset="0"/>
              <a:cs typeface="Arial" panose="020B0604020202020204" pitchFamily="34" charset="0"/>
            </a:rPr>
            <a:t>Impact of Global Oil Price Fluctuations: A strong positive correlation is observed between imported crude oil prices and prices in sub catagories </a:t>
          </a:r>
        </a:p>
      </xdr:txBody>
    </xdr:sp>
    <xdr:clientData/>
  </xdr:twoCellAnchor>
  <xdr:twoCellAnchor>
    <xdr:from>
      <xdr:col>0</xdr:col>
      <xdr:colOff>133596</xdr:colOff>
      <xdr:row>169</xdr:row>
      <xdr:rowOff>22962</xdr:rowOff>
    </xdr:from>
    <xdr:to>
      <xdr:col>20</xdr:col>
      <xdr:colOff>414618</xdr:colOff>
      <xdr:row>193</xdr:row>
      <xdr:rowOff>134470</xdr:rowOff>
    </xdr:to>
    <xdr:graphicFrame macro="">
      <xdr:nvGraphicFramePr>
        <xdr:cNvPr id="2" name="Chart 1">
          <a:extLst>
            <a:ext uri="{FF2B5EF4-FFF2-40B4-BE49-F238E27FC236}">
              <a16:creationId xmlns:a16="http://schemas.microsoft.com/office/drawing/2014/main" id="{74F97A1F-DE02-43DF-8476-D3A3BD0C6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246531</xdr:colOff>
      <xdr:row>11</xdr:row>
      <xdr:rowOff>11206</xdr:rowOff>
    </xdr:from>
    <xdr:to>
      <xdr:col>19</xdr:col>
      <xdr:colOff>566712</xdr:colOff>
      <xdr:row>36</xdr:row>
      <xdr:rowOff>11206</xdr:rowOff>
    </xdr:to>
    <xdr:graphicFrame macro="">
      <xdr:nvGraphicFramePr>
        <xdr:cNvPr id="3" name="Chart 2">
          <a:extLst>
            <a:ext uri="{FF2B5EF4-FFF2-40B4-BE49-F238E27FC236}">
              <a16:creationId xmlns:a16="http://schemas.microsoft.com/office/drawing/2014/main" id="{4E994F71-5D0C-4E17-BD03-E8CF59B4B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30480</xdr:colOff>
      <xdr:row>24</xdr:row>
      <xdr:rowOff>76200</xdr:rowOff>
    </xdr:from>
    <xdr:to>
      <xdr:col>16</xdr:col>
      <xdr:colOff>1150620</xdr:colOff>
      <xdr:row>39</xdr:row>
      <xdr:rowOff>76200</xdr:rowOff>
    </xdr:to>
    <xdr:graphicFrame macro="">
      <xdr:nvGraphicFramePr>
        <xdr:cNvPr id="16" name="Chart 15">
          <a:extLst>
            <a:ext uri="{FF2B5EF4-FFF2-40B4-BE49-F238E27FC236}">
              <a16:creationId xmlns:a16="http://schemas.microsoft.com/office/drawing/2014/main" id="{7CA6F0B0-9DBA-9E46-42A1-C7E8980C9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xdr:colOff>
      <xdr:row>24</xdr:row>
      <xdr:rowOff>60960</xdr:rowOff>
    </xdr:from>
    <xdr:to>
      <xdr:col>12</xdr:col>
      <xdr:colOff>1104900</xdr:colOff>
      <xdr:row>39</xdr:row>
      <xdr:rowOff>60960</xdr:rowOff>
    </xdr:to>
    <xdr:graphicFrame macro="">
      <xdr:nvGraphicFramePr>
        <xdr:cNvPr id="17" name="Chart 16">
          <a:extLst>
            <a:ext uri="{FF2B5EF4-FFF2-40B4-BE49-F238E27FC236}">
              <a16:creationId xmlns:a16="http://schemas.microsoft.com/office/drawing/2014/main" id="{EB97DB3E-96B4-4DF3-8D36-7518D78CD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671162</xdr:colOff>
      <xdr:row>24</xdr:row>
      <xdr:rowOff>156475</xdr:rowOff>
    </xdr:from>
    <xdr:to>
      <xdr:col>16</xdr:col>
      <xdr:colOff>1120265</xdr:colOff>
      <xdr:row>39</xdr:row>
      <xdr:rowOff>132327</xdr:rowOff>
    </xdr:to>
    <xdr:pic>
      <xdr:nvPicPr>
        <xdr:cNvPr id="18" name="Picture 17">
          <a:extLst>
            <a:ext uri="{FF2B5EF4-FFF2-40B4-BE49-F238E27FC236}">
              <a16:creationId xmlns:a16="http://schemas.microsoft.com/office/drawing/2014/main" id="{CE6C5901-DB24-87FC-2756-3D6A601B5A90}"/>
            </a:ext>
          </a:extLst>
        </xdr:cNvPr>
        <xdr:cNvPicPr>
          <a:picLocks noChangeAspect="1"/>
        </xdr:cNvPicPr>
      </xdr:nvPicPr>
      <xdr:blipFill>
        <a:blip xmlns:r="http://schemas.openxmlformats.org/officeDocument/2006/relationships" r:embed="rId3"/>
        <a:stretch>
          <a:fillRect/>
        </a:stretch>
      </xdr:blipFill>
      <xdr:spPr>
        <a:xfrm>
          <a:off x="2248079" y="4474475"/>
          <a:ext cx="13932269" cy="26746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45</xdr:row>
      <xdr:rowOff>134083</xdr:rowOff>
    </xdr:from>
    <xdr:to>
      <xdr:col>3</xdr:col>
      <xdr:colOff>571500</xdr:colOff>
      <xdr:row>60</xdr:row>
      <xdr:rowOff>129686</xdr:rowOff>
    </xdr:to>
    <xdr:graphicFrame macro="">
      <xdr:nvGraphicFramePr>
        <xdr:cNvPr id="3" name="Chart 2">
          <a:extLst>
            <a:ext uri="{FF2B5EF4-FFF2-40B4-BE49-F238E27FC236}">
              <a16:creationId xmlns:a16="http://schemas.microsoft.com/office/drawing/2014/main" id="{641D689B-9334-1860-BF2D-76022F5B9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117733</xdr:colOff>
      <xdr:row>43</xdr:row>
      <xdr:rowOff>150057</xdr:rowOff>
    </xdr:from>
    <xdr:to>
      <xdr:col>5</xdr:col>
      <xdr:colOff>226256</xdr:colOff>
      <xdr:row>49</xdr:row>
      <xdr:rowOff>165298</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8166A962-7275-1DE0-3B8D-E5DCAF3CA60B}"/>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6724352" y="3582985"/>
              <a:ext cx="1828914" cy="1099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901503</xdr:colOff>
      <xdr:row>52</xdr:row>
      <xdr:rowOff>71177</xdr:rowOff>
    </xdr:from>
    <xdr:to>
      <xdr:col>8</xdr:col>
      <xdr:colOff>653143</xdr:colOff>
      <xdr:row>68</xdr:row>
      <xdr:rowOff>120666</xdr:rowOff>
    </xdr:to>
    <xdr:graphicFrame macro="">
      <xdr:nvGraphicFramePr>
        <xdr:cNvPr id="3" name="Chart 2">
          <a:extLst>
            <a:ext uri="{FF2B5EF4-FFF2-40B4-BE49-F238E27FC236}">
              <a16:creationId xmlns:a16="http://schemas.microsoft.com/office/drawing/2014/main" id="{CCBD0C91-C719-1D16-0FDC-378FAC520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304762</xdr:colOff>
      <xdr:row>70</xdr:row>
      <xdr:rowOff>5010</xdr:rowOff>
    </xdr:from>
    <xdr:to>
      <xdr:col>6</xdr:col>
      <xdr:colOff>1564821</xdr:colOff>
      <xdr:row>84</xdr:row>
      <xdr:rowOff>161805</xdr:rowOff>
    </xdr:to>
    <xdr:graphicFrame macro="">
      <xdr:nvGraphicFramePr>
        <xdr:cNvPr id="5" name="Chart 4">
          <a:extLst>
            <a:ext uri="{FF2B5EF4-FFF2-40B4-BE49-F238E27FC236}">
              <a16:creationId xmlns:a16="http://schemas.microsoft.com/office/drawing/2014/main" id="{BE89C5EA-3240-F392-6F07-24F662BD2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855034</xdr:colOff>
      <xdr:row>59</xdr:row>
      <xdr:rowOff>8860</xdr:rowOff>
    </xdr:from>
    <xdr:to>
      <xdr:col>15</xdr:col>
      <xdr:colOff>1275906</xdr:colOff>
      <xdr:row>77</xdr:row>
      <xdr:rowOff>159488</xdr:rowOff>
    </xdr:to>
    <xdr:graphicFrame macro="">
      <xdr:nvGraphicFramePr>
        <xdr:cNvPr id="8" name="Chart 7">
          <a:extLst>
            <a:ext uri="{FF2B5EF4-FFF2-40B4-BE49-F238E27FC236}">
              <a16:creationId xmlns:a16="http://schemas.microsoft.com/office/drawing/2014/main" id="{90289FE4-41D7-5AF9-B786-C418B4A31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1395522</xdr:colOff>
      <xdr:row>58</xdr:row>
      <xdr:rowOff>174551</xdr:rowOff>
    </xdr:from>
    <xdr:to>
      <xdr:col>19</xdr:col>
      <xdr:colOff>79744</xdr:colOff>
      <xdr:row>77</xdr:row>
      <xdr:rowOff>168349</xdr:rowOff>
    </xdr:to>
    <xdr:graphicFrame macro="">
      <xdr:nvGraphicFramePr>
        <xdr:cNvPr id="9" name="Chart 8">
          <a:extLst>
            <a:ext uri="{FF2B5EF4-FFF2-40B4-BE49-F238E27FC236}">
              <a16:creationId xmlns:a16="http://schemas.microsoft.com/office/drawing/2014/main" id="{8D7258A9-2F60-E8E3-7574-F9766431C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323408</xdr:colOff>
      <xdr:row>58</xdr:row>
      <xdr:rowOff>174549</xdr:rowOff>
    </xdr:from>
    <xdr:to>
      <xdr:col>22</xdr:col>
      <xdr:colOff>753139</xdr:colOff>
      <xdr:row>77</xdr:row>
      <xdr:rowOff>159487</xdr:rowOff>
    </xdr:to>
    <xdr:graphicFrame macro="">
      <xdr:nvGraphicFramePr>
        <xdr:cNvPr id="10" name="Chart 9">
          <a:extLst>
            <a:ext uri="{FF2B5EF4-FFF2-40B4-BE49-F238E27FC236}">
              <a16:creationId xmlns:a16="http://schemas.microsoft.com/office/drawing/2014/main" id="{1B8A6A87-76D8-D987-DCD5-E602AAAD8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662940</xdr:colOff>
      <xdr:row>56</xdr:row>
      <xdr:rowOff>15240</xdr:rowOff>
    </xdr:from>
    <xdr:to>
      <xdr:col>5</xdr:col>
      <xdr:colOff>53340</xdr:colOff>
      <xdr:row>71</xdr:row>
      <xdr:rowOff>15240</xdr:rowOff>
    </xdr:to>
    <xdr:graphicFrame macro="">
      <xdr:nvGraphicFramePr>
        <xdr:cNvPr id="3" name="Chart 2">
          <a:extLst>
            <a:ext uri="{FF2B5EF4-FFF2-40B4-BE49-F238E27FC236}">
              <a16:creationId xmlns:a16="http://schemas.microsoft.com/office/drawing/2014/main" id="{D33862BC-6FB1-9D6F-D27E-ED29E04C3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60960</xdr:colOff>
      <xdr:row>56</xdr:row>
      <xdr:rowOff>53340</xdr:rowOff>
    </xdr:from>
    <xdr:to>
      <xdr:col>14</xdr:col>
      <xdr:colOff>205740</xdr:colOff>
      <xdr:row>71</xdr:row>
      <xdr:rowOff>53340</xdr:rowOff>
    </xdr:to>
    <xdr:graphicFrame macro="">
      <xdr:nvGraphicFramePr>
        <xdr:cNvPr id="4" name="Chart 3">
          <a:extLst>
            <a:ext uri="{FF2B5EF4-FFF2-40B4-BE49-F238E27FC236}">
              <a16:creationId xmlns:a16="http://schemas.microsoft.com/office/drawing/2014/main" id="{D1E3211B-18C5-A8E0-F5C6-C6D843F20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56</xdr:row>
      <xdr:rowOff>38100</xdr:rowOff>
    </xdr:from>
    <xdr:to>
      <xdr:col>21</xdr:col>
      <xdr:colOff>137160</xdr:colOff>
      <xdr:row>71</xdr:row>
      <xdr:rowOff>38100</xdr:rowOff>
    </xdr:to>
    <xdr:graphicFrame macro="">
      <xdr:nvGraphicFramePr>
        <xdr:cNvPr id="7" name="Chart 6">
          <a:extLst>
            <a:ext uri="{FF2B5EF4-FFF2-40B4-BE49-F238E27FC236}">
              <a16:creationId xmlns:a16="http://schemas.microsoft.com/office/drawing/2014/main" id="{88619D6C-7A5E-1264-050B-BDFEAA189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38100</xdr:colOff>
      <xdr:row>98</xdr:row>
      <xdr:rowOff>129540</xdr:rowOff>
    </xdr:from>
    <xdr:to>
      <xdr:col>12</xdr:col>
      <xdr:colOff>457200</xdr:colOff>
      <xdr:row>113</xdr:row>
      <xdr:rowOff>129540</xdr:rowOff>
    </xdr:to>
    <xdr:graphicFrame macro="">
      <xdr:nvGraphicFramePr>
        <xdr:cNvPr id="2" name="Chart 1">
          <a:extLst>
            <a:ext uri="{FF2B5EF4-FFF2-40B4-BE49-F238E27FC236}">
              <a16:creationId xmlns:a16="http://schemas.microsoft.com/office/drawing/2014/main" id="{420BDA2F-9FB9-FA7F-A294-2898867CB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3.950543865743" createdVersion="8" refreshedVersion="8" minRefreshableVersion="3" recordCount="372" xr:uid="{54F9F371-B6B6-442B-821D-413233C6FEAF}">
  <cacheSource type="worksheet">
    <worksheetSource ref="A1:AO373" sheet="Cpi data "/>
  </cacheSource>
  <cacheFields count="41">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short month and year  " numFmtId="0">
      <sharedItems/>
    </cacheField>
    <cacheField name="date " numFmtId="14">
      <sharedItems containsNonDate="0" containsDate="1" containsString="0" containsBlank="1" minDate="2013-01-01T00:00:00" maxDate="2023-05-02T00:00:00"/>
    </cacheField>
    <cacheField name="Pre/Post Covid " numFmtId="0">
      <sharedItems count="2">
        <s v="Pre covid"/>
        <s v="Post covid"/>
      </sharedItems>
    </cacheField>
    <cacheField name="Cereals and products" numFmtId="0">
      <sharedItems containsString="0" containsBlank="1" containsNumber="1" minValue="107.5" maxValue="174.8"/>
    </cacheField>
    <cacheField name="Meat and fish" numFmtId="0">
      <sharedItems containsString="0" containsBlank="1" containsNumber="1" minValue="106.3" maxValue="223.4"/>
    </cacheField>
    <cacheField name="Egg" numFmtId="0">
      <sharedItems containsString="0" containsBlank="1" containsNumber="1" minValue="102.7" maxValue="197"/>
    </cacheField>
    <cacheField name="Milk and products" numFmtId="0">
      <sharedItems containsString="0" containsBlank="1" containsNumber="1" minValue="103.6" maxValue="179.6"/>
    </cacheField>
    <cacheField name="Oils and fats" numFmtId="0">
      <sharedItems containsString="0" containsBlank="1" containsNumber="1" minValue="101.1" maxValue="209.9"/>
    </cacheField>
    <cacheField name="Fruits" numFmtId="0">
      <sharedItems containsString="0" containsBlank="1" containsNumber="1" minValue="102.3" maxValue="179.5"/>
    </cacheField>
    <cacheField name="Vegetables" numFmtId="0">
      <sharedItems containsString="0" containsBlank="1" containsNumber="1" minValue="101.4" maxValue="245.3" count="312">
        <n v="101.9"/>
        <n v="102.9"/>
        <n v="102.2"/>
        <n v="102.4"/>
        <n v="104.9"/>
        <n v="103.2"/>
        <n v="101.4"/>
        <n v="103.8"/>
        <n v="103.4"/>
        <n v="109.7"/>
        <n v="105.5"/>
        <n v="107.3"/>
        <n v="123.7"/>
        <n v="112.9"/>
        <n v="118"/>
        <n v="143.6"/>
        <n v="126.7"/>
        <n v="129.19999999999999"/>
        <n v="160.9"/>
        <n v="140"/>
        <n v="138.9"/>
        <n v="177"/>
        <n v="151.80000000000001"/>
        <n v="154"/>
        <n v="174.3"/>
        <n v="164.9"/>
        <n v="183.5"/>
        <n v="171.2"/>
        <n v="178.1"/>
        <n v="192.8"/>
        <n v="183.1"/>
        <n v="145.69999999999999"/>
        <n v="144.80000000000001"/>
        <n v="145.4"/>
        <n v="123.9"/>
        <n v="118.9"/>
        <n v="122.2"/>
        <n v="116"/>
        <n v="111.5"/>
        <n v="114.5"/>
        <n v="117.9"/>
        <n v="113.3"/>
        <n v="116.3"/>
        <n v="120.5"/>
        <n v="121.2"/>
        <n v="120.7"/>
        <n v="127"/>
        <n v="125"/>
        <n v="129.30000000000001"/>
        <n v="137.5"/>
        <n v="132.1"/>
        <n v="150.1"/>
        <n v="172.4"/>
        <n v="157.69999999999999"/>
        <n v="161.1"/>
        <n v="181.9"/>
        <n v="168.2"/>
        <n v="158.80000000000001"/>
        <n v="168.6"/>
        <n v="162.1"/>
        <n v="155.30000000000001"/>
        <n v="159.6"/>
        <n v="156.80000000000001"/>
        <n v="152"/>
        <n v="153.19999999999999"/>
        <n v="152.4"/>
        <n v="140.30000000000001"/>
        <n v="141"/>
        <n v="140.5"/>
        <n v="132.30000000000001"/>
        <n v="134.4"/>
        <n v="133"/>
        <n v="128.19999999999999"/>
        <n v="131.80000000000001"/>
        <n v="129.4"/>
        <n v="128"/>
        <n v="131.4"/>
        <n v="127.5"/>
        <n v="130.80000000000001"/>
        <n v="128.6"/>
        <n v="128.5"/>
        <n v="135.6"/>
        <n v="130.9"/>
        <n v="135.19999999999999"/>
        <n v="146.69999999999999"/>
        <n v="139.1"/>
        <n v="140.80000000000001"/>
        <n v="153.5"/>
        <n v="145.1"/>
        <n v="153.6"/>
        <n v="165.5"/>
        <n v="157.6"/>
        <n v="158.9"/>
        <n v="168.5"/>
        <n v="162.19999999999999"/>
        <n v="165.8"/>
        <n v="160.4"/>
        <n v="155.19999999999999"/>
        <n v="164.6"/>
        <n v="158.4"/>
        <n v="145.5"/>
        <n v="149"/>
        <n v="140.1"/>
        <n v="144.1"/>
        <n v="141.5"/>
        <n v="130.30000000000001"/>
        <n v="130.69999999999999"/>
        <n v="128.1"/>
        <n v="129.80000000000001"/>
        <n v="134.1"/>
        <n v="136.80000000000001"/>
        <n v="135"/>
        <n v="141.80000000000001"/>
        <n v="151.4"/>
        <n v="152.5"/>
        <n v="173.7"/>
        <n v="159.69999999999999"/>
        <n v="158.19999999999999"/>
        <n v="179.5"/>
        <n v="165.4"/>
        <n v="156.9"/>
        <n v="163.5"/>
        <n v="159.1"/>
        <n v="149.5"/>
        <n v="152.9"/>
        <n v="150.69999999999999"/>
        <n v="149.19999999999999"/>
        <n v="155.1"/>
        <n v="151.19999999999999"/>
        <n v="142"/>
        <n v="141.9"/>
        <n v="121.1"/>
        <n v="125.3"/>
        <n v="119.8"/>
        <n v="118.7"/>
        <n v="119.4"/>
        <n v="119.1"/>
        <n v="120.2"/>
        <n v="119.5"/>
        <n v="119.7"/>
        <n v="121.5"/>
        <n v="127.1"/>
        <n v="123.4"/>
        <n v="123.8"/>
        <n v="125.6"/>
        <n v="128.80000000000001"/>
        <n v="142.19999999999999"/>
        <n v="133.30000000000001"/>
        <n v="151.5"/>
        <n v="175.1"/>
        <n v="159.5"/>
        <n v="162.9"/>
        <n v="179.8"/>
        <n v="154.5"/>
        <n v="160.69999999999999"/>
        <n v="156.6"/>
        <n v="157.1"/>
        <n v="173.2"/>
        <n v="162.6"/>
        <n v="168"/>
        <n v="185.2"/>
        <n v="173.8"/>
        <n v="161"/>
        <n v="163.19999999999999"/>
        <n v="161.69999999999999"/>
        <n v="152.1"/>
        <n v="150.5"/>
        <n v="151.6"/>
        <n v="142.4"/>
        <n v="136.9"/>
        <n v="138"/>
        <n v="134.6"/>
        <n v="135.1"/>
        <n v="127.6"/>
        <n v="132.6"/>
        <n v="137.80000000000001"/>
        <n v="143.5"/>
        <n v="144"/>
        <n v="143.69999999999999"/>
        <n v="154.19999999999999"/>
        <n v="159.19999999999999"/>
        <n v="155.9"/>
        <n v="156.30000000000001"/>
        <n v="157.30000000000001"/>
        <n v="149.4"/>
        <n v="151.30000000000001"/>
        <n v="150"/>
        <n v="147.6"/>
        <n v="153"/>
        <n v="147.5"/>
        <n v="145.19999999999999"/>
        <n v="136.6"/>
        <n v="132.4"/>
        <n v="131.69999999999999"/>
        <n v="130.5"/>
        <n v="131.30000000000001"/>
        <n v="128.69999999999999"/>
        <n v="131.6"/>
        <n v="129.69999999999999"/>
        <n v="141.19999999999999"/>
        <n v="133.4"/>
        <n v="161.6"/>
        <n v="143"/>
        <n v="140.6"/>
        <n v="169.8"/>
        <n v="180.1"/>
        <n v="160.30000000000001"/>
        <n v="156.19999999999999"/>
        <n v="189.1"/>
        <n v="167.4"/>
        <n v="163.4"/>
        <n v="192.4"/>
        <n v="178.8"/>
        <n v="207.2"/>
        <n v="188.4"/>
        <n v="191.4"/>
        <n v="215.7"/>
        <n v="199.6"/>
        <n v="209.5"/>
        <n v="231.5"/>
        <n v="217"/>
        <n v="191.5"/>
        <n v="207.8"/>
        <n v="197"/>
        <n v="165.1"/>
        <n v="181.7"/>
        <n v="170.7"/>
        <n v="152.30000000000001"/>
        <n v="167"/>
        <n v="162.69999999999999"/>
        <n v="180"/>
        <m/>
        <n v="148.9"/>
        <n v="156.5"/>
        <n v="171"/>
        <n v="191.9"/>
        <n v="202"/>
        <n v="186.7"/>
        <n v="200.6"/>
        <n v="226"/>
        <n v="209.2"/>
        <n v="222.2"/>
        <n v="245.3"/>
        <n v="230"/>
        <n v="225.2"/>
        <n v="240.9"/>
        <n v="230.5"/>
        <n v="187.8"/>
        <n v="206.8"/>
        <n v="194.2"/>
        <n v="149.69999999999999"/>
        <n v="180.2"/>
        <n v="160"/>
        <n v="166.1"/>
        <n v="138.4"/>
        <n v="166.5"/>
        <n v="147.9"/>
        <n v="144.69999999999999"/>
        <n v="176.2"/>
        <n v="155.4"/>
        <n v="152.80000000000001"/>
        <n v="186.4"/>
        <n v="164.2"/>
        <n v="153.9"/>
        <n v="183.3"/>
        <n v="162.30000000000001"/>
        <n v="170.4"/>
        <n v="214.4"/>
        <n v="185.3"/>
        <n v="183.9"/>
        <n v="229.1"/>
        <n v="199.2"/>
        <n v="172.3"/>
        <n v="219.5"/>
        <n v="188.3"/>
        <n v="203.6"/>
        <n v="198"/>
        <n v="169.7"/>
        <n v="155.80000000000001"/>
        <n v="166.9"/>
        <n v="190.7"/>
        <n v="166.2"/>
        <n v="203.2"/>
        <n v="174.9"/>
        <n v="167.3"/>
        <n v="211.5"/>
        <n v="182.3"/>
        <n v="208.5"/>
        <n v="182.1"/>
        <n v="173.1"/>
        <n v="213.1"/>
        <n v="176.9"/>
        <n v="220.8"/>
        <n v="191.8"/>
        <n v="184.8"/>
        <n v="228.6"/>
        <n v="199.7"/>
        <n v="171.6"/>
        <n v="205.5"/>
        <n v="150.19999999999999"/>
        <n v="178.7"/>
        <n v="159.9"/>
        <n v="142.9"/>
        <n v="175.3"/>
        <n v="140.9"/>
        <n v="175.8"/>
        <n v="152.69999999999999"/>
        <n v="175.9"/>
        <n v="142.80000000000001"/>
        <n v="179.9"/>
        <n v="148.69999999999999"/>
        <n v="185"/>
      </sharedItems>
    </cacheField>
    <cacheField name="Pulses and products" numFmtId="0">
      <sharedItems containsString="0" containsBlank="1" containsNumber="1" minValue="103.5" maxValue="191.6"/>
    </cacheField>
    <cacheField name="Sugar and Confectionery" numFmtId="0">
      <sharedItems containsString="0" containsBlank="1" containsNumber="1" minValue="85.3" maxValue="124.2"/>
    </cacheField>
    <cacheField name="Spices" numFmtId="0">
      <sharedItems containsString="0" containsBlank="1" containsNumber="1" minValue="101.8" maxValue="221"/>
    </cacheField>
    <cacheField name="Non-alcoholic beverages" numFmtId="0">
      <sharedItems containsString="0" containsBlank="1" containsNumber="1" minValue="104.8" maxValue="178.7"/>
    </cacheField>
    <cacheField name="Prepared meals, snacks, sweets etc." numFmtId="0">
      <sharedItems containsString="0" containsBlank="1" containsNumber="1" minValue="106.7" maxValue="197.7"/>
    </cacheField>
    <cacheField name="Food and beverages" numFmtId="0">
      <sharedItems containsString="0" containsBlank="1" containsNumber="1" minValue="105.5" maxValue="183.3"/>
    </cacheField>
    <cacheField name="Pan, tobacco and intoxicants" numFmtId="0">
      <sharedItems containsString="0" containsBlank="1" containsNumber="1" minValue="105.1" maxValue="204.2"/>
    </cacheField>
    <cacheField name="Clothing" numFmtId="0">
      <sharedItems containsString="0" containsBlank="1" containsNumber="1" minValue="105.9" maxValue="191.2"/>
    </cacheField>
    <cacheField name="Footwear" numFmtId="0">
      <sharedItems containsString="0" containsBlank="1" containsNumber="1" minValue="105" maxValue="187.9"/>
    </cacheField>
    <cacheField name="Clothing and footwear" numFmtId="0">
      <sharedItems containsString="0" containsBlank="1" containsNumber="1" minValue="105.8" maxValue="190.8"/>
    </cacheField>
    <cacheField name="Housing" numFmtId="0">
      <sharedItems containsSemiMixedTypes="0" containsString="0" containsNumber="1" minValue="100.3" maxValue="175.6"/>
    </cacheField>
    <cacheField name="Fuel and light" numFmtId="0">
      <sharedItems containsString="0" containsBlank="1" containsNumber="1" minValue="105.4" maxValue="183.4"/>
    </cacheField>
    <cacheField name="Household goods and services" numFmtId="0">
      <sharedItems containsString="0" containsBlank="1" containsNumber="1" minValue="104.8" maxValue="179.8"/>
    </cacheField>
    <cacheField name="Health" numFmtId="0">
      <sharedItems containsString="0" containsBlank="1" containsNumber="1" minValue="104" maxValue="187.8"/>
    </cacheField>
    <cacheField name="Transport and communication" numFmtId="0">
      <sharedItems containsString="0" containsBlank="1" containsNumber="1" minValue="103.2" maxValue="169.7"/>
    </cacheField>
    <cacheField name="Recreation and amusement" numFmtId="0">
      <sharedItems containsString="0" containsBlank="1" containsNumber="1" minValue="102.9" maxValue="173.8"/>
    </cacheField>
    <cacheField name="Education" numFmtId="0">
      <sharedItems containsString="0" containsBlank="1" containsNumber="1" minValue="103.5" maxValue="180.3"/>
    </cacheField>
    <cacheField name="Personal care and effects" numFmtId="0">
      <sharedItems containsString="0" containsBlank="1" containsNumber="1" minValue="102.1" maxValue="185.6"/>
    </cacheField>
    <cacheField name="Miscellaneous" numFmtId="0">
      <sharedItems containsString="0" containsBlank="1" containsNumber="1" minValue="103.7" maxValue="179.5"/>
    </cacheField>
    <cacheField name="General index" numFmtId="0">
      <sharedItems containsString="0" containsBlank="1" containsNumber="1" minValue="104" maxValue="179.8"/>
    </cacheField>
    <cacheField name="Total Expences " numFmtId="164">
      <sharedItems containsSemiMixedTypes="0" containsString="0" containsNumber="1" minValue="139.27096774193564" maxValue="4468.1999999999989"/>
    </cacheField>
    <cacheField name="sum of others " numFmtId="164">
      <sharedItems containsSemiMixedTypes="0" containsString="0" containsNumber="1" minValue="0" maxValue="718.5"/>
    </cacheField>
    <cacheField name="sum of clothing " numFmtId="164">
      <sharedItems containsSemiMixedTypes="0" containsString="0" containsNumber="1" minValue="0" maxValue="379.1"/>
    </cacheField>
    <cacheField name="Sum Housing Exepences" numFmtId="164">
      <sharedItems containsSemiMixedTypes="0" containsString="0" containsNumber="1" minValue="139.27096774193564" maxValue="350.79999999999995"/>
    </cacheField>
    <cacheField name="Sum of food expences" numFmtId="164">
      <sharedItems containsSemiMixedTypes="0" containsString="0" containsNumber="1" minValue="0" maxValue="2539.2999999999997"/>
    </cacheField>
    <cacheField name="Average Other Expences " numFmtId="164">
      <sharedItems containsMixedTypes="1" containsNumber="1" minValue="103.6" maxValue="179.625" count="351">
        <n v="103.97499999999999"/>
        <n v="103.6"/>
        <n v="103.77500000000001"/>
        <n v="104.27500000000001"/>
        <n v="103.9"/>
        <n v="104.1"/>
        <n v="104.3"/>
        <n v="104.10000000000001"/>
        <n v="104.175"/>
        <n v="104.15"/>
        <n v="104.375"/>
        <n v="104.22499999999999"/>
        <n v="104.35"/>
        <n v="104.44999999999999"/>
        <n v="105.02500000000001"/>
        <n v="105.675"/>
        <n v="105.35"/>
        <n v="105.80000000000001"/>
        <n v="106.625"/>
        <n v="106.22499999999999"/>
        <n v="107"/>
        <n v="107.9"/>
        <n v="107.45000000000002"/>
        <n v="108.22499999999999"/>
        <n v="108.72499999999999"/>
        <n v="108.47499999999999"/>
        <n v="108.77500000000001"/>
        <n v="109"/>
        <n v="108.875"/>
        <n v="109.425"/>
        <n v="109.325"/>
        <n v="109.4"/>
        <n v="109.74999999999999"/>
        <n v="109.44999999999999"/>
        <n v="109.6"/>
        <n v="110.07499999999999"/>
        <n v="109.95"/>
        <n v="110.02499999999999"/>
        <n v="110.375"/>
        <n v="110.39999999999999"/>
        <n v="110.7"/>
        <n v="110.82500000000002"/>
        <n v="110.72499999999999"/>
        <n v="110.97499999999999"/>
        <n v="111.05"/>
        <n v="111.02500000000001"/>
        <n v="111.17499999999998"/>
        <n v="111.35"/>
        <n v="111.27499999999999"/>
        <n v="111.5"/>
        <n v="111.95"/>
        <n v="111.75"/>
        <n v="112.3"/>
        <n v="113.35"/>
        <n v="112.85"/>
        <n v="112.825"/>
        <n v="114.125"/>
        <n v="113.55000000000001"/>
        <n v="113"/>
        <n v="114.25"/>
        <n v="113.72499999999999"/>
        <n v="113.30000000000001"/>
        <n v="114.4"/>
        <n v="113.9"/>
        <n v="114.325"/>
        <n v="113.89999999999999"/>
        <n v="113.65"/>
        <n v="114.7"/>
        <n v="114.22499999999999"/>
        <n v="115.05000000000001"/>
        <n v="114.675"/>
        <n v="114.825"/>
        <n v="114.97499999999999"/>
        <n v="115.30000000000001"/>
        <n v="115.27500000000001"/>
        <n v="115.29999999999998"/>
        <n v="115.925"/>
        <n v="115.82499999999999"/>
        <n v="115.92500000000001"/>
        <n v="116.6"/>
        <n v="116.4"/>
        <n v="116.52499999999999"/>
        <n v="117.69999999999999"/>
        <n v="117.125"/>
        <n v="117.44999999999999"/>
        <n v="117.92500000000001"/>
        <n v="117.5"/>
        <n v="117.77499999999999"/>
        <n v="118.19999999999999"/>
        <n v="117.89999999999999"/>
        <n v="118.10000000000001"/>
        <n v="119.15"/>
        <n v="118.22500000000001"/>
        <n v="118.72500000000001"/>
        <n v="119.65"/>
        <n v="118.55"/>
        <n v="119.10000000000001"/>
        <n v="120.125"/>
        <n v="118.6"/>
        <n v="119.35"/>
        <n v="120.27500000000001"/>
        <n v="118.65"/>
        <n v="119.44999999999999"/>
        <n v="120.65"/>
        <n v="118.92500000000001"/>
        <n v="119.77500000000001"/>
        <n v="121.77499999999999"/>
        <n v="119.625"/>
        <n v="120.64999999999999"/>
        <n v="122.125"/>
        <n v="119.97499999999999"/>
        <n v="121.02500000000001"/>
        <n v="122.8"/>
        <n v="120.72499999999999"/>
        <n v="121.72499999999999"/>
        <n v="123.72499999999999"/>
        <n v="121.25"/>
        <n v="122.47499999999999"/>
        <n v="124.375"/>
        <n v="121.9"/>
        <n v="123.075"/>
        <n v="125.175"/>
        <n v="122.75000000000001"/>
        <n v="123.9"/>
        <n v="125.9"/>
        <n v="123.22499999999999"/>
        <n v="124.49999999999999"/>
        <n v="126.39999999999999"/>
        <n v="123.52499999999999"/>
        <n v="124.9"/>
        <n v="127.05"/>
        <n v="123.7"/>
        <n v="125.35"/>
        <n v="127.54999999999998"/>
        <n v="124.1"/>
        <n v="125.8"/>
        <n v="127.425"/>
        <n v="123.85000000000001"/>
        <n v="125.575"/>
        <n v="127.625"/>
        <n v="124.35"/>
        <n v="128.20000000000002"/>
        <n v="124.675"/>
        <n v="126.35"/>
        <n v="128.55000000000001"/>
        <n v="124.875"/>
        <n v="126.625"/>
        <n v="128.80000000000001"/>
        <n v="125.22499999999999"/>
        <n v="126.94999999999999"/>
        <n v="129.32500000000002"/>
        <n v="125.3"/>
        <n v="127.2"/>
        <n v="129.72500000000002"/>
        <n v="125.6"/>
        <n v="127.55000000000001"/>
        <n v="130.55000000000001"/>
        <n v="126.1"/>
        <n v="128.22499999999999"/>
        <n v="131.69999999999999"/>
        <n v="126.72499999999999"/>
        <n v="129.04999999999998"/>
        <n v="132.22500000000002"/>
        <n v="127.325"/>
        <n v="129.625"/>
        <n v="132.80000000000001"/>
        <n v="127.55"/>
        <n v="130.05000000000001"/>
        <n v="133.75"/>
        <n v="127.875"/>
        <n v="130.67499999999998"/>
        <n v="133.54999999999998"/>
        <n v="128"/>
        <n v="130.65"/>
        <n v="134.19999999999999"/>
        <n v="128.65"/>
        <n v="131.27499999999998"/>
        <n v="134.27500000000001"/>
        <n v="129.1"/>
        <n v="131.55000000000001"/>
        <n v="135.1"/>
        <n v="129.6"/>
        <n v="132.17500000000001"/>
        <n v="136.07499999999999"/>
        <n v="130.77500000000001"/>
        <n v="133.30000000000001"/>
        <n v="136.875"/>
        <n v="131.35"/>
        <n v="133.97500000000002"/>
        <n v="137.47500000000002"/>
        <n v="131.85"/>
        <n v="134.52500000000001"/>
        <n v="137.9"/>
        <n v="132.85"/>
        <n v="135.27499999999998"/>
        <n v="138.35"/>
        <n v="133.60000000000002"/>
        <n v="135.9"/>
        <n v="139.25"/>
        <n v="134.15"/>
        <n v="136.57499999999999"/>
        <n v="140.57500000000002"/>
        <n v="134.77499999999998"/>
        <n v="138.15"/>
        <n v="141.625"/>
        <n v="135.02499999999998"/>
        <n v="143.30000000000001"/>
        <n v="135.17500000000001"/>
        <n v="138.97500000000002"/>
        <n v="143.32499999999999"/>
        <n v="135.5"/>
        <n v="139.15"/>
        <n v="144"/>
        <n v="136.05000000000001"/>
        <n v="139.72499999999999"/>
        <n v="143.92500000000001"/>
        <n v="136.25"/>
        <n v="139.77500000000001"/>
        <n v="144.85"/>
        <n v="136.97499999999999"/>
        <n v="140.60000000000002"/>
        <n v="145.55000000000001"/>
        <n v="137.625"/>
        <n v="141.25"/>
        <n v="146.72499999999999"/>
        <n v="138.75"/>
        <n v="142.42500000000001"/>
        <n v="147.85000000000002"/>
        <n v="140"/>
        <n v="143.6"/>
        <n v="148.52500000000001"/>
        <n v="140.54999999999998"/>
        <n v="144.22499999999999"/>
        <n v="148.85"/>
        <n v="140.85"/>
        <n v="144.52499999999998"/>
        <n v="149.15"/>
        <n v="141.15"/>
        <n v="144.80000000000001"/>
        <n v="149.57499999999999"/>
        <n v="141.64999999999998"/>
        <n v="145.22499999999999"/>
        <n v="150.6"/>
        <n v="142.44999999999999"/>
        <n v="146.15000000000003"/>
        <n v="151.02500000000001"/>
        <n v="142.94999999999999"/>
        <n v="146.6"/>
        <n v="151.52499999999998"/>
        <n v="147.19999999999999"/>
        <e v="#DIV/0!"/>
        <n v="154.47499999999999"/>
        <n v="147.80000000000001"/>
        <n v="150.82499999999999"/>
        <n v="155.375"/>
        <n v="149.17500000000001"/>
        <n v="151.94999999999999"/>
        <n v="156.25"/>
        <n v="150.625"/>
        <n v="153.125"/>
        <n v="156.35"/>
        <n v="150.5"/>
        <n v="153.1"/>
        <n v="156.47499999999999"/>
        <n v="151.32499999999999"/>
        <n v="153.65"/>
        <n v="157.14999999999998"/>
        <n v="151.5"/>
        <n v="154.04999999999998"/>
        <n v="157.67500000000001"/>
        <n v="151.69999999999999"/>
        <n v="154.375"/>
        <n v="158.25"/>
        <n v="152.47500000000002"/>
        <n v="155.05000000000001"/>
        <n v="158"/>
        <n v="152.77500000000001"/>
        <n v="155.1"/>
        <n v="158.82500000000002"/>
        <n v="153.45000000000002"/>
        <n v="155.82499999999999"/>
        <n v="162"/>
        <n v="154.75"/>
        <n v="158.1"/>
        <n v="162.02500000000001"/>
        <n v="162.77500000000001"/>
        <n v="156.52500000000001"/>
        <n v="159.4"/>
        <n v="163.05000000000001"/>
        <n v="157.42500000000001"/>
        <n v="160.35"/>
        <n v="163.80000000000001"/>
        <n v="157.45000000000002"/>
        <n v="164.5"/>
        <n v="158.17500000000001"/>
        <n v="161.07500000000002"/>
        <n v="165.17500000000001"/>
        <n v="159.15"/>
        <n v="161.92500000000001"/>
        <n v="165.75"/>
        <n v="159.60000000000002"/>
        <n v="162.4"/>
        <n v="166.14999999999998"/>
        <n v="160.19999999999999"/>
        <n v="162.89999999999998"/>
        <n v="166.9"/>
        <n v="161.27500000000001"/>
        <n v="163.85"/>
        <n v="168.22500000000002"/>
        <n v="162.72499999999999"/>
        <n v="165.27499999999998"/>
        <n v="169.32499999999999"/>
        <n v="164.42500000000001"/>
        <n v="166.72499999999999"/>
        <n v="169.7"/>
        <n v="165.1"/>
        <n v="167.22499999999999"/>
        <n v="170.27500000000001"/>
        <n v="165.9"/>
        <n v="167.92500000000001"/>
        <n v="171.20000000000002"/>
        <n v="167.05"/>
        <n v="168.95"/>
        <n v="172.17500000000001"/>
        <n v="167.95000000000002"/>
        <n v="169.87499999999997"/>
        <n v="172.52499999999998"/>
        <n v="168.47500000000002"/>
        <n v="170.32500000000002"/>
        <n v="173.25"/>
        <n v="169.15"/>
        <n v="171.05"/>
        <n v="173.92500000000001"/>
        <n v="169.85000000000002"/>
        <n v="171.72499999999999"/>
        <n v="174.92500000000001"/>
        <n v="170.77500000000001"/>
        <n v="172.7"/>
        <n v="176.125"/>
        <n v="171.82499999999999"/>
        <n v="173.8"/>
        <n v="177.47500000000002"/>
        <n v="173.07499999999999"/>
        <n v="175.10000000000002"/>
        <n v="173.1"/>
        <n v="178.82499999999999"/>
        <n v="174.57499999999999"/>
        <n v="176.52499999999998"/>
        <n v="179.625"/>
        <n v="175.3"/>
        <n v="177.3"/>
      </sharedItems>
    </cacheField>
    <cacheField name="Average Housing Expences" numFmtId="164">
      <sharedItems containsSemiMixedTypes="0" containsString="0" containsNumber="1" minValue="102.55" maxValue="175.39999999999998"/>
    </cacheField>
    <cacheField name=" Average Food Expences " numFmtId="0">
      <sharedItems containsString="0" containsBlank="1" containsNumber="1" minValue="105.48571428571427" maxValue="181.37857142857141"/>
    </cacheField>
  </cacheFields>
  <extLst>
    <ext xmlns:x14="http://schemas.microsoft.com/office/spreadsheetml/2009/9/main" uri="{725AE2AE-9491-48be-B2B4-4EB974FC3084}">
      <x14:pivotCacheDefinition pivotCacheId="4877826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4.706277199075" createdVersion="8" refreshedVersion="8" minRefreshableVersion="3" recordCount="36" xr:uid="{DF8AD390-1FED-445E-AE0C-45767FC1D265}">
  <cacheSource type="worksheet">
    <worksheetSource ref="A1:BD37" sheet="solution 3 "/>
  </cacheSource>
  <cacheFields count="56">
    <cacheField name="Sector" numFmtId="0">
      <sharedItems count="3">
        <s v="Rural"/>
        <s v="Urban"/>
        <s v="Rural+Urban"/>
      </sharedItems>
    </cacheField>
    <cacheField name="Year" numFmtId="0">
      <sharedItems containsSemiMixedTypes="0" containsString="0" containsNumber="1" containsInteger="1" minValue="2022" maxValue="2023"/>
    </cacheField>
    <cacheField name="Month" numFmtId="0">
      <sharedItems/>
    </cacheField>
    <cacheField name="short month and year  " numFmtId="0">
      <sharedItems count="12">
        <s v="Jun-22"/>
        <s v="Jul-22"/>
        <s v="Aug-22"/>
        <s v="Sep-22"/>
        <s v="Oct-22"/>
        <s v="Nov-22"/>
        <s v="Dec-22"/>
        <s v="Jan-23"/>
        <s v="Feb-23"/>
        <s v="Mar-23"/>
        <s v="Apr-23"/>
        <s v="May-23"/>
      </sharedItems>
    </cacheField>
    <cacheField name="date " numFmtId="14">
      <sharedItems containsSemiMixedTypes="0" containsNonDate="0" containsDate="1" containsString="0" minDate="2022-06-01T00:00:00" maxDate="2023-05-02T00:00:00"/>
    </cacheField>
    <cacheField name="Pre/Post Covid " numFmtId="0">
      <sharedItems/>
    </cacheField>
    <cacheField name="Cereals and products" numFmtId="0">
      <sharedItems containsSemiMixedTypes="0" containsString="0" containsNumber="1" minValue="153.80000000000001" maxValue="174.8"/>
    </cacheField>
    <cacheField name="% change of cereals and product " numFmtId="0">
      <sharedItems containsString="0" containsBlank="1" containsNumber="1" minValue="-5.737234652897303E-3" maxValue="3.0805687203791399E-2"/>
    </cacheField>
    <cacheField name="Meat and fish" numFmtId="0">
      <sharedItems containsSemiMixedTypes="0" containsString="0" containsNumber="1" minValue="204.1" maxValue="223.4"/>
    </cacheField>
    <cacheField name="% change of meat" numFmtId="0">
      <sharedItems containsString="0" containsBlank="1" containsNumber="1" minValue="-3.1783681214421329E-2" maxValue="2.6672905942910705E-2"/>
    </cacheField>
    <cacheField name="Egg" numFmtId="0">
      <sharedItems containsSemiMixedTypes="0" containsString="0" containsNumber="1" minValue="167.9" maxValue="197"/>
    </cacheField>
    <cacheField name="% change of egg" numFmtId="0">
      <sharedItems containsString="0" containsBlank="1" containsNumber="1" minValue="-0.10050761421319802" maxValue="6.5735892961023751E-2"/>
    </cacheField>
    <cacheField name="Milk and products" numFmtId="0">
      <sharedItems containsSemiMixedTypes="0" containsString="0" containsNumber="1" minValue="165.4" maxValue="179.6"/>
    </cacheField>
    <cacheField name="% change of milk and product " numFmtId="0">
      <sharedItems containsString="0" containsBlank="1" containsNumber="1" minValue="0" maxValue="1.5490533562822654E-2"/>
    </cacheField>
    <cacheField name="Oils and fats" numFmtId="0">
      <sharedItems containsSemiMixedTypes="0" containsString="0" containsNumber="1" minValue="164.4" maxValue="208.1"/>
    </cacheField>
    <cacheField name="% change of oil and fats " numFmtId="0">
      <sharedItems containsString="0" containsBlank="1" containsNumber="1" minValue="-4.7767393561786026E-2" maxValue="1.2943162633652288E-2"/>
    </cacheField>
    <cacheField name="Fruits" numFmtId="0">
      <sharedItems containsSemiMixedTypes="0" containsString="0" containsNumber="1" minValue="156.30000000000001" maxValue="179.5"/>
    </cacheField>
    <cacheField name="% change of fruits" numFmtId="0">
      <sharedItems containsString="0" containsBlank="1" containsNumber="1" minValue="-5.4206662902315045E-2" maxValue="7.2274143302180655E-2"/>
    </cacheField>
    <cacheField name="Vegetables" numFmtId="0">
      <sharedItems containsSemiMixedTypes="0" containsString="0" containsNumber="1" minValue="140.9" maxValue="228.6"/>
    </cacheField>
    <cacheField name="% change of vegetable" numFmtId="0">
      <sharedItems containsString="0" containsBlank="1" containsNumber="1" minValue="-0.1304136253041363" maxValue="4.4657998869417778E-2"/>
    </cacheField>
    <cacheField name="Pulses and products" numFmtId="0">
      <sharedItems containsSemiMixedTypes="0" containsString="0" containsNumber="1" minValue="163.6" maxValue="176.9"/>
    </cacheField>
    <cacheField name="% change of pulses and products" numFmtId="0">
      <sharedItems containsString="0" containsBlank="1" containsNumber="1" minValue="-1.7574692442881251E-3" maxValue="2.0121951219512265E-2"/>
    </cacheField>
    <cacheField name="Sugar and Confectionery" numFmtId="0">
      <sharedItems containsSemiMixedTypes="0" containsString="0" containsNumber="1" minValue="119.1" maxValue="124.2"/>
    </cacheField>
    <cacheField name="% change of sugar and conf" numFmtId="0">
      <sharedItems containsString="0" containsBlank="1" containsNumber="1" minValue="-9.9750623441396749E-3" maxValue="1.2458471760797342E-2"/>
    </cacheField>
    <cacheField name="Spices" numFmtId="0">
      <sharedItems containsSemiMixedTypes="0" containsString="0" containsNumber="1" minValue="183.5" maxValue="221"/>
    </cacheField>
    <cacheField name="% change of spices" numFmtId="0">
      <sharedItems containsString="0" containsBlank="1" containsNumber="1" minValue="0" maxValue="2.5522041763341066E-2"/>
    </cacheField>
    <cacheField name="Non-alcoholic beverages" numFmtId="0">
      <sharedItems containsSemiMixedTypes="0" containsString="0" containsNumber="1" minValue="159.1" maxValue="178.7"/>
    </cacheField>
    <cacheField name="% change of non alcohol" numFmtId="0">
      <sharedItems containsString="0" containsBlank="1" containsNumber="1" minValue="0" maxValue="7.3304825901039528E-3"/>
    </cacheField>
    <cacheField name="Prepared meals, snacks, sweets etc." numFmtId="0">
      <sharedItems containsSemiMixedTypes="0" containsString="0" containsNumber="1" minValue="181.9" maxValue="197.7"/>
    </cacheField>
    <cacheField name="% change of prepared " numFmtId="0">
      <sharedItems containsString="0" containsBlank="1" containsNumber="1" minValue="0" maxValue="1.1837364899639644E-2"/>
    </cacheField>
    <cacheField name="Food and beverages" numFmtId="0">
      <sharedItems containsSemiMixedTypes="0" containsString="0" containsNumber="1" minValue="172.4" maxValue="183.3"/>
    </cacheField>
    <cacheField name="% change of food and beverage " numFmtId="0">
      <sharedItems containsString="0" containsBlank="1" containsNumber="1" minValue="-1.4892443463872128E-2" maxValue="1.0826210826210859E-2"/>
    </cacheField>
    <cacheField name="Pan, tobacco and intoxicants" numFmtId="0">
      <sharedItems containsSemiMixedTypes="0" containsString="0" containsNumber="1" minValue="192.9" maxValue="204.2"/>
    </cacheField>
    <cacheField name="% change of pan ,tobacoo" numFmtId="0">
      <sharedItems containsString="0" containsBlank="1" containsNumber="1" minValue="0" maxValue="7.1102082275266917E-3"/>
    </cacheField>
    <cacheField name="Clothing" numFmtId="0">
      <sharedItems containsSemiMixedTypes="0" containsString="0" containsNumber="1" minValue="171.6" maxValue="191.2"/>
    </cacheField>
    <cacheField name="Footwear" numFmtId="0">
      <sharedItems containsSemiMixedTypes="0" containsString="0" containsNumber="1" minValue="157.4" maxValue="187.9"/>
    </cacheField>
    <cacheField name="Clothing and footwear" numFmtId="0">
      <sharedItems containsSemiMixedTypes="0" containsString="0" containsNumber="1" minValue="169.4" maxValue="190.8"/>
    </cacheField>
    <cacheField name="Housing" numFmtId="0">
      <sharedItems containsSemiMixedTypes="0" containsString="0" containsNumber="1" minValue="139.27096774193564" maxValue="175.6"/>
    </cacheField>
    <cacheField name="Fuel and light" numFmtId="0">
      <sharedItems containsSemiMixedTypes="0" containsString="0" containsNumber="1" minValue="174.9" maxValue="183.4"/>
    </cacheField>
    <cacheField name="Household goods and services" numFmtId="0">
      <sharedItems containsSemiMixedTypes="0" containsString="0" containsNumber="1" minValue="162.1" maxValue="179.8"/>
    </cacheField>
    <cacheField name="Health" numFmtId="0">
      <sharedItems containsSemiMixedTypes="0" containsString="0" containsNumber="1" minValue="170.9" maxValue="187.8"/>
    </cacheField>
    <cacheField name="Transport and communication" numFmtId="0">
      <sharedItems containsSemiMixedTypes="0" containsString="0" containsNumber="1" minValue="157.19999999999999" maxValue="169.7"/>
    </cacheField>
    <cacheField name="Recreation and amusement" numFmtId="0">
      <sharedItems containsSemiMixedTypes="0" containsString="0" containsNumber="1" minValue="164.1" maxValue="173.8"/>
    </cacheField>
    <cacheField name="Education" numFmtId="0">
      <sharedItems containsSemiMixedTypes="0" containsString="0" containsNumber="1" minValue="166.5" maxValue="180.3"/>
    </cacheField>
    <cacheField name="Personal care and effects" numFmtId="0">
      <sharedItems containsSemiMixedTypes="0" containsString="0" containsNumber="1" minValue="169.2" maxValue="185.6"/>
    </cacheField>
    <cacheField name="Miscellaneous" numFmtId="0">
      <sharedItems containsSemiMixedTypes="0" containsString="0" containsNumber="1" minValue="163.80000000000001" maxValue="179.5"/>
    </cacheField>
    <cacheField name="General index" numFmtId="0">
      <sharedItems containsSemiMixedTypes="0" containsString="0" containsNumber="1" minValue="171.4" maxValue="179.8"/>
    </cacheField>
    <cacheField name="Total Expences " numFmtId="164">
      <sharedItems containsSemiMixedTypes="0" containsString="0" containsNumber="1" minValue="4310.3" maxValue="4468.2989030928438"/>
    </cacheField>
    <cacheField name="sum of others " numFmtId="164">
      <sharedItems containsSemiMixedTypes="0" containsString="0" containsNumber="1" minValue="663.6" maxValue="718.5"/>
    </cacheField>
    <cacheField name="sum of clothing " numFmtId="164">
      <sharedItems containsSemiMixedTypes="0" containsString="0" containsNumber="1" minValue="329" maxValue="379.1"/>
    </cacheField>
    <cacheField name="Sum Housing Exepences" numFmtId="164">
      <sharedItems containsSemiMixedTypes="0" containsString="0" containsNumber="1" minValue="309.57096774193565" maxValue="350.79999999999995"/>
    </cacheField>
    <cacheField name="Sum of food expences" numFmtId="164">
      <sharedItems containsSemiMixedTypes="0" containsString="0" containsNumber="1" minValue="2441.2000000000003" maxValue="2539.3910064157244"/>
    </cacheField>
    <cacheField name="Average Other Expences " numFmtId="164">
      <sharedItems containsSemiMixedTypes="0" containsString="0" containsNumber="1" minValue="165.9" maxValue="179.625"/>
    </cacheField>
    <cacheField name="Average Housing Expences" numFmtId="164">
      <sharedItems containsSemiMixedTypes="0" containsString="0" containsNumber="1" minValue="154.78548387096782" maxValue="175.39999999999998"/>
    </cacheField>
    <cacheField name=" Average Food Expences " numFmtId="164">
      <sharedItems containsSemiMixedTypes="0" containsString="0" containsNumber="1" minValue="174.37142857142859" maxValue="181.37857142857141"/>
    </cacheField>
    <cacheField name="Mom Change %" numFmtId="0">
      <sharedItems containsString="0" containsBlank="1" containsNumber="1" minValue="-1.2365612570393206E-2" maxValue="1.9553521239861388E-2"/>
    </cacheField>
  </cacheFields>
  <extLst>
    <ext xmlns:x14="http://schemas.microsoft.com/office/spreadsheetml/2009/9/main" uri="{725AE2AE-9491-48be-B2B4-4EB974FC3084}">
      <x14:pivotCacheDefinition pivotCacheId="147657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s v="Jan-13"/>
    <d v="2013-01-01T00:00:00"/>
    <x v="0"/>
    <n v="107.5"/>
    <n v="106.3"/>
    <n v="108.1"/>
    <n v="104.9"/>
    <n v="106.1"/>
    <n v="103.9"/>
    <x v="0"/>
    <n v="106.1"/>
    <n v="106.8"/>
    <n v="103.1"/>
    <n v="104.8"/>
    <n v="106.7"/>
    <n v="105.5"/>
    <n v="105.1"/>
    <n v="106.5"/>
    <n v="105.8"/>
    <n v="106.4"/>
    <n v="139.27096774193564"/>
    <n v="105.5"/>
    <n v="104.8"/>
    <n v="104"/>
    <n v="103.3"/>
    <n v="103.4"/>
    <n v="103.8"/>
    <n v="104.7"/>
    <n v="104"/>
    <n v="105.1"/>
    <n v="2661.8709677419356"/>
    <n v="415.9"/>
    <n v="212.3"/>
    <n v="244.07096774193565"/>
    <n v="1476.7999999999997"/>
    <x v="0"/>
    <n v="122.03548387096782"/>
    <n v="105.48571428571427"/>
  </r>
  <r>
    <x v="1"/>
    <x v="0"/>
    <x v="0"/>
    <s v="Jan-13"/>
    <d v="2013-01-01T00:00:00"/>
    <x v="0"/>
    <n v="110.5"/>
    <n v="109.1"/>
    <n v="113"/>
    <n v="103.6"/>
    <n v="103.4"/>
    <n v="102.3"/>
    <x v="1"/>
    <n v="105.8"/>
    <n v="105.1"/>
    <n v="101.8"/>
    <n v="105.1"/>
    <n v="107.9"/>
    <n v="105.9"/>
    <n v="105.2"/>
    <n v="105.9"/>
    <n v="105"/>
    <n v="105.8"/>
    <n v="100.3"/>
    <n v="105.4"/>
    <n v="104.8"/>
    <n v="104.1"/>
    <n v="103.2"/>
    <n v="102.9"/>
    <n v="103.5"/>
    <n v="104.3"/>
    <n v="103.7"/>
    <n v="104"/>
    <n v="2624.7"/>
    <n v="414.4"/>
    <n v="210.9"/>
    <n v="205.1"/>
    <n v="1481.6000000000001"/>
    <x v="1"/>
    <n v="102.55"/>
    <n v="105.82857142857144"/>
  </r>
  <r>
    <x v="2"/>
    <x v="0"/>
    <x v="0"/>
    <s v="Jan-13"/>
    <d v="2013-01-01T00:00:00"/>
    <x v="0"/>
    <n v="108.4"/>
    <n v="107.3"/>
    <n v="110"/>
    <n v="104.4"/>
    <n v="105.1"/>
    <n v="103.2"/>
    <x v="2"/>
    <n v="106"/>
    <n v="106.2"/>
    <n v="102.7"/>
    <n v="104.9"/>
    <n v="107.3"/>
    <n v="105.6"/>
    <n v="105.1"/>
    <n v="106.3"/>
    <n v="105.5"/>
    <n v="106.2"/>
    <n v="100.3"/>
    <n v="105.5"/>
    <n v="104.8"/>
    <n v="104"/>
    <n v="103.2"/>
    <n v="103.1"/>
    <n v="103.6"/>
    <n v="104.5"/>
    <n v="103.9"/>
    <n v="104.6"/>
    <n v="2623.1000000000004"/>
    <n v="415.1"/>
    <n v="211.8"/>
    <n v="205.1"/>
    <n v="1478.4"/>
    <x v="2"/>
    <n v="102.55"/>
    <n v="105.60000000000001"/>
  </r>
  <r>
    <x v="0"/>
    <x v="0"/>
    <x v="1"/>
    <s v="Feb-13"/>
    <d v="2013-02-01T00:00:00"/>
    <x v="0"/>
    <n v="109.2"/>
    <n v="108.7"/>
    <n v="110.2"/>
    <n v="105.4"/>
    <n v="106.7"/>
    <n v="104"/>
    <x v="3"/>
    <n v="105.9"/>
    <n v="105.7"/>
    <n v="103.1"/>
    <n v="105.1"/>
    <n v="107.7"/>
    <n v="106.3"/>
    <n v="105.6"/>
    <n v="107.1"/>
    <n v="106.3"/>
    <n v="107"/>
    <n v="139.27096774193564"/>
    <n v="106.2"/>
    <n v="105.2"/>
    <n v="104.4"/>
    <n v="103.9"/>
    <n v="104"/>
    <n v="104.1"/>
    <n v="104.6"/>
    <n v="104.4"/>
    <n v="105.8"/>
    <n v="2675.470967741936"/>
    <n v="417.1"/>
    <n v="213.39999999999998"/>
    <n v="244.47096774193562"/>
    <n v="1485.9999999999998"/>
    <x v="3"/>
    <n v="122.23548387096781"/>
    <n v="106.14285714285712"/>
  </r>
  <r>
    <x v="1"/>
    <x v="0"/>
    <x v="1"/>
    <s v="Feb-13"/>
    <d v="2013-02-01T00:00:00"/>
    <x v="0"/>
    <n v="112.9"/>
    <n v="112.9"/>
    <n v="116.9"/>
    <n v="104"/>
    <n v="103.5"/>
    <n v="103.1"/>
    <x v="4"/>
    <n v="104.1"/>
    <n v="103.8"/>
    <n v="102.3"/>
    <n v="106"/>
    <n v="109"/>
    <n v="107.2"/>
    <n v="106"/>
    <n v="106.6"/>
    <n v="105.5"/>
    <n v="106.4"/>
    <n v="100.4"/>
    <n v="105.7"/>
    <n v="105.2"/>
    <n v="104.7"/>
    <n v="104.4"/>
    <n v="103.3"/>
    <n v="103.7"/>
    <n v="104.3"/>
    <n v="104.3"/>
    <n v="104.7"/>
    <n v="2644.6999999999994"/>
    <n v="415.6"/>
    <n v="212.1"/>
    <n v="205.60000000000002"/>
    <n v="1496.6000000000001"/>
    <x v="4"/>
    <n v="102.80000000000001"/>
    <n v="106.9"/>
  </r>
  <r>
    <x v="2"/>
    <x v="0"/>
    <x v="1"/>
    <s v="Feb-13"/>
    <d v="2013-02-01T00:00:00"/>
    <x v="0"/>
    <n v="110.4"/>
    <n v="110.2"/>
    <n v="112.8"/>
    <n v="104.9"/>
    <n v="105.5"/>
    <n v="103.6"/>
    <x v="5"/>
    <n v="105.3"/>
    <n v="105.1"/>
    <n v="102.8"/>
    <n v="105.5"/>
    <n v="108.3"/>
    <n v="106.6"/>
    <n v="105.7"/>
    <n v="106.9"/>
    <n v="106"/>
    <n v="106.8"/>
    <n v="100.4"/>
    <n v="106"/>
    <n v="105.2"/>
    <n v="104.5"/>
    <n v="104.2"/>
    <n v="103.6"/>
    <n v="103.9"/>
    <n v="104.5"/>
    <n v="104.4"/>
    <n v="105.3"/>
    <n v="2639.5"/>
    <n v="416.4"/>
    <n v="212.9"/>
    <n v="205.60000000000002"/>
    <n v="1489.9"/>
    <x v="5"/>
    <n v="102.80000000000001"/>
    <n v="106.42142857142858"/>
  </r>
  <r>
    <x v="0"/>
    <x v="0"/>
    <x v="2"/>
    <s v="Mar-13"/>
    <d v="2013-03-01T00:00:00"/>
    <x v="0"/>
    <n v="110.2"/>
    <n v="108.8"/>
    <n v="109.9"/>
    <n v="105.6"/>
    <n v="106.2"/>
    <n v="105.7"/>
    <x v="6"/>
    <n v="105.7"/>
    <n v="105"/>
    <n v="103.3"/>
    <n v="105.6"/>
    <n v="108.2"/>
    <n v="106.6"/>
    <n v="106.5"/>
    <n v="107.6"/>
    <n v="106.8"/>
    <n v="107.5"/>
    <n v="139.27096774193564"/>
    <n v="106.1"/>
    <n v="105.6"/>
    <n v="104.7"/>
    <n v="104.6"/>
    <n v="104"/>
    <n v="104.3"/>
    <n v="104.3"/>
    <n v="104.6"/>
    <n v="106"/>
    <n v="2680.5709677419354"/>
    <n v="417.2"/>
    <n v="214.39999999999998"/>
    <n v="244.87096774193563"/>
    <n v="1488.7"/>
    <x v="6"/>
    <n v="122.43548387096781"/>
    <n v="106.33571428571429"/>
  </r>
  <r>
    <x v="1"/>
    <x v="0"/>
    <x v="2"/>
    <s v="Mar-13"/>
    <d v="2013-03-01T00:00:00"/>
    <x v="0"/>
    <n v="113.9"/>
    <n v="111.4"/>
    <n v="113.2"/>
    <n v="104.3"/>
    <n v="102.7"/>
    <n v="104.9"/>
    <x v="7"/>
    <n v="103.5"/>
    <n v="102.6"/>
    <n v="102.4"/>
    <n v="107"/>
    <n v="109.8"/>
    <n v="107.3"/>
    <n v="106.8"/>
    <n v="107.2"/>
    <n v="106"/>
    <n v="107"/>
    <n v="100.4"/>
    <n v="106"/>
    <n v="105.7"/>
    <n v="105.2"/>
    <n v="105.5"/>
    <n v="103.5"/>
    <n v="103.8"/>
    <n v="104.2"/>
    <n v="104.9"/>
    <n v="105"/>
    <n v="2646.0000000000005"/>
    <n v="416.40000000000003"/>
    <n v="213.2"/>
    <n v="206.10000000000002"/>
    <n v="1493.6"/>
    <x v="7"/>
    <n v="103.05000000000001"/>
    <n v="106.68571428571428"/>
  </r>
  <r>
    <x v="2"/>
    <x v="0"/>
    <x v="2"/>
    <s v="Mar-13"/>
    <d v="2013-03-01T00:00:00"/>
    <x v="0"/>
    <n v="111.4"/>
    <n v="109.7"/>
    <n v="111.2"/>
    <n v="105.1"/>
    <n v="104.9"/>
    <n v="105.3"/>
    <x v="2"/>
    <n v="105"/>
    <n v="104.2"/>
    <n v="103"/>
    <n v="106.2"/>
    <n v="108.9"/>
    <n v="106.9"/>
    <n v="106.6"/>
    <n v="107.4"/>
    <n v="106.5"/>
    <n v="107.3"/>
    <n v="100.4"/>
    <n v="106.1"/>
    <n v="105.6"/>
    <n v="104.9"/>
    <n v="105.1"/>
    <n v="103.7"/>
    <n v="104"/>
    <n v="104.3"/>
    <n v="104.7"/>
    <n v="105.5"/>
    <n v="2643.3"/>
    <n v="416.7"/>
    <n v="213.9"/>
    <n v="206"/>
    <n v="1490.6000000000001"/>
    <x v="8"/>
    <n v="103"/>
    <n v="106.47142857142858"/>
  </r>
  <r>
    <x v="0"/>
    <x v="0"/>
    <x v="3"/>
    <s v="Apr-13"/>
    <d v="2013-04-01T00:00:00"/>
    <x v="0"/>
    <n v="110.2"/>
    <n v="109.5"/>
    <n v="106.9"/>
    <n v="106.3"/>
    <n v="105.7"/>
    <n v="108.3"/>
    <x v="8"/>
    <n v="105.7"/>
    <n v="104.2"/>
    <n v="103.2"/>
    <n v="106.5"/>
    <n v="108.8"/>
    <n v="107.1"/>
    <n v="107.1"/>
    <n v="108.1"/>
    <n v="107.4"/>
    <n v="108"/>
    <n v="139.27096774193564"/>
    <n v="106.5"/>
    <n v="106.1"/>
    <n v="105.1"/>
    <n v="104.4"/>
    <n v="104.5"/>
    <n v="104.8"/>
    <n v="102.7"/>
    <n v="104.6"/>
    <n v="106.4"/>
    <n v="2686.3709677419356"/>
    <n v="416.6"/>
    <n v="215.5"/>
    <n v="245.37096774193563"/>
    <n v="1492.8999999999999"/>
    <x v="9"/>
    <n v="122.68548387096781"/>
    <n v="106.63571428571427"/>
  </r>
  <r>
    <x v="1"/>
    <x v="0"/>
    <x v="3"/>
    <s v="Apr-13"/>
    <d v="2013-04-01T00:00:00"/>
    <x v="0"/>
    <n v="114.6"/>
    <n v="113.4"/>
    <n v="106"/>
    <n v="104.7"/>
    <n v="102.1"/>
    <n v="109.5"/>
    <x v="9"/>
    <n v="104.6"/>
    <n v="102"/>
    <n v="103.5"/>
    <n v="108.2"/>
    <n v="110.6"/>
    <n v="108.8"/>
    <n v="108.5"/>
    <n v="107.9"/>
    <n v="106.4"/>
    <n v="107.7"/>
    <n v="100.5"/>
    <n v="106.4"/>
    <n v="106.5"/>
    <n v="105.7"/>
    <n v="105"/>
    <n v="104"/>
    <n v="105.2"/>
    <n v="103.2"/>
    <n v="105.1"/>
    <n v="105.7"/>
    <n v="2662.1000000000004"/>
    <n v="417.5"/>
    <n v="214.3"/>
    <n v="207"/>
    <n v="1506.1999999999998"/>
    <x v="10"/>
    <n v="103.5"/>
    <n v="107.58571428571427"/>
  </r>
  <r>
    <x v="2"/>
    <x v="0"/>
    <x v="3"/>
    <s v="Apr-13"/>
    <d v="2013-04-01T00:00:00"/>
    <x v="0"/>
    <n v="111.6"/>
    <n v="110.9"/>
    <n v="106.6"/>
    <n v="105.7"/>
    <n v="104.4"/>
    <n v="108.9"/>
    <x v="10"/>
    <n v="105.3"/>
    <n v="103.5"/>
    <n v="103.3"/>
    <n v="107.2"/>
    <n v="109.6"/>
    <n v="107.7"/>
    <n v="107.5"/>
    <n v="108"/>
    <n v="107"/>
    <n v="107.9"/>
    <n v="100.5"/>
    <n v="106.5"/>
    <n v="106.3"/>
    <n v="105.3"/>
    <n v="104.7"/>
    <n v="104.2"/>
    <n v="105"/>
    <n v="102.9"/>
    <n v="104.8"/>
    <n v="106.1"/>
    <n v="2652.8999999999996"/>
    <n v="416.9"/>
    <n v="215"/>
    <n v="206.8"/>
    <n v="1497.7"/>
    <x v="11"/>
    <n v="103.4"/>
    <n v="106.97857142857143"/>
  </r>
  <r>
    <x v="0"/>
    <x v="0"/>
    <x v="4"/>
    <s v="May-13"/>
    <d v="2013-05-01T00:00:00"/>
    <x v="0"/>
    <n v="110.9"/>
    <n v="109.8"/>
    <n v="105.9"/>
    <n v="107.5"/>
    <n v="105.3"/>
    <n v="108.1"/>
    <x v="11"/>
    <n v="106.1"/>
    <n v="103.7"/>
    <n v="104"/>
    <n v="107.4"/>
    <n v="109.9"/>
    <n v="108.1"/>
    <n v="108.1"/>
    <n v="108.8"/>
    <n v="107.9"/>
    <n v="108.6"/>
    <n v="139.27096774193564"/>
    <n v="107.5"/>
    <n v="106.8"/>
    <n v="105.7"/>
    <n v="104.1"/>
    <n v="105"/>
    <n v="105.5"/>
    <n v="102.1"/>
    <n v="104.8"/>
    <n v="107.2"/>
    <n v="2699.5709677419359"/>
    <n v="417.4"/>
    <n v="216.7"/>
    <n v="246.07096774193565"/>
    <n v="1502.1"/>
    <x v="12"/>
    <n v="123.03548387096782"/>
    <n v="107.29285714285713"/>
  </r>
  <r>
    <x v="1"/>
    <x v="0"/>
    <x v="4"/>
    <s v="May-13"/>
    <d v="2013-05-01T00:00:00"/>
    <x v="0"/>
    <n v="115.4"/>
    <n v="114.2"/>
    <n v="102.7"/>
    <n v="105.5"/>
    <n v="101.5"/>
    <n v="110.6"/>
    <x v="12"/>
    <n v="105.2"/>
    <n v="101.9"/>
    <n v="105"/>
    <n v="109.1"/>
    <n v="111.3"/>
    <n v="111.1"/>
    <n v="109.8"/>
    <n v="108.5"/>
    <n v="106.7"/>
    <n v="108.3"/>
    <n v="100.5"/>
    <n v="107.2"/>
    <n v="107.1"/>
    <n v="106.2"/>
    <n v="103.9"/>
    <n v="104.6"/>
    <n v="105.7"/>
    <n v="102.6"/>
    <n v="104.9"/>
    <n v="106.6"/>
    <n v="2684.9000000000005"/>
    <n v="417.79999999999995"/>
    <n v="215.2"/>
    <n v="207.6"/>
    <n v="1526.9999999999998"/>
    <x v="13"/>
    <n v="103.8"/>
    <n v="109.07142857142856"/>
  </r>
  <r>
    <x v="2"/>
    <x v="0"/>
    <x v="4"/>
    <s v="May-13"/>
    <d v="2013-05-01T00:00:00"/>
    <x v="0"/>
    <n v="112.3"/>
    <n v="111.3"/>
    <n v="104.7"/>
    <n v="106.8"/>
    <n v="103.9"/>
    <n v="109.3"/>
    <x v="13"/>
    <n v="105.8"/>
    <n v="103.1"/>
    <n v="104.3"/>
    <n v="108.1"/>
    <n v="110.5"/>
    <n v="109.2"/>
    <n v="108.6"/>
    <n v="108.7"/>
    <n v="107.4"/>
    <n v="108.5"/>
    <n v="100.5"/>
    <n v="107.4"/>
    <n v="106.9"/>
    <n v="105.9"/>
    <n v="104"/>
    <n v="104.8"/>
    <n v="105.6"/>
    <n v="102.3"/>
    <n v="104.8"/>
    <n v="106.9"/>
    <n v="2669.0999999999995"/>
    <n v="417.5"/>
    <n v="216.10000000000002"/>
    <n v="207.4"/>
    <n v="1510.7999999999997"/>
    <x v="10"/>
    <n v="103.7"/>
    <n v="107.9142857142857"/>
  </r>
  <r>
    <x v="0"/>
    <x v="0"/>
    <x v="5"/>
    <s v="Jun-13"/>
    <d v="2013-06-01T00:00:00"/>
    <x v="0"/>
    <n v="112.3"/>
    <n v="112.1"/>
    <n v="108.1"/>
    <n v="108.3"/>
    <n v="105.9"/>
    <n v="109.2"/>
    <x v="14"/>
    <n v="106.8"/>
    <n v="104.1"/>
    <n v="105.4"/>
    <n v="108.2"/>
    <n v="111"/>
    <n v="110.6"/>
    <n v="109"/>
    <n v="109.7"/>
    <n v="108.8"/>
    <n v="109.5"/>
    <n v="139.27096774193564"/>
    <n v="108.5"/>
    <n v="107.5"/>
    <n v="106.3"/>
    <n v="105"/>
    <n v="105.6"/>
    <n v="106.5"/>
    <n v="102.5"/>
    <n v="105.5"/>
    <n v="108.9"/>
    <n v="2734.1709677419353"/>
    <n v="420.1"/>
    <n v="218.5"/>
    <n v="246.77096774193564"/>
    <n v="1529"/>
    <x v="14"/>
    <n v="123.38548387096782"/>
    <n v="109.21428571428571"/>
  </r>
  <r>
    <x v="1"/>
    <x v="0"/>
    <x v="5"/>
    <s v="Jun-13"/>
    <d v="2013-06-01T00:00:00"/>
    <x v="0"/>
    <n v="117"/>
    <n v="120.1"/>
    <n v="112.5"/>
    <n v="107.3"/>
    <n v="101.3"/>
    <n v="112.4"/>
    <x v="15"/>
    <n v="105.4"/>
    <n v="101.4"/>
    <n v="106.4"/>
    <n v="110"/>
    <n v="112.2"/>
    <n v="115"/>
    <n v="110.9"/>
    <n v="109.2"/>
    <n v="107.2"/>
    <n v="108.9"/>
    <n v="106.6"/>
    <n v="108"/>
    <n v="107.7"/>
    <n v="106.5"/>
    <n v="105.2"/>
    <n v="105.2"/>
    <n v="108.1"/>
    <n v="103.3"/>
    <n v="106.1"/>
    <n v="109.7"/>
    <n v="2748.5999999999995"/>
    <n v="422.7"/>
    <n v="216.4"/>
    <n v="214.3"/>
    <n v="1575.5000000000002"/>
    <x v="15"/>
    <n v="107.15"/>
    <n v="112.53571428571431"/>
  </r>
  <r>
    <x v="2"/>
    <x v="0"/>
    <x v="5"/>
    <s v="Jun-13"/>
    <d v="2013-06-01T00:00:00"/>
    <x v="0"/>
    <n v="113.8"/>
    <n v="114.9"/>
    <n v="109.8"/>
    <n v="107.9"/>
    <n v="104.2"/>
    <n v="110.7"/>
    <x v="16"/>
    <n v="106.3"/>
    <n v="103.2"/>
    <n v="105.7"/>
    <n v="109"/>
    <n v="111.6"/>
    <n v="112.2"/>
    <n v="109.5"/>
    <n v="109.5"/>
    <n v="108.1"/>
    <n v="109.3"/>
    <n v="106.6"/>
    <n v="108.3"/>
    <n v="107.6"/>
    <n v="106.4"/>
    <n v="105.1"/>
    <n v="105.4"/>
    <n v="107.4"/>
    <n v="102.8"/>
    <n v="105.8"/>
    <n v="109.3"/>
    <n v="2718.4999999999995"/>
    <n v="421.4"/>
    <n v="217.6"/>
    <n v="214.2"/>
    <n v="1545.5"/>
    <x v="16"/>
    <n v="107.1"/>
    <n v="110.39285714285714"/>
  </r>
  <r>
    <x v="0"/>
    <x v="0"/>
    <x v="6"/>
    <s v="Jul-13"/>
    <d v="2013-07-01T00:00:00"/>
    <x v="0"/>
    <n v="113.4"/>
    <n v="114.9"/>
    <n v="110.5"/>
    <n v="109.3"/>
    <n v="106.2"/>
    <n v="110.3"/>
    <x v="17"/>
    <n v="107.1"/>
    <n v="104.3"/>
    <n v="106.4"/>
    <n v="109.1"/>
    <n v="112.1"/>
    <n v="113.1"/>
    <n v="109.8"/>
    <n v="110.5"/>
    <n v="109.5"/>
    <n v="110.3"/>
    <n v="139.27096774193564"/>
    <n v="109.5"/>
    <n v="108.3"/>
    <n v="106.9"/>
    <n v="106.8"/>
    <n v="106.4"/>
    <n v="107.8"/>
    <n v="102.5"/>
    <n v="106.5"/>
    <n v="110.7"/>
    <n v="2769.6709677419353"/>
    <n v="423.20000000000005"/>
    <n v="220"/>
    <n v="247.57096774193565"/>
    <n v="1555.6999999999996"/>
    <x v="17"/>
    <n v="123.78548387096782"/>
    <n v="111.12142857142854"/>
  </r>
  <r>
    <x v="1"/>
    <x v="0"/>
    <x v="6"/>
    <s v="Jul-13"/>
    <d v="2013-07-01T00:00:00"/>
    <x v="0"/>
    <n v="117.8"/>
    <n v="119.2"/>
    <n v="114"/>
    <n v="108.3"/>
    <n v="101.1"/>
    <n v="113.2"/>
    <x v="18"/>
    <n v="105.1"/>
    <n v="101.3"/>
    <n v="107.5"/>
    <n v="110.4"/>
    <n v="113.1"/>
    <n v="117.5"/>
    <n v="111.7"/>
    <n v="109.8"/>
    <n v="107.8"/>
    <n v="109.5"/>
    <n v="107.7"/>
    <n v="108.6"/>
    <n v="108.1"/>
    <n v="107.1"/>
    <n v="107.3"/>
    <n v="105.9"/>
    <n v="110.1"/>
    <n v="103.2"/>
    <n v="107.3"/>
    <n v="111.4"/>
    <n v="2784"/>
    <n v="426.5"/>
    <n v="217.6"/>
    <n v="215.8"/>
    <n v="1601.1000000000001"/>
    <x v="18"/>
    <n v="107.9"/>
    <n v="114.36428571428573"/>
  </r>
  <r>
    <x v="2"/>
    <x v="0"/>
    <x v="6"/>
    <s v="Jul-13"/>
    <d v="2013-07-01T00:00:00"/>
    <x v="0"/>
    <n v="114.8"/>
    <n v="116.4"/>
    <n v="111.9"/>
    <n v="108.9"/>
    <n v="104.3"/>
    <n v="111.7"/>
    <x v="19"/>
    <n v="106.4"/>
    <n v="103.3"/>
    <n v="106.8"/>
    <n v="109.6"/>
    <n v="112.6"/>
    <n v="114.7"/>
    <n v="110.3"/>
    <n v="110.2"/>
    <n v="108.8"/>
    <n v="110"/>
    <n v="107.7"/>
    <n v="109.2"/>
    <n v="108.2"/>
    <n v="107"/>
    <n v="107.1"/>
    <n v="106.1"/>
    <n v="109.1"/>
    <n v="102.8"/>
    <n v="106.9"/>
    <n v="111"/>
    <n v="2754.8"/>
    <n v="424.9"/>
    <n v="219"/>
    <n v="215.9"/>
    <n v="1571.6999999999998"/>
    <x v="19"/>
    <n v="107.95"/>
    <n v="112.26428571428571"/>
  </r>
  <r>
    <x v="0"/>
    <x v="0"/>
    <x v="7"/>
    <s v="Aug-13"/>
    <d v="2013-08-01T00:00:00"/>
    <x v="0"/>
    <n v="114.3"/>
    <n v="115.4"/>
    <n v="111.1"/>
    <n v="110"/>
    <n v="106.4"/>
    <n v="110.8"/>
    <x v="20"/>
    <n v="107.4"/>
    <n v="104.1"/>
    <n v="106.9"/>
    <n v="109.7"/>
    <n v="112.6"/>
    <n v="114.9"/>
    <n v="110.7"/>
    <n v="111.3"/>
    <n v="110.2"/>
    <n v="111.1"/>
    <n v="139.27096774193564"/>
    <n v="109.9"/>
    <n v="108.7"/>
    <n v="107.5"/>
    <n v="107.8"/>
    <n v="106.8"/>
    <n v="108.7"/>
    <n v="105"/>
    <n v="107.5"/>
    <n v="112.1"/>
    <n v="2795.8709677419356"/>
    <n v="428"/>
    <n v="221.5"/>
    <n v="247.97096774193562"/>
    <n v="1573.2"/>
    <x v="20"/>
    <n v="123.98548387096781"/>
    <n v="112.37142857142858"/>
  </r>
  <r>
    <x v="1"/>
    <x v="0"/>
    <x v="7"/>
    <s v="Aug-13"/>
    <d v="2013-08-01T00:00:00"/>
    <x v="0"/>
    <n v="118.3"/>
    <n v="120.4"/>
    <n v="112.7"/>
    <n v="108.9"/>
    <n v="101.1"/>
    <n v="108.7"/>
    <x v="21"/>
    <n v="104.7"/>
    <n v="101"/>
    <n v="108.5"/>
    <n v="110.9"/>
    <n v="114.3"/>
    <n v="119.6"/>
    <n v="112.4"/>
    <n v="110.6"/>
    <n v="108.3"/>
    <n v="110.2"/>
    <n v="108.9"/>
    <n v="109.3"/>
    <n v="108.7"/>
    <n v="107.6"/>
    <n v="108.1"/>
    <n v="106.5"/>
    <n v="110.8"/>
    <n v="106"/>
    <n v="108.3"/>
    <n v="112.7"/>
    <n v="2811.6000000000004"/>
    <n v="431.6"/>
    <n v="218.89999999999998"/>
    <n v="217.60000000000002"/>
    <n v="1618.5000000000002"/>
    <x v="21"/>
    <n v="108.80000000000001"/>
    <n v="115.60714285714288"/>
  </r>
  <r>
    <x v="2"/>
    <x v="0"/>
    <x v="7"/>
    <s v="Aug-13"/>
    <d v="2013-08-01T00:00:00"/>
    <x v="0"/>
    <n v="115.6"/>
    <n v="117.2"/>
    <n v="111.7"/>
    <n v="109.6"/>
    <n v="104.5"/>
    <n v="109.8"/>
    <x v="22"/>
    <n v="106.5"/>
    <n v="103.1"/>
    <n v="107.4"/>
    <n v="110.2"/>
    <n v="113.4"/>
    <n v="116.6"/>
    <n v="111.2"/>
    <n v="111"/>
    <n v="109.4"/>
    <n v="110.7"/>
    <n v="108.9"/>
    <n v="109.7"/>
    <n v="108.7"/>
    <n v="107.5"/>
    <n v="108"/>
    <n v="106.6"/>
    <n v="109.9"/>
    <n v="105.4"/>
    <n v="107.9"/>
    <n v="112.4"/>
    <n v="2781.5999999999995"/>
    <n v="429.80000000000007"/>
    <n v="220.4"/>
    <n v="217.60000000000002"/>
    <n v="1588.6000000000001"/>
    <x v="22"/>
    <n v="108.80000000000001"/>
    <n v="113.47142857142858"/>
  </r>
  <r>
    <x v="0"/>
    <x v="0"/>
    <x v="8"/>
    <s v="Sep-13"/>
    <d v="2013-09-01T00:00:00"/>
    <x v="0"/>
    <n v="115.4"/>
    <n v="115.7"/>
    <n v="111.7"/>
    <n v="111"/>
    <n v="107.4"/>
    <n v="110.9"/>
    <x v="23"/>
    <n v="108.1"/>
    <n v="104.2"/>
    <n v="107.9"/>
    <n v="110.4"/>
    <n v="114"/>
    <n v="117.8"/>
    <n v="111.7"/>
    <n v="112.7"/>
    <n v="111.4"/>
    <n v="112.5"/>
    <n v="139.27096774193564"/>
    <n v="111.1"/>
    <n v="109.6"/>
    <n v="108.3"/>
    <n v="109.3"/>
    <n v="107.7"/>
    <n v="109.8"/>
    <n v="106.7"/>
    <n v="108.7"/>
    <n v="114.2"/>
    <n v="2834.7709677419361"/>
    <n v="432.9"/>
    <n v="224.10000000000002"/>
    <n v="248.87096774193563"/>
    <n v="1600.2000000000003"/>
    <x v="23"/>
    <n v="124.43548387096781"/>
    <n v="114.30000000000003"/>
  </r>
  <r>
    <x v="1"/>
    <x v="0"/>
    <x v="8"/>
    <s v="Sep-13"/>
    <d v="2013-09-01T00:00:00"/>
    <x v="0"/>
    <n v="118.6"/>
    <n v="119.1"/>
    <n v="113.2"/>
    <n v="109.6"/>
    <n v="101.7"/>
    <n v="103.2"/>
    <x v="24"/>
    <n v="105.1"/>
    <n v="100.8"/>
    <n v="109.1"/>
    <n v="111.1"/>
    <n v="115.4"/>
    <n v="119.2"/>
    <n v="112.9"/>
    <n v="111.4"/>
    <n v="109"/>
    <n v="111.1"/>
    <n v="109.7"/>
    <n v="109.5"/>
    <n v="109.6"/>
    <n v="107.9"/>
    <n v="110.4"/>
    <n v="107.4"/>
    <n v="111.2"/>
    <n v="106.9"/>
    <n v="109.4"/>
    <n v="113.2"/>
    <n v="2815.7"/>
    <n v="434.9"/>
    <n v="220.4"/>
    <n v="219.3"/>
    <n v="1613.3000000000002"/>
    <x v="24"/>
    <n v="109.65"/>
    <n v="115.23571428571429"/>
  </r>
  <r>
    <x v="2"/>
    <x v="0"/>
    <x v="8"/>
    <s v="Sep-13"/>
    <d v="2013-09-01T00:00:00"/>
    <x v="0"/>
    <n v="116.4"/>
    <n v="116.9"/>
    <n v="112.3"/>
    <n v="110.5"/>
    <n v="105.3"/>
    <n v="107.3"/>
    <x v="18"/>
    <n v="107.1"/>
    <n v="103.1"/>
    <n v="108.3"/>
    <n v="110.7"/>
    <n v="114.6"/>
    <n v="118.3"/>
    <n v="112"/>
    <n v="112.2"/>
    <n v="110.4"/>
    <n v="111.9"/>
    <n v="109.7"/>
    <n v="110.5"/>
    <n v="109.6"/>
    <n v="108.1"/>
    <n v="109.9"/>
    <n v="107.5"/>
    <n v="110.6"/>
    <n v="106.8"/>
    <n v="109"/>
    <n v="113.7"/>
    <n v="2807.9999999999995"/>
    <n v="433.9"/>
    <n v="222.60000000000002"/>
    <n v="219.3"/>
    <n v="1603.6999999999998"/>
    <x v="25"/>
    <n v="109.65"/>
    <n v="114.54999999999998"/>
  </r>
  <r>
    <x v="0"/>
    <x v="0"/>
    <x v="9"/>
    <s v="Oct-13"/>
    <d v="2013-10-01T00:00:00"/>
    <x v="0"/>
    <n v="116.3"/>
    <n v="115.4"/>
    <n v="112.6"/>
    <n v="111.7"/>
    <n v="107.7"/>
    <n v="113.2"/>
    <x v="25"/>
    <n v="108.3"/>
    <n v="103.9"/>
    <n v="108.2"/>
    <n v="111.1"/>
    <n v="114.9"/>
    <n v="119.8"/>
    <n v="112.2"/>
    <n v="113.6"/>
    <n v="112.3"/>
    <n v="113.4"/>
    <n v="139.27096774193564"/>
    <n v="111.6"/>
    <n v="110.4"/>
    <n v="108.9"/>
    <n v="109.3"/>
    <n v="108.3"/>
    <n v="110.2"/>
    <n v="107.5"/>
    <n v="109.1"/>
    <n v="115.5"/>
    <n v="2860.6709677419358"/>
    <n v="435.1"/>
    <n v="225.89999999999998"/>
    <n v="249.67096774193564"/>
    <n v="1620.2"/>
    <x v="26"/>
    <n v="124.83548387096782"/>
    <n v="115.72857142857143"/>
  </r>
  <r>
    <x v="1"/>
    <x v="0"/>
    <x v="9"/>
    <s v="Oct-13"/>
    <d v="2013-10-01T00:00:00"/>
    <x v="0"/>
    <n v="118.9"/>
    <n v="118.1"/>
    <n v="114.5"/>
    <n v="110.4"/>
    <n v="102.3"/>
    <n v="106.2"/>
    <x v="26"/>
    <n v="105.3"/>
    <n v="100.2"/>
    <n v="109.6"/>
    <n v="111.4"/>
    <n v="116"/>
    <n v="120.8"/>
    <n v="113.5"/>
    <n v="112.5"/>
    <n v="109.7"/>
    <n v="112"/>
    <n v="110.5"/>
    <n v="109.7"/>
    <n v="110.2"/>
    <n v="108.2"/>
    <n v="109.7"/>
    <n v="108"/>
    <n v="111.3"/>
    <n v="107.3"/>
    <n v="109.4"/>
    <n v="114"/>
    <n v="2837.2"/>
    <n v="436"/>
    <n v="222.2"/>
    <n v="220.7"/>
    <n v="1630.6999999999998"/>
    <x v="27"/>
    <n v="110.35"/>
    <n v="116.47857142857141"/>
  </r>
  <r>
    <x v="2"/>
    <x v="0"/>
    <x v="9"/>
    <s v="Oct-13"/>
    <d v="2013-10-01T00:00:00"/>
    <x v="0"/>
    <n v="117.1"/>
    <n v="116.3"/>
    <n v="113.3"/>
    <n v="111.2"/>
    <n v="105.7"/>
    <n v="109.9"/>
    <x v="27"/>
    <n v="107.3"/>
    <n v="102.7"/>
    <n v="108.7"/>
    <n v="111.2"/>
    <n v="115.4"/>
    <n v="120.2"/>
    <n v="112.5"/>
    <n v="113.2"/>
    <n v="111.2"/>
    <n v="112.8"/>
    <n v="110.5"/>
    <n v="110.9"/>
    <n v="110.3"/>
    <n v="108.6"/>
    <n v="109.5"/>
    <n v="108.1"/>
    <n v="110.8"/>
    <n v="107.4"/>
    <n v="109.2"/>
    <n v="114.8"/>
    <n v="2832.3999999999992"/>
    <n v="435.5"/>
    <n v="224.4"/>
    <n v="220.8"/>
    <n v="1622.7000000000003"/>
    <x v="28"/>
    <n v="110.4"/>
    <n v="115.90714285714287"/>
  </r>
  <r>
    <x v="0"/>
    <x v="0"/>
    <x v="10"/>
    <s v="Nov-13"/>
    <d v="2013-11-01T00:00:00"/>
    <x v="0"/>
    <n v="117.3"/>
    <n v="114.9"/>
    <n v="116.2"/>
    <n v="112.8"/>
    <n v="108.9"/>
    <n v="116.6"/>
    <x v="28"/>
    <n v="109.1"/>
    <n v="103.6"/>
    <n v="109"/>
    <n v="111.8"/>
    <n v="116"/>
    <n v="122.5"/>
    <n v="112.8"/>
    <n v="114.6"/>
    <n v="113.1"/>
    <n v="114.4"/>
    <n v="139.27096774193564"/>
    <n v="112.6"/>
    <n v="111.3"/>
    <n v="109.7"/>
    <n v="109.6"/>
    <n v="108.7"/>
    <n v="111"/>
    <n v="108.2"/>
    <n v="109.8"/>
    <n v="117.4"/>
    <n v="2897.470967741936"/>
    <n v="437.7"/>
    <n v="227.7"/>
    <n v="250.57096774193565"/>
    <n v="1649.6"/>
    <x v="29"/>
    <n v="125.28548387096782"/>
    <n v="117.82857142857142"/>
  </r>
  <r>
    <x v="1"/>
    <x v="0"/>
    <x v="11"/>
    <s v="Nov-13"/>
    <d v="2013-11-01T00:00:00"/>
    <x v="0"/>
    <n v="119.8"/>
    <n v="116.3"/>
    <n v="122.6"/>
    <n v="112"/>
    <n v="103.2"/>
    <n v="110"/>
    <x v="29"/>
    <n v="106.3"/>
    <n v="99.5"/>
    <n v="110.3"/>
    <n v="111.8"/>
    <n v="117.1"/>
    <n v="122.9"/>
    <n v="114.1"/>
    <n v="113.5"/>
    <n v="110.3"/>
    <n v="113"/>
    <n v="111.1"/>
    <n v="110"/>
    <n v="110.9"/>
    <n v="108.6"/>
    <n v="109.5"/>
    <n v="108.5"/>
    <n v="111.3"/>
    <n v="107.9"/>
    <n v="109.6"/>
    <n v="115"/>
    <n v="2869.9"/>
    <n v="437.3"/>
    <n v="223.8"/>
    <n v="222"/>
    <n v="1658.6999999999998"/>
    <x v="30"/>
    <n v="111"/>
    <n v="118.47857142857141"/>
  </r>
  <r>
    <x v="2"/>
    <x v="0"/>
    <x v="11"/>
    <s v="Nov-13"/>
    <d v="2013-11-01T00:00:00"/>
    <x v="0"/>
    <n v="118.1"/>
    <n v="115.4"/>
    <n v="118.7"/>
    <n v="112.5"/>
    <n v="106.8"/>
    <n v="113.5"/>
    <x v="30"/>
    <n v="108.2"/>
    <n v="102.2"/>
    <n v="109.4"/>
    <n v="111.8"/>
    <n v="116.5"/>
    <n v="122.6"/>
    <n v="113.1"/>
    <n v="114.2"/>
    <n v="111.9"/>
    <n v="113.8"/>
    <n v="111.1"/>
    <n v="111.6"/>
    <n v="111.1"/>
    <n v="109.3"/>
    <n v="109.5"/>
    <n v="108.6"/>
    <n v="111.2"/>
    <n v="108.1"/>
    <n v="109.7"/>
    <n v="116.3"/>
    <n v="2868.2"/>
    <n v="437.6"/>
    <n v="226.10000000000002"/>
    <n v="222.2"/>
    <n v="1651.8999999999999"/>
    <x v="31"/>
    <n v="111.1"/>
    <n v="117.99285714285713"/>
  </r>
  <r>
    <x v="0"/>
    <x v="0"/>
    <x v="12"/>
    <s v="Dec-13"/>
    <d v="2013-12-01T00:00:00"/>
    <x v="0"/>
    <n v="118.4"/>
    <n v="115.9"/>
    <n v="120.4"/>
    <n v="113.8"/>
    <n v="109.5"/>
    <n v="115.5"/>
    <x v="31"/>
    <n v="109.5"/>
    <n v="102.9"/>
    <n v="109.8"/>
    <n v="112.1"/>
    <n v="116.8"/>
    <n v="118.7"/>
    <n v="113.6"/>
    <n v="115.8"/>
    <n v="114"/>
    <n v="115.5"/>
    <n v="139.27096774193564"/>
    <n v="112.8"/>
    <n v="112.1"/>
    <n v="110.1"/>
    <n v="109.9"/>
    <n v="109.2"/>
    <n v="111.6"/>
    <n v="108.1"/>
    <n v="110.1"/>
    <n v="115.5"/>
    <n v="2875.5709677419363"/>
    <n v="438.99999999999994"/>
    <n v="229.8"/>
    <n v="251.37096774193563"/>
    <n v="1622.6"/>
    <x v="32"/>
    <n v="125.68548387096781"/>
    <n v="115.89999999999999"/>
  </r>
  <r>
    <x v="1"/>
    <x v="0"/>
    <x v="12"/>
    <s v="Dec-13"/>
    <d v="2013-12-01T00:00:00"/>
    <x v="0"/>
    <n v="120.5"/>
    <n v="118.1"/>
    <n v="128.5"/>
    <n v="112.8"/>
    <n v="103.4"/>
    <n v="110.7"/>
    <x v="32"/>
    <n v="107.1"/>
    <n v="98.6"/>
    <n v="111.9"/>
    <n v="112.1"/>
    <n v="118.1"/>
    <n v="117.8"/>
    <n v="115"/>
    <n v="114.2"/>
    <n v="110.9"/>
    <n v="113.7"/>
    <n v="110.7"/>
    <n v="110.4"/>
    <n v="111.3"/>
    <n v="109"/>
    <n v="109.7"/>
    <n v="108.9"/>
    <n v="111.4"/>
    <n v="107.7"/>
    <n v="109.8"/>
    <n v="113.3"/>
    <n v="2833.3999999999996"/>
    <n v="437.79999999999995"/>
    <n v="225.10000000000002"/>
    <n v="222"/>
    <n v="1619.4"/>
    <x v="33"/>
    <n v="111"/>
    <n v="115.67142857142858"/>
  </r>
  <r>
    <x v="2"/>
    <x v="0"/>
    <x v="12"/>
    <s v="Dec-13"/>
    <d v="2013-12-01T00:00:00"/>
    <x v="0"/>
    <n v="119.1"/>
    <n v="116.7"/>
    <n v="123.5"/>
    <n v="113.4"/>
    <n v="107.3"/>
    <n v="113.3"/>
    <x v="33"/>
    <n v="108.7"/>
    <n v="101.5"/>
    <n v="110.5"/>
    <n v="112.1"/>
    <n v="117.4"/>
    <n v="118.4"/>
    <n v="114"/>
    <n v="115.2"/>
    <n v="112.7"/>
    <n v="114.8"/>
    <n v="110.7"/>
    <n v="111.9"/>
    <n v="111.7"/>
    <n v="109.7"/>
    <n v="109.8"/>
    <n v="109"/>
    <n v="111.5"/>
    <n v="107.9"/>
    <n v="110"/>
    <n v="114.5"/>
    <n v="2841.4"/>
    <n v="438.4"/>
    <n v="227.9"/>
    <n v="222.4"/>
    <n v="1621.3000000000002"/>
    <x v="34"/>
    <n v="111.2"/>
    <n v="115.80714285714286"/>
  </r>
  <r>
    <x v="0"/>
    <x v="1"/>
    <x v="0"/>
    <s v="Jan-14"/>
    <d v="2014-01-01T00:00:00"/>
    <x v="0"/>
    <n v="118.9"/>
    <n v="117.1"/>
    <n v="120.5"/>
    <n v="114.4"/>
    <n v="109"/>
    <n v="115.5"/>
    <x v="34"/>
    <n v="109.6"/>
    <n v="101.8"/>
    <n v="110.2"/>
    <n v="112.4"/>
    <n v="117.3"/>
    <n v="116"/>
    <n v="114"/>
    <n v="116.5"/>
    <n v="114.5"/>
    <n v="116.2"/>
    <n v="139.27096774193564"/>
    <n v="113"/>
    <n v="112.6"/>
    <n v="110.6"/>
    <n v="110.5"/>
    <n v="109.6"/>
    <n v="111.8"/>
    <n v="108.3"/>
    <n v="110.6"/>
    <n v="114.2"/>
    <n v="2857.8709677419356"/>
    <n v="440.29999999999995"/>
    <n v="231"/>
    <n v="251.87096774193563"/>
    <n v="1600.6000000000001"/>
    <x v="35"/>
    <n v="125.93548387096781"/>
    <n v="114.32857142857144"/>
  </r>
  <r>
    <x v="1"/>
    <x v="1"/>
    <x v="0"/>
    <s v="Jan-14"/>
    <d v="2014-01-01T00:00:00"/>
    <x v="0"/>
    <n v="121.2"/>
    <n v="122"/>
    <n v="129.9"/>
    <n v="113.6"/>
    <n v="102.9"/>
    <n v="112.1"/>
    <x v="35"/>
    <n v="107.5"/>
    <n v="96.9"/>
    <n v="112.7"/>
    <n v="112.1"/>
    <n v="119"/>
    <n v="115.5"/>
    <n v="115.7"/>
    <n v="114.8"/>
    <n v="111.3"/>
    <n v="114.3"/>
    <n v="111.6"/>
    <n v="111"/>
    <n v="111.9"/>
    <n v="109.7"/>
    <n v="110.8"/>
    <n v="109.8"/>
    <n v="111.5"/>
    <n v="108"/>
    <n v="110.5"/>
    <n v="112.9"/>
    <n v="2820.9"/>
    <n v="439.8"/>
    <n v="226.1"/>
    <n v="223.5"/>
    <n v="1600"/>
    <x v="36"/>
    <n v="111.75"/>
    <n v="114.28571428571429"/>
  </r>
  <r>
    <x v="2"/>
    <x v="1"/>
    <x v="0"/>
    <s v="Jan-14"/>
    <d v="2014-01-01T00:00:00"/>
    <x v="0"/>
    <n v="119.6"/>
    <n v="118.8"/>
    <n v="124.1"/>
    <n v="114.1"/>
    <n v="106.8"/>
    <n v="113.9"/>
    <x v="36"/>
    <n v="108.9"/>
    <n v="100.2"/>
    <n v="111"/>
    <n v="112.3"/>
    <n v="118.1"/>
    <n v="115.8"/>
    <n v="114.5"/>
    <n v="115.8"/>
    <n v="113.2"/>
    <n v="115.4"/>
    <n v="111.6"/>
    <n v="112.2"/>
    <n v="112.3"/>
    <n v="110.3"/>
    <n v="110.7"/>
    <n v="109.7"/>
    <n v="111.6"/>
    <n v="108.2"/>
    <n v="110.6"/>
    <n v="113.6"/>
    <n v="2826.5000000000005"/>
    <n v="440.09999999999997"/>
    <n v="229"/>
    <n v="223.89999999999998"/>
    <n v="1600.2999999999997"/>
    <x v="37"/>
    <n v="111.94999999999999"/>
    <n v="114.30714285714284"/>
  </r>
  <r>
    <x v="0"/>
    <x v="1"/>
    <x v="1"/>
    <s v="Feb-14"/>
    <d v="2014-02-01T00:00:00"/>
    <x v="0"/>
    <n v="119.4"/>
    <n v="117.7"/>
    <n v="121.2"/>
    <n v="115"/>
    <n v="109"/>
    <n v="116.6"/>
    <x v="37"/>
    <n v="109.8"/>
    <n v="101.1"/>
    <n v="110.4"/>
    <n v="112.9"/>
    <n v="117.8"/>
    <n v="115.3"/>
    <n v="114.2"/>
    <n v="117.1"/>
    <n v="114.5"/>
    <n v="116.7"/>
    <n v="139.27096774193564"/>
    <n v="113.2"/>
    <n v="112.9"/>
    <n v="110.9"/>
    <n v="110.8"/>
    <n v="109.9"/>
    <n v="112"/>
    <n v="108.7"/>
    <n v="110.9"/>
    <n v="114"/>
    <n v="2856.5709677419359"/>
    <n v="441.5"/>
    <n v="231.6"/>
    <n v="252.17096774193564"/>
    <n v="1596.4"/>
    <x v="38"/>
    <n v="126.08548387096782"/>
    <n v="114.02857142857144"/>
  </r>
  <r>
    <x v="1"/>
    <x v="1"/>
    <x v="1"/>
    <s v="Feb-14"/>
    <d v="2014-02-01T00:00:00"/>
    <x v="0"/>
    <n v="121.9"/>
    <n v="122"/>
    <n v="124.5"/>
    <n v="115.2"/>
    <n v="102.5"/>
    <n v="114.1"/>
    <x v="38"/>
    <n v="108.2"/>
    <n v="95.4"/>
    <n v="113.5"/>
    <n v="112.1"/>
    <n v="119.9"/>
    <n v="115.2"/>
    <n v="116.2"/>
    <n v="115.3"/>
    <n v="111.7"/>
    <n v="114.7"/>
    <n v="112.5"/>
    <n v="111.1"/>
    <n v="112.6"/>
    <n v="110.4"/>
    <n v="111.3"/>
    <n v="110.3"/>
    <n v="111.6"/>
    <n v="108.7"/>
    <n v="111"/>
    <n v="113.1"/>
    <n v="2818.7"/>
    <n v="441.59999999999997"/>
    <n v="227"/>
    <n v="225.1"/>
    <n v="1592.2"/>
    <x v="39"/>
    <n v="112.55"/>
    <n v="113.72857142857143"/>
  </r>
  <r>
    <x v="2"/>
    <x v="1"/>
    <x v="1"/>
    <s v="Feb-14"/>
    <d v="2014-02-01T00:00:00"/>
    <x v="0"/>
    <n v="120.2"/>
    <n v="119.2"/>
    <n v="122.5"/>
    <n v="115.1"/>
    <n v="106.6"/>
    <n v="115.4"/>
    <x v="39"/>
    <n v="109.3"/>
    <n v="99.2"/>
    <n v="111.4"/>
    <n v="112.6"/>
    <n v="118.8"/>
    <n v="115.3"/>
    <n v="114.7"/>
    <n v="116.4"/>
    <n v="113.3"/>
    <n v="115.9"/>
    <n v="112.5"/>
    <n v="112.4"/>
    <n v="112.8"/>
    <n v="110.7"/>
    <n v="111.1"/>
    <n v="110.1"/>
    <n v="111.8"/>
    <n v="108.7"/>
    <n v="110.9"/>
    <n v="113.6"/>
    <n v="2825.5000000000005"/>
    <n v="441.5"/>
    <n v="229.7"/>
    <n v="225.3"/>
    <n v="1594.8"/>
    <x v="38"/>
    <n v="112.65"/>
    <n v="113.91428571428571"/>
  </r>
  <r>
    <x v="0"/>
    <x v="1"/>
    <x v="2"/>
    <s v="Mar-14"/>
    <d v="2014-03-01T00:00:00"/>
    <x v="0"/>
    <n v="120.1"/>
    <n v="118.1"/>
    <n v="120.7"/>
    <n v="116.1"/>
    <n v="109.3"/>
    <n v="119.6"/>
    <x v="40"/>
    <n v="110.2"/>
    <n v="101.2"/>
    <n v="110.7"/>
    <n v="113"/>
    <n v="118.3"/>
    <n v="116.2"/>
    <n v="114.6"/>
    <n v="117.5"/>
    <n v="114.9"/>
    <n v="117.2"/>
    <n v="139.27096774193564"/>
    <n v="113.4"/>
    <n v="113.4"/>
    <n v="111.4"/>
    <n v="111.2"/>
    <n v="110.2"/>
    <n v="112.4"/>
    <n v="108.9"/>
    <n v="111.3"/>
    <n v="114.6"/>
    <n v="2869.8709677419351"/>
    <n v="442.8"/>
    <n v="232.4"/>
    <n v="252.67096774193564"/>
    <n v="1606"/>
    <x v="40"/>
    <n v="126.33548387096782"/>
    <n v="114.71428571428571"/>
  </r>
  <r>
    <x v="1"/>
    <x v="1"/>
    <x v="2"/>
    <s v="Mar-14"/>
    <d v="2014-03-01T00:00:00"/>
    <x v="0"/>
    <n v="122.1"/>
    <n v="121.4"/>
    <n v="121.5"/>
    <n v="116.2"/>
    <n v="102.8"/>
    <n v="117.7"/>
    <x v="41"/>
    <n v="108.9"/>
    <n v="96.3"/>
    <n v="114.1"/>
    <n v="112.2"/>
    <n v="120.5"/>
    <n v="116"/>
    <n v="116.7"/>
    <n v="115.8"/>
    <n v="112.1"/>
    <n v="115.2"/>
    <n v="113.2"/>
    <n v="110.9"/>
    <n v="113"/>
    <n v="110.8"/>
    <n v="111.6"/>
    <n v="110.9"/>
    <n v="111.8"/>
    <n v="109.2"/>
    <n v="111.4"/>
    <n v="113.7"/>
    <n v="2830.3999999999996"/>
    <n v="443.30000000000007"/>
    <n v="227.89999999999998"/>
    <n v="226.2"/>
    <n v="1599.7"/>
    <x v="41"/>
    <n v="113.1"/>
    <n v="114.26428571428572"/>
  </r>
  <r>
    <x v="2"/>
    <x v="1"/>
    <x v="13"/>
    <e v="#VALUE!"/>
    <m/>
    <x v="0"/>
    <n v="120.7"/>
    <n v="119.3"/>
    <n v="121"/>
    <n v="116.1"/>
    <n v="106.9"/>
    <n v="118.7"/>
    <x v="42"/>
    <n v="109.8"/>
    <n v="99.6"/>
    <n v="111.8"/>
    <n v="112.7"/>
    <n v="119.3"/>
    <n v="116.1"/>
    <n v="115.2"/>
    <n v="116.8"/>
    <n v="113.7"/>
    <n v="116.4"/>
    <n v="113.2"/>
    <n v="112.5"/>
    <n v="113.2"/>
    <n v="111.2"/>
    <n v="111.4"/>
    <n v="110.6"/>
    <n v="112"/>
    <n v="109"/>
    <n v="111.3"/>
    <n v="114.2"/>
    <n v="2838.3999999999996"/>
    <n v="442.9"/>
    <n v="230.5"/>
    <n v="226.4"/>
    <n v="1603.4999999999998"/>
    <x v="42"/>
    <n v="113.2"/>
    <n v="114.53571428571426"/>
  </r>
  <r>
    <x v="0"/>
    <x v="1"/>
    <x v="3"/>
    <s v="Apr-14"/>
    <d v="2014-04-01T00:00:00"/>
    <x v="0"/>
    <n v="120.2"/>
    <n v="118.9"/>
    <n v="118.1"/>
    <n v="117"/>
    <n v="109.7"/>
    <n v="125.5"/>
    <x v="43"/>
    <n v="111"/>
    <n v="102.6"/>
    <n v="111.2"/>
    <n v="113.5"/>
    <n v="118.7"/>
    <n v="117.2"/>
    <n v="115.4"/>
    <n v="118.1"/>
    <n v="116.1"/>
    <n v="117.8"/>
    <n v="139.27096774193564"/>
    <n v="113.4"/>
    <n v="113.7"/>
    <n v="111.8"/>
    <n v="111.2"/>
    <n v="110.5"/>
    <n v="113"/>
    <n v="108.9"/>
    <n v="111.5"/>
    <n v="115.4"/>
    <n v="2886.9709677419351"/>
    <n v="443.9"/>
    <n v="234.2"/>
    <n v="252.97096774193562"/>
    <n v="1619.5000000000002"/>
    <x v="43"/>
    <n v="126.48548387096781"/>
    <n v="115.67857142857144"/>
  </r>
  <r>
    <x v="1"/>
    <x v="1"/>
    <x v="3"/>
    <s v="Apr-14"/>
    <d v="2014-04-01T00:00:00"/>
    <x v="0"/>
    <n v="122.5"/>
    <n v="121.7"/>
    <n v="113.3"/>
    <n v="117"/>
    <n v="103.1"/>
    <n v="126.7"/>
    <x v="44"/>
    <n v="111"/>
    <n v="100.3"/>
    <n v="115.3"/>
    <n v="112.7"/>
    <n v="121"/>
    <n v="118.2"/>
    <n v="117.6"/>
    <n v="116.3"/>
    <n v="112.5"/>
    <n v="115.7"/>
    <n v="113.9"/>
    <n v="110.9"/>
    <n v="113.4"/>
    <n v="111"/>
    <n v="111.2"/>
    <n v="111.2"/>
    <n v="112.5"/>
    <n v="109.1"/>
    <n v="111.4"/>
    <n v="114.7"/>
    <n v="2855"/>
    <n v="444.2"/>
    <n v="228.8"/>
    <n v="227.3"/>
    <n v="1621.6000000000001"/>
    <x v="44"/>
    <n v="113.65"/>
    <n v="115.82857142857144"/>
  </r>
  <r>
    <x v="2"/>
    <x v="1"/>
    <x v="3"/>
    <s v="Apr-14"/>
    <d v="2014-04-01T00:00:00"/>
    <x v="0"/>
    <n v="120.9"/>
    <n v="119.9"/>
    <n v="116.2"/>
    <n v="117"/>
    <n v="107.3"/>
    <n v="126.1"/>
    <x v="45"/>
    <n v="111"/>
    <n v="101.8"/>
    <n v="112.6"/>
    <n v="113.2"/>
    <n v="119.8"/>
    <n v="117.6"/>
    <n v="116"/>
    <n v="117.4"/>
    <n v="114.6"/>
    <n v="117"/>
    <n v="113.9"/>
    <n v="112.5"/>
    <n v="113.6"/>
    <n v="111.5"/>
    <n v="111.2"/>
    <n v="110.9"/>
    <n v="112.7"/>
    <n v="109"/>
    <n v="111.5"/>
    <n v="115.1"/>
    <n v="2858.9"/>
    <n v="444.1"/>
    <n v="232"/>
    <n v="227.5"/>
    <n v="1620.1"/>
    <x v="45"/>
    <n v="113.75"/>
    <n v="115.72142857142856"/>
  </r>
  <r>
    <x v="0"/>
    <x v="1"/>
    <x v="4"/>
    <s v="May-14"/>
    <d v="2014-05-01T00:00:00"/>
    <x v="0"/>
    <n v="120.3"/>
    <n v="120.2"/>
    <n v="116.9"/>
    <n v="118"/>
    <n v="110.1"/>
    <n v="126.3"/>
    <x v="34"/>
    <n v="111.5"/>
    <n v="103.5"/>
    <n v="111.6"/>
    <n v="114.2"/>
    <n v="119.2"/>
    <n v="118.2"/>
    <n v="116.3"/>
    <n v="118.7"/>
    <n v="116.8"/>
    <n v="118.5"/>
    <n v="139.27096774193564"/>
    <n v="113.4"/>
    <n v="114.1"/>
    <n v="112.1"/>
    <n v="111.4"/>
    <n v="110.9"/>
    <n v="113.1"/>
    <n v="108.9"/>
    <n v="111.8"/>
    <n v="116"/>
    <n v="2900.6709677419353"/>
    <n v="444.69999999999993"/>
    <n v="235.5"/>
    <n v="253.37096774193563"/>
    <n v="1630.1999999999998"/>
    <x v="46"/>
    <n v="126.68548387096781"/>
    <n v="116.44285714285714"/>
  </r>
  <r>
    <x v="1"/>
    <x v="1"/>
    <x v="4"/>
    <s v="May-14"/>
    <d v="2014-05-01T00:00:00"/>
    <x v="0"/>
    <n v="122.7"/>
    <n v="124.1"/>
    <n v="114.2"/>
    <n v="119.1"/>
    <n v="103.5"/>
    <n v="129.19999999999999"/>
    <x v="46"/>
    <n v="112.6"/>
    <n v="101.3"/>
    <n v="117"/>
    <n v="112.9"/>
    <n v="121.7"/>
    <n v="120"/>
    <n v="118.3"/>
    <n v="116.8"/>
    <n v="112.9"/>
    <n v="116.2"/>
    <n v="114.3"/>
    <n v="111.1"/>
    <n v="114.1"/>
    <n v="111.2"/>
    <n v="111.3"/>
    <n v="111.5"/>
    <n v="112.9"/>
    <n v="109.3"/>
    <n v="111.7"/>
    <n v="115.6"/>
    <n v="2880.7000000000003"/>
    <n v="445.4"/>
    <n v="229.7"/>
    <n v="228.39999999999998"/>
    <n v="1643.6000000000001"/>
    <x v="47"/>
    <n v="114.19999999999999"/>
    <n v="117.4"/>
  </r>
  <r>
    <x v="2"/>
    <x v="1"/>
    <x v="4"/>
    <s v="May-14"/>
    <d v="2014-05-01T00:00:00"/>
    <x v="0"/>
    <n v="121.1"/>
    <n v="121.6"/>
    <n v="115.9"/>
    <n v="118.4"/>
    <n v="107.7"/>
    <n v="127.7"/>
    <x v="47"/>
    <n v="111.9"/>
    <n v="102.8"/>
    <n v="113.4"/>
    <n v="113.7"/>
    <n v="120.4"/>
    <n v="118.9"/>
    <n v="116.8"/>
    <n v="118"/>
    <n v="115.2"/>
    <n v="117.6"/>
    <n v="114.3"/>
    <n v="112.5"/>
    <n v="114.1"/>
    <n v="111.8"/>
    <n v="111.3"/>
    <n v="111.2"/>
    <n v="113"/>
    <n v="109.1"/>
    <n v="111.8"/>
    <n v="115.8"/>
    <n v="2877.6000000000004"/>
    <n v="445.09999999999997"/>
    <n v="233.2"/>
    <n v="228.39999999999998"/>
    <n v="1635.3000000000004"/>
    <x v="48"/>
    <n v="114.19999999999999"/>
    <n v="116.80714285714289"/>
  </r>
  <r>
    <x v="0"/>
    <x v="1"/>
    <x v="5"/>
    <s v="Jun-14"/>
    <d v="2014-06-01T00:00:00"/>
    <x v="0"/>
    <n v="120.7"/>
    <n v="121.6"/>
    <n v="116.1"/>
    <n v="119.3"/>
    <n v="110.3"/>
    <n v="125.8"/>
    <x v="48"/>
    <n v="112.2"/>
    <n v="103.6"/>
    <n v="112.3"/>
    <n v="114.9"/>
    <n v="120.1"/>
    <n v="119.5"/>
    <n v="117.3"/>
    <n v="119.7"/>
    <n v="117.3"/>
    <n v="119.3"/>
    <n v="139.27096774193564"/>
    <n v="114.4"/>
    <n v="114.9"/>
    <n v="112.8"/>
    <n v="112.2"/>
    <n v="111.4"/>
    <n v="114.3"/>
    <n v="108"/>
    <n v="112.3"/>
    <n v="117"/>
    <n v="2919.5709677419359"/>
    <n v="446"/>
    <n v="237"/>
    <n v="254.17096774193564"/>
    <n v="1642.9999999999998"/>
    <x v="49"/>
    <n v="127.08548387096782"/>
    <n v="117.35714285714285"/>
  </r>
  <r>
    <x v="1"/>
    <x v="1"/>
    <x v="5"/>
    <s v="Jun-14"/>
    <d v="2014-06-01T00:00:00"/>
    <x v="0"/>
    <n v="123.1"/>
    <n v="125.9"/>
    <n v="115.4"/>
    <n v="120.4"/>
    <n v="103.4"/>
    <n v="131.19999999999999"/>
    <x v="49"/>
    <n v="112.8"/>
    <n v="101.4"/>
    <n v="118.3"/>
    <n v="113.2"/>
    <n v="122.4"/>
    <n v="122"/>
    <n v="119"/>
    <n v="117.4"/>
    <n v="113.2"/>
    <n v="116.7"/>
    <n v="113.9"/>
    <n v="111.2"/>
    <n v="114.3"/>
    <n v="111.4"/>
    <n v="111.5"/>
    <n v="111.8"/>
    <n v="115.1"/>
    <n v="108.7"/>
    <n v="112.2"/>
    <n v="116.4"/>
    <n v="2906.7000000000003"/>
    <n v="447.8"/>
    <n v="230.60000000000002"/>
    <n v="228.2"/>
    <n v="1666"/>
    <x v="50"/>
    <n v="114.1"/>
    <n v="119"/>
  </r>
  <r>
    <x v="2"/>
    <x v="1"/>
    <x v="5"/>
    <s v="Jun-14"/>
    <d v="2014-06-01T00:00:00"/>
    <x v="0"/>
    <n v="121.5"/>
    <n v="123.1"/>
    <n v="115.8"/>
    <n v="119.7"/>
    <n v="107.8"/>
    <n v="128.30000000000001"/>
    <x v="50"/>
    <n v="112.4"/>
    <n v="102.9"/>
    <n v="114.3"/>
    <n v="114.2"/>
    <n v="121.2"/>
    <n v="120.4"/>
    <n v="117.8"/>
    <n v="118.8"/>
    <n v="115.6"/>
    <n v="118.3"/>
    <n v="113.9"/>
    <n v="113.2"/>
    <n v="114.6"/>
    <n v="112.3"/>
    <n v="111.8"/>
    <n v="111.6"/>
    <n v="114.8"/>
    <n v="108.3"/>
    <n v="112.3"/>
    <n v="116.7"/>
    <n v="2898.7"/>
    <n v="447"/>
    <n v="234.39999999999998"/>
    <n v="228.5"/>
    <n v="1651.5000000000002"/>
    <x v="51"/>
    <n v="114.25"/>
    <n v="117.96428571428574"/>
  </r>
  <r>
    <x v="0"/>
    <x v="1"/>
    <x v="6"/>
    <s v="Jul-14"/>
    <d v="2014-07-01T00:00:00"/>
    <x v="0"/>
    <n v="121.7"/>
    <n v="122.5"/>
    <n v="117.7"/>
    <n v="120.6"/>
    <n v="110.4"/>
    <n v="129.1"/>
    <x v="51"/>
    <n v="113.2"/>
    <n v="104.8"/>
    <n v="113.3"/>
    <n v="115.6"/>
    <n v="120.9"/>
    <n v="123.3"/>
    <n v="118"/>
    <n v="120.7"/>
    <n v="118.3"/>
    <n v="120.3"/>
    <n v="139.27096774193564"/>
    <n v="115.3"/>
    <n v="115.4"/>
    <n v="113.4"/>
    <n v="113.2"/>
    <n v="111.8"/>
    <n v="115.5"/>
    <n v="108.8"/>
    <n v="113.1"/>
    <n v="119.5"/>
    <n v="2965.970967741936"/>
    <n v="449.2"/>
    <n v="239"/>
    <n v="254.67096774193564"/>
    <n v="1681.2"/>
    <x v="52"/>
    <n v="127.33548387096782"/>
    <n v="120.08571428571429"/>
  </r>
  <r>
    <x v="1"/>
    <x v="1"/>
    <x v="6"/>
    <s v="Jul-14"/>
    <d v="2014-07-01T00:00:00"/>
    <x v="0"/>
    <n v="123.8"/>
    <n v="126.4"/>
    <n v="118"/>
    <n v="121.6"/>
    <n v="103.5"/>
    <n v="133.69999999999999"/>
    <x v="52"/>
    <n v="113.1"/>
    <n v="102.7"/>
    <n v="120"/>
    <n v="113.8"/>
    <n v="123.4"/>
    <n v="127.1"/>
    <n v="121"/>
    <n v="118"/>
    <n v="113.6"/>
    <n v="117.4"/>
    <n v="114.8"/>
    <n v="111.6"/>
    <n v="114.9"/>
    <n v="111.5"/>
    <n v="113"/>
    <n v="112.4"/>
    <n v="117.8"/>
    <n v="109.7"/>
    <n v="113.5"/>
    <n v="118.9"/>
    <n v="2971.3"/>
    <n v="453.4"/>
    <n v="231.6"/>
    <n v="229.7"/>
    <n v="1720.5"/>
    <x v="53"/>
    <n v="114.85"/>
    <n v="122.89285714285714"/>
  </r>
  <r>
    <x v="2"/>
    <x v="1"/>
    <x v="6"/>
    <s v="Jul-14"/>
    <d v="2014-07-01T00:00:00"/>
    <x v="0"/>
    <n v="122.4"/>
    <n v="123.9"/>
    <n v="117.8"/>
    <n v="121"/>
    <n v="107.9"/>
    <n v="131.19999999999999"/>
    <x v="53"/>
    <n v="113.2"/>
    <n v="104.1"/>
    <n v="115.5"/>
    <n v="114.8"/>
    <n v="122.1"/>
    <n v="124.7"/>
    <n v="118.8"/>
    <n v="119.6"/>
    <n v="116.3"/>
    <n v="119.1"/>
    <n v="114.8"/>
    <n v="113.9"/>
    <n v="115.2"/>
    <n v="112.7"/>
    <n v="113.1"/>
    <n v="112.1"/>
    <n v="116.8"/>
    <n v="109.2"/>
    <n v="113.3"/>
    <n v="119.2"/>
    <n v="2952.1000000000004"/>
    <n v="451.4"/>
    <n v="235.89999999999998"/>
    <n v="230"/>
    <n v="1695.1"/>
    <x v="54"/>
    <n v="115"/>
    <n v="121.07857142857142"/>
  </r>
  <r>
    <x v="0"/>
    <x v="1"/>
    <x v="7"/>
    <s v="Aug-14"/>
    <d v="2014-08-01T00:00:00"/>
    <x v="0"/>
    <n v="121.8"/>
    <n v="122.8"/>
    <n v="117.8"/>
    <n v="121.9"/>
    <n v="110.6"/>
    <n v="129.69999999999999"/>
    <x v="54"/>
    <n v="114.1"/>
    <n v="105.1"/>
    <n v="114.6"/>
    <n v="115.8"/>
    <n v="121.7"/>
    <n v="125.3"/>
    <n v="118.8"/>
    <n v="120.9"/>
    <n v="118.8"/>
    <n v="120.7"/>
    <n v="139.27096774193564"/>
    <n v="115.4"/>
    <n v="115.9"/>
    <n v="114"/>
    <n v="113.2"/>
    <n v="112.2"/>
    <n v="116.2"/>
    <n v="109.4"/>
    <n v="113.5"/>
    <n v="120.7"/>
    <n v="2989.8709677419361"/>
    <n v="451.3"/>
    <n v="239.7"/>
    <n v="255.17096774193564"/>
    <n v="1701.0999999999997"/>
    <x v="55"/>
    <n v="127.58548387096782"/>
    <n v="121.50714285714284"/>
  </r>
  <r>
    <x v="1"/>
    <x v="1"/>
    <x v="7"/>
    <s v="Aug-14"/>
    <d v="2014-08-01T00:00:00"/>
    <x v="0"/>
    <n v="124.8"/>
    <n v="127.3"/>
    <n v="116.5"/>
    <n v="122.2"/>
    <n v="103.6"/>
    <n v="132.69999999999999"/>
    <x v="55"/>
    <n v="115.2"/>
    <n v="102.7"/>
    <n v="122.1"/>
    <n v="114.4"/>
    <n v="124.7"/>
    <n v="128.9"/>
    <n v="123"/>
    <n v="118.6"/>
    <n v="114.1"/>
    <n v="117.9"/>
    <n v="115.5"/>
    <n v="111.8"/>
    <n v="115.3"/>
    <n v="112.2"/>
    <n v="112.5"/>
    <n v="112.9"/>
    <n v="119.2"/>
    <n v="110.5"/>
    <n v="113.9"/>
    <n v="119.9"/>
    <n v="2996.4999999999995"/>
    <n v="456.5"/>
    <n v="232.7"/>
    <n v="230.8"/>
    <n v="1740"/>
    <x v="56"/>
    <n v="115.4"/>
    <n v="124.28571428571429"/>
  </r>
  <r>
    <x v="2"/>
    <x v="1"/>
    <x v="7"/>
    <s v="Aug-14"/>
    <d v="2014-08-01T00:00:00"/>
    <x v="0"/>
    <n v="122.7"/>
    <n v="124.4"/>
    <n v="117.3"/>
    <n v="122"/>
    <n v="108"/>
    <n v="131.1"/>
    <x v="56"/>
    <n v="114.5"/>
    <n v="104.3"/>
    <n v="117.1"/>
    <n v="115.2"/>
    <n v="123.1"/>
    <n v="126.6"/>
    <n v="119.9"/>
    <n v="120"/>
    <n v="116.8"/>
    <n v="119.6"/>
    <n v="115.5"/>
    <n v="114"/>
    <n v="115.6"/>
    <n v="113.3"/>
    <n v="112.8"/>
    <n v="112.6"/>
    <n v="118"/>
    <n v="109.9"/>
    <n v="113.7"/>
    <n v="120.3"/>
    <n v="2976.6"/>
    <n v="454.20000000000005"/>
    <n v="236.8"/>
    <n v="231.1"/>
    <n v="1714.3999999999999"/>
    <x v="57"/>
    <n v="115.55"/>
    <n v="122.45714285714284"/>
  </r>
  <r>
    <x v="0"/>
    <x v="1"/>
    <x v="8"/>
    <s v="Sep-14"/>
    <d v="2014-09-01T00:00:00"/>
    <x v="0"/>
    <n v="122.3"/>
    <n v="122.4"/>
    <n v="117.8"/>
    <n v="122.7"/>
    <n v="110.4"/>
    <n v="129.80000000000001"/>
    <x v="57"/>
    <n v="115"/>
    <n v="104.7"/>
    <n v="114.9"/>
    <n v="116.5"/>
    <n v="122.6"/>
    <n v="125.3"/>
    <n v="119.5"/>
    <n v="121.7"/>
    <n v="119.2"/>
    <n v="121.3"/>
    <n v="139.27096774193564"/>
    <n v="115.8"/>
    <n v="116.7"/>
    <n v="114.5"/>
    <n v="112.8"/>
    <n v="112.6"/>
    <n v="116.6"/>
    <n v="109.1"/>
    <n v="113.7"/>
    <n v="120.9"/>
    <n v="2994.6709677419353"/>
    <n v="452"/>
    <n v="240.9"/>
    <n v="255.97096774193562"/>
    <n v="1702.7"/>
    <x v="58"/>
    <n v="127.98548387096781"/>
    <n v="121.62142857142858"/>
  </r>
  <r>
    <x v="1"/>
    <x v="1"/>
    <x v="8"/>
    <s v="Sep-14"/>
    <d v="2014-09-01T00:00:00"/>
    <x v="0"/>
    <n v="124.2"/>
    <n v="125.4"/>
    <n v="116.4"/>
    <n v="122.7"/>
    <n v="103.5"/>
    <n v="124.5"/>
    <x v="58"/>
    <n v="116.9"/>
    <n v="101.9"/>
    <n v="122.9"/>
    <n v="114.8"/>
    <n v="125.2"/>
    <n v="126.7"/>
    <n v="124.3"/>
    <n v="119.2"/>
    <n v="114.5"/>
    <n v="118.4"/>
    <n v="116.1"/>
    <n v="111.8"/>
    <n v="115.5"/>
    <n v="112.3"/>
    <n v="111.2"/>
    <n v="113.4"/>
    <n v="120"/>
    <n v="110"/>
    <n v="113.6"/>
    <n v="119.2"/>
    <n v="2975.6"/>
    <n v="457"/>
    <n v="233.7"/>
    <n v="231.6"/>
    <n v="1718.0000000000002"/>
    <x v="59"/>
    <n v="115.8"/>
    <n v="122.71428571428574"/>
  </r>
  <r>
    <x v="2"/>
    <x v="1"/>
    <x v="8"/>
    <s v="Sep-14"/>
    <d v="2014-09-01T00:00:00"/>
    <x v="0"/>
    <n v="122.9"/>
    <n v="123.5"/>
    <n v="117.3"/>
    <n v="122.7"/>
    <n v="107.9"/>
    <n v="127.3"/>
    <x v="59"/>
    <n v="115.6"/>
    <n v="103.8"/>
    <n v="117.6"/>
    <n v="115.8"/>
    <n v="123.8"/>
    <n v="125.8"/>
    <n v="120.8"/>
    <n v="120.7"/>
    <n v="117.2"/>
    <n v="120.1"/>
    <n v="116.1"/>
    <n v="114.3"/>
    <n v="116.1"/>
    <n v="113.7"/>
    <n v="112"/>
    <n v="113.1"/>
    <n v="118.6"/>
    <n v="109.5"/>
    <n v="113.7"/>
    <n v="120.1"/>
    <n v="2971.9000000000005"/>
    <n v="454.9"/>
    <n v="237.9"/>
    <n v="232.2"/>
    <n v="1706.8999999999996"/>
    <x v="60"/>
    <n v="116.1"/>
    <n v="121.92142857142855"/>
  </r>
  <r>
    <x v="0"/>
    <x v="1"/>
    <x v="9"/>
    <s v="Oct-14"/>
    <d v="2014-10-01T00:00:00"/>
    <x v="0"/>
    <n v="122.6"/>
    <n v="122.5"/>
    <n v="118.3"/>
    <n v="123.2"/>
    <n v="110.5"/>
    <n v="128.9"/>
    <x v="60"/>
    <n v="115.5"/>
    <n v="104"/>
    <n v="115.3"/>
    <n v="116.8"/>
    <n v="123.2"/>
    <n v="125.1"/>
    <n v="120"/>
    <n v="122.7"/>
    <n v="120.3"/>
    <n v="122.3"/>
    <n v="139.27096774193564"/>
    <n v="116.4"/>
    <n v="117.5"/>
    <n v="115.3"/>
    <n v="112.6"/>
    <n v="113"/>
    <n v="116.9"/>
    <n v="109.3"/>
    <n v="114"/>
    <n v="121"/>
    <n v="2998.4709677419355"/>
    <n v="453.20000000000005"/>
    <n v="243"/>
    <n v="256.77096774193564"/>
    <n v="1701.1999999999998"/>
    <x v="61"/>
    <n v="128.38548387096782"/>
    <n v="121.51428571428571"/>
  </r>
  <r>
    <x v="1"/>
    <x v="1"/>
    <x v="9"/>
    <s v="Oct-14"/>
    <d v="2014-10-01T00:00:00"/>
    <x v="0"/>
    <n v="124.6"/>
    <n v="126.1"/>
    <n v="117.8"/>
    <n v="123.1"/>
    <n v="103.5"/>
    <n v="123.5"/>
    <x v="61"/>
    <n v="117.4"/>
    <n v="101.2"/>
    <n v="123.8"/>
    <n v="115.2"/>
    <n v="125.9"/>
    <n v="125.8"/>
    <n v="124.3"/>
    <n v="119.6"/>
    <n v="114.9"/>
    <n v="118.9"/>
    <n v="116.7"/>
    <n v="112"/>
    <n v="115.8"/>
    <n v="112.6"/>
    <n v="111"/>
    <n v="113.6"/>
    <n v="120.2"/>
    <n v="110.1"/>
    <n v="113.7"/>
    <n v="119.1"/>
    <n v="2972"/>
    <n v="457.6"/>
    <n v="234.5"/>
    <n v="232.5"/>
    <n v="1711.8"/>
    <x v="62"/>
    <n v="116.25"/>
    <n v="122.27142857142857"/>
  </r>
  <r>
    <x v="2"/>
    <x v="1"/>
    <x v="9"/>
    <s v="Oct-14"/>
    <d v="2014-10-01T00:00:00"/>
    <x v="0"/>
    <n v="123.2"/>
    <n v="123.8"/>
    <n v="118.1"/>
    <n v="123.2"/>
    <n v="107.9"/>
    <n v="126.4"/>
    <x v="62"/>
    <n v="116.1"/>
    <n v="103.1"/>
    <n v="118.1"/>
    <n v="116.1"/>
    <n v="124.5"/>
    <n v="125.4"/>
    <n v="121.1"/>
    <n v="121.5"/>
    <n v="118.1"/>
    <n v="121"/>
    <n v="116.7"/>
    <n v="114.7"/>
    <n v="116.7"/>
    <n v="114.3"/>
    <n v="111.8"/>
    <n v="113.3"/>
    <n v="118.8"/>
    <n v="109.6"/>
    <n v="113.9"/>
    <n v="120.1"/>
    <n v="2973.2"/>
    <n v="455.6"/>
    <n v="239.6"/>
    <n v="233.4"/>
    <n v="1703.8"/>
    <x v="63"/>
    <n v="116.7"/>
    <n v="121.7"/>
  </r>
  <r>
    <x v="0"/>
    <x v="1"/>
    <x v="11"/>
    <s v="Nov-14"/>
    <d v="2014-11-01T00:00:00"/>
    <x v="0"/>
    <n v="122.7"/>
    <n v="122.6"/>
    <n v="119.9"/>
    <n v="124"/>
    <n v="110.5"/>
    <n v="128.80000000000001"/>
    <x v="63"/>
    <n v="116.2"/>
    <n v="103.3"/>
    <n v="115.8"/>
    <n v="116.8"/>
    <n v="124.5"/>
    <n v="124.9"/>
    <n v="120.8"/>
    <n v="123.3"/>
    <n v="120.5"/>
    <n v="122.9"/>
    <n v="139.27096774193564"/>
    <n v="117.3"/>
    <n v="118.1"/>
    <n v="115.9"/>
    <n v="112"/>
    <n v="113.3"/>
    <n v="117.2"/>
    <n v="108.8"/>
    <n v="114.1"/>
    <n v="121.1"/>
    <n v="3002.5709677419363"/>
    <n v="453.4"/>
    <n v="243.8"/>
    <n v="257.3709677419356"/>
    <n v="1702.8"/>
    <x v="53"/>
    <n v="128.6854838709678"/>
    <n v="121.62857142857142"/>
  </r>
  <r>
    <x v="1"/>
    <x v="1"/>
    <x v="11"/>
    <s v="Nov-14"/>
    <d v="2014-11-01T00:00:00"/>
    <x v="0"/>
    <n v="124.5"/>
    <n v="125.6"/>
    <n v="122.7"/>
    <n v="124.6"/>
    <n v="103.2"/>
    <n v="122.2"/>
    <x v="64"/>
    <n v="119.3"/>
    <n v="99.8"/>
    <n v="124.6"/>
    <n v="115.8"/>
    <n v="126.9"/>
    <n v="125.4"/>
    <n v="125.8"/>
    <n v="120.3"/>
    <n v="115.4"/>
    <n v="119.5"/>
    <n v="117.1"/>
    <n v="112.6"/>
    <n v="116.4"/>
    <n v="113"/>
    <n v="109.7"/>
    <n v="114"/>
    <n v="120.3"/>
    <n v="109.6"/>
    <n v="113.4"/>
    <n v="119"/>
    <n v="2975.400000000001"/>
    <n v="457.3"/>
    <n v="235.7"/>
    <n v="233.5"/>
    <n v="1713.6"/>
    <x v="64"/>
    <n v="116.75"/>
    <n v="122.39999999999999"/>
  </r>
  <r>
    <x v="2"/>
    <x v="1"/>
    <x v="11"/>
    <s v="Nov-14"/>
    <d v="2014-11-01T00:00:00"/>
    <x v="0"/>
    <n v="123.3"/>
    <n v="123.7"/>
    <n v="121"/>
    <n v="124.2"/>
    <n v="107.8"/>
    <n v="125.7"/>
    <x v="65"/>
    <n v="117.2"/>
    <n v="102.1"/>
    <n v="118.7"/>
    <n v="116.4"/>
    <n v="125.6"/>
    <n v="125.1"/>
    <n v="122.1"/>
    <n v="122.1"/>
    <n v="118.4"/>
    <n v="121.6"/>
    <n v="117.1"/>
    <n v="115.5"/>
    <n v="117.3"/>
    <n v="114.8"/>
    <n v="110.8"/>
    <n v="113.7"/>
    <n v="119"/>
    <n v="109.1"/>
    <n v="113.8"/>
    <n v="120.1"/>
    <n v="2976.9"/>
    <n v="455.59999999999997"/>
    <n v="240.5"/>
    <n v="234.39999999999998"/>
    <n v="1705.3"/>
    <x v="65"/>
    <n v="117.19999999999999"/>
    <n v="121.80714285714285"/>
  </r>
  <r>
    <x v="0"/>
    <x v="1"/>
    <x v="12"/>
    <s v="Dec-14"/>
    <d v="2014-12-01T00:00:00"/>
    <x v="0"/>
    <n v="122.4"/>
    <n v="122.4"/>
    <n v="121.8"/>
    <n v="124.2"/>
    <n v="110.2"/>
    <n v="128.6"/>
    <x v="66"/>
    <n v="116.3"/>
    <n v="102"/>
    <n v="116"/>
    <n v="117.3"/>
    <n v="124.8"/>
    <n v="123.3"/>
    <n v="121.7"/>
    <n v="123.8"/>
    <n v="120.6"/>
    <n v="123.3"/>
    <n v="139.27096774193564"/>
    <n v="117.4"/>
    <n v="118.2"/>
    <n v="116.2"/>
    <n v="111.5"/>
    <n v="113.3"/>
    <n v="117.7"/>
    <n v="109.4"/>
    <n v="114.2"/>
    <n v="120.3"/>
    <n v="2992.8709677419361"/>
    <n v="454.6"/>
    <n v="244.39999999999998"/>
    <n v="257.47096774193562"/>
    <n v="1691.3"/>
    <x v="66"/>
    <n v="128.73548387096781"/>
    <n v="120.80714285714285"/>
  </r>
  <r>
    <x v="1"/>
    <x v="1"/>
    <x v="12"/>
    <s v="Dec-14"/>
    <d v="2014-12-01T00:00:00"/>
    <x v="0"/>
    <n v="124"/>
    <n v="124.7"/>
    <n v="126.3"/>
    <n v="124.9"/>
    <n v="103"/>
    <n v="122.3"/>
    <x v="67"/>
    <n v="120.1"/>
    <n v="97.8"/>
    <n v="125.4"/>
    <n v="116.1"/>
    <n v="127.6"/>
    <n v="124"/>
    <n v="126.4"/>
    <n v="120.7"/>
    <n v="115.8"/>
    <n v="120"/>
    <n v="116.5"/>
    <n v="113"/>
    <n v="116.8"/>
    <n v="113.2"/>
    <n v="108.8"/>
    <n v="114.3"/>
    <n v="120.7"/>
    <n v="110.4"/>
    <n v="113.4"/>
    <n v="118.4"/>
    <n v="2967.2"/>
    <n v="458.8"/>
    <n v="236.5"/>
    <n v="233.3"/>
    <n v="1703.6"/>
    <x v="67"/>
    <n v="116.65"/>
    <n v="121.68571428571428"/>
  </r>
  <r>
    <x v="2"/>
    <x v="1"/>
    <x v="12"/>
    <s v="Dec-14"/>
    <d v="2014-12-01T00:00:00"/>
    <x v="0"/>
    <n v="122.9"/>
    <n v="123.2"/>
    <n v="123.5"/>
    <n v="124.5"/>
    <n v="107.6"/>
    <n v="125.7"/>
    <x v="68"/>
    <n v="117.6"/>
    <n v="100.6"/>
    <n v="119.1"/>
    <n v="116.8"/>
    <n v="126.1"/>
    <n v="123.6"/>
    <n v="123"/>
    <n v="122.6"/>
    <n v="118.6"/>
    <n v="122"/>
    <n v="116.5"/>
    <n v="115.7"/>
    <n v="117.5"/>
    <n v="115.1"/>
    <n v="110.1"/>
    <n v="113.9"/>
    <n v="119.5"/>
    <n v="109.8"/>
    <n v="113.8"/>
    <n v="119.4"/>
    <n v="2967.7999999999997"/>
    <n v="457"/>
    <n v="241.2"/>
    <n v="234"/>
    <n v="1694.6999999999998"/>
    <x v="59"/>
    <n v="117"/>
    <n v="121.04999999999998"/>
  </r>
  <r>
    <x v="0"/>
    <x v="2"/>
    <x v="0"/>
    <s v="Jan-15"/>
    <d v="2015-01-01T00:00:00"/>
    <x v="0"/>
    <n v="123.1"/>
    <n v="123.1"/>
    <n v="122.1"/>
    <n v="124.9"/>
    <n v="111"/>
    <n v="130.4"/>
    <x v="69"/>
    <n v="117.2"/>
    <n v="100.5"/>
    <n v="117.2"/>
    <n v="117.9"/>
    <n v="125.6"/>
    <n v="122.8"/>
    <n v="122.7"/>
    <n v="124.4"/>
    <n v="121.6"/>
    <n v="124"/>
    <n v="139.27096774193564"/>
    <n v="118.4"/>
    <n v="118.9"/>
    <n v="116.6"/>
    <n v="111"/>
    <n v="114"/>
    <n v="118.2"/>
    <n v="110.2"/>
    <n v="114.5"/>
    <n v="120.3"/>
    <n v="2997.8709677419356"/>
    <n v="456.9"/>
    <n v="246"/>
    <n v="258.17096774193567"/>
    <n v="1690.8"/>
    <x v="68"/>
    <n v="129.08548387096783"/>
    <n v="120.77142857142857"/>
  </r>
  <r>
    <x v="1"/>
    <x v="2"/>
    <x v="0"/>
    <s v="Jan-15"/>
    <d v="2015-01-01T00:00:00"/>
    <x v="0"/>
    <n v="124"/>
    <n v="125.5"/>
    <n v="126.6"/>
    <n v="125.2"/>
    <n v="104.3"/>
    <n v="121.3"/>
    <x v="70"/>
    <n v="122.9"/>
    <n v="96.1"/>
    <n v="126.6"/>
    <n v="116.5"/>
    <n v="128"/>
    <n v="123.5"/>
    <n v="127.4"/>
    <n v="121"/>
    <n v="116.1"/>
    <n v="120.2"/>
    <n v="117.3"/>
    <n v="113.4"/>
    <n v="117.2"/>
    <n v="113.7"/>
    <n v="107.9"/>
    <n v="114.6"/>
    <n v="120.8"/>
    <n v="111.4"/>
    <n v="113.4"/>
    <n v="118.5"/>
    <n v="2969.1"/>
    <n v="460.20000000000005"/>
    <n v="237.1"/>
    <n v="234.5"/>
    <n v="1702.3"/>
    <x v="69"/>
    <n v="117.25"/>
    <n v="121.59285714285714"/>
  </r>
  <r>
    <x v="2"/>
    <x v="2"/>
    <x v="0"/>
    <s v="Jan-15"/>
    <d v="2015-01-01T00:00:00"/>
    <x v="0"/>
    <n v="123.4"/>
    <n v="123.9"/>
    <n v="123.8"/>
    <n v="125"/>
    <n v="108.5"/>
    <n v="126.2"/>
    <x v="71"/>
    <n v="119.1"/>
    <n v="99"/>
    <n v="120.3"/>
    <n v="117.3"/>
    <n v="126.7"/>
    <n v="123.1"/>
    <n v="124"/>
    <n v="123.1"/>
    <n v="119.3"/>
    <n v="122.5"/>
    <n v="117.3"/>
    <n v="116.5"/>
    <n v="118.1"/>
    <n v="115.5"/>
    <n v="109.4"/>
    <n v="114.3"/>
    <n v="119.7"/>
    <n v="110.7"/>
    <n v="114"/>
    <n v="119.5"/>
    <n v="2971.2000000000003"/>
    <n v="458.7"/>
    <n v="242.39999999999998"/>
    <n v="235.39999999999998"/>
    <n v="1693.3"/>
    <x v="70"/>
    <n v="117.69999999999999"/>
    <n v="120.95"/>
  </r>
  <r>
    <x v="0"/>
    <x v="2"/>
    <x v="1"/>
    <s v="Feb-15"/>
    <d v="2015-02-01T00:00:00"/>
    <x v="0"/>
    <n v="123.4"/>
    <n v="124.4"/>
    <n v="122.1"/>
    <n v="125.8"/>
    <n v="111.5"/>
    <n v="129.4"/>
    <x v="72"/>
    <n v="118.8"/>
    <n v="100"/>
    <n v="118.6"/>
    <n v="118.8"/>
    <n v="126.8"/>
    <n v="122.8"/>
    <n v="124.2"/>
    <n v="125.4"/>
    <n v="122.7"/>
    <n v="125"/>
    <n v="139.27096774193564"/>
    <n v="120"/>
    <n v="119.6"/>
    <n v="117.7"/>
    <n v="110.9"/>
    <n v="114.8"/>
    <n v="118.7"/>
    <n v="110.8"/>
    <n v="115"/>
    <n v="120.6"/>
    <n v="3009.6709677419362"/>
    <n v="459.3"/>
    <n v="248.10000000000002"/>
    <n v="258.8709677419356"/>
    <n v="1694.7999999999997"/>
    <x v="71"/>
    <n v="129.4354838709678"/>
    <n v="121.05714285714284"/>
  </r>
  <r>
    <x v="1"/>
    <x v="2"/>
    <x v="1"/>
    <s v="Feb-15"/>
    <d v="2015-02-01T00:00:00"/>
    <x v="0"/>
    <n v="124.3"/>
    <n v="126.5"/>
    <n v="119.5"/>
    <n v="125.6"/>
    <n v="104.9"/>
    <n v="121.6"/>
    <x v="73"/>
    <n v="125.1"/>
    <n v="95"/>
    <n v="127.7"/>
    <n v="116.8"/>
    <n v="128.6"/>
    <n v="123.7"/>
    <n v="128.1"/>
    <n v="121.3"/>
    <n v="116.5"/>
    <n v="120.6"/>
    <n v="118.1"/>
    <n v="114"/>
    <n v="117.7"/>
    <n v="114.1"/>
    <n v="106.8"/>
    <n v="114.9"/>
    <n v="120.4"/>
    <n v="111.7"/>
    <n v="113.2"/>
    <n v="118.7"/>
    <n v="2967.8999999999996"/>
    <n v="460.20000000000005"/>
    <n v="237.8"/>
    <n v="235.8"/>
    <n v="1699.2"/>
    <x v="69"/>
    <n v="117.9"/>
    <n v="121.37142857142858"/>
  </r>
  <r>
    <x v="2"/>
    <x v="2"/>
    <x v="1"/>
    <s v="Feb-15"/>
    <d v="2015-02-01T00:00:00"/>
    <x v="0"/>
    <n v="123.7"/>
    <n v="125.1"/>
    <n v="121.1"/>
    <n v="125.7"/>
    <n v="109.1"/>
    <n v="125.8"/>
    <x v="74"/>
    <n v="120.9"/>
    <n v="98.3"/>
    <n v="121.6"/>
    <n v="118"/>
    <n v="127.6"/>
    <n v="123.1"/>
    <n v="125.2"/>
    <n v="123.8"/>
    <n v="120.1"/>
    <n v="123.3"/>
    <n v="118.1"/>
    <n v="117.7"/>
    <n v="118.7"/>
    <n v="116.3"/>
    <n v="108.7"/>
    <n v="114.9"/>
    <n v="119.7"/>
    <n v="111.2"/>
    <n v="114.1"/>
    <n v="119.7"/>
    <n v="2977.8999999999996"/>
    <n v="459.9"/>
    <n v="243.89999999999998"/>
    <n v="236.8"/>
    <n v="1694.5999999999997"/>
    <x v="72"/>
    <n v="118.4"/>
    <n v="121.04285714285712"/>
  </r>
  <r>
    <x v="0"/>
    <x v="2"/>
    <x v="2"/>
    <s v="Mar-15"/>
    <d v="2015-03-01T00:00:00"/>
    <x v="0"/>
    <n v="123.3"/>
    <n v="124.7"/>
    <n v="118.9"/>
    <n v="126"/>
    <n v="111.8"/>
    <n v="130.9"/>
    <x v="75"/>
    <n v="119.9"/>
    <n v="98.9"/>
    <n v="119.4"/>
    <n v="118.9"/>
    <n v="127.7"/>
    <n v="123.1"/>
    <n v="124.7"/>
    <n v="126"/>
    <n v="122.9"/>
    <n v="125.5"/>
    <n v="139.27096774193564"/>
    <n v="120.6"/>
    <n v="120.2"/>
    <n v="118.2"/>
    <n v="111.6"/>
    <n v="115.5"/>
    <n v="119.4"/>
    <n v="110.8"/>
    <n v="115.5"/>
    <n v="121.1"/>
    <n v="3016.1709677419353"/>
    <n v="461.20000000000005"/>
    <n v="248.9"/>
    <n v="259.47096774193562"/>
    <n v="1696.2"/>
    <x v="73"/>
    <n v="129.73548387096781"/>
    <n v="121.15714285714286"/>
  </r>
  <r>
    <x v="1"/>
    <x v="2"/>
    <x v="2"/>
    <s v="Mar-15"/>
    <d v="2015-03-01T00:00:00"/>
    <x v="0"/>
    <n v="124"/>
    <n v="126.7"/>
    <n v="113.5"/>
    <n v="125.9"/>
    <n v="104.8"/>
    <n v="123.8"/>
    <x v="76"/>
    <n v="127.2"/>
    <n v="93.2"/>
    <n v="127.4"/>
    <n v="117"/>
    <n v="129.19999999999999"/>
    <n v="123.9"/>
    <n v="128.80000000000001"/>
    <n v="121.7"/>
    <n v="116.9"/>
    <n v="120.9"/>
    <n v="118.6"/>
    <n v="114.4"/>
    <n v="118"/>
    <n v="114.3"/>
    <n v="108.4"/>
    <n v="115.4"/>
    <n v="120.6"/>
    <n v="111.3"/>
    <n v="113.8"/>
    <n v="119.1"/>
    <n v="2970.2000000000003"/>
    <n v="461.1"/>
    <n v="238.60000000000002"/>
    <n v="236.6"/>
    <n v="1696.8000000000002"/>
    <x v="74"/>
    <n v="118.3"/>
    <n v="121.20000000000002"/>
  </r>
  <r>
    <x v="2"/>
    <x v="2"/>
    <x v="2"/>
    <s v="Mar-15"/>
    <d v="2015-03-01T00:00:00"/>
    <x v="0"/>
    <n v="123.5"/>
    <n v="125.4"/>
    <n v="116.8"/>
    <n v="126"/>
    <n v="109.2"/>
    <n v="127.6"/>
    <x v="17"/>
    <n v="122.4"/>
    <n v="97"/>
    <n v="122.1"/>
    <n v="118.1"/>
    <n v="128.4"/>
    <n v="123.4"/>
    <n v="125.8"/>
    <n v="124.3"/>
    <n v="120.4"/>
    <n v="123.7"/>
    <n v="118.6"/>
    <n v="118.3"/>
    <n v="119.2"/>
    <n v="116.7"/>
    <n v="109.9"/>
    <n v="115.4"/>
    <n v="120.1"/>
    <n v="111"/>
    <n v="114.7"/>
    <n v="120.2"/>
    <n v="2983.5000000000005"/>
    <n v="461.19999999999993"/>
    <n v="244.7"/>
    <n v="237.8"/>
    <n v="1694.8999999999999"/>
    <x v="75"/>
    <n v="118.9"/>
    <n v="121.0642857142857"/>
  </r>
  <r>
    <x v="0"/>
    <x v="2"/>
    <x v="3"/>
    <s v="Apr-15"/>
    <d v="2015-04-01T00:00:00"/>
    <x v="0"/>
    <n v="123.3"/>
    <n v="125.5"/>
    <n v="117.2"/>
    <n v="126.8"/>
    <n v="111.9"/>
    <n v="134.19999999999999"/>
    <x v="77"/>
    <n v="121.5"/>
    <n v="97.8"/>
    <n v="119.8"/>
    <n v="119.4"/>
    <n v="128.69999999999999"/>
    <n v="123.6"/>
    <n v="125.7"/>
    <n v="126.4"/>
    <n v="123.3"/>
    <n v="126"/>
    <n v="139.27096774193564"/>
    <n v="121.2"/>
    <n v="120.9"/>
    <n v="118.6"/>
    <n v="111.9"/>
    <n v="116.2"/>
    <n v="119.9"/>
    <n v="111.6"/>
    <n v="116"/>
    <n v="121.5"/>
    <n v="3028.1709677419362"/>
    <n v="463.7"/>
    <n v="249.7"/>
    <n v="260.17096774193567"/>
    <n v="1702.9"/>
    <x v="76"/>
    <n v="130.08548387096783"/>
    <n v="121.63571428571429"/>
  </r>
  <r>
    <x v="1"/>
    <x v="2"/>
    <x v="3"/>
    <s v="Apr-15"/>
    <d v="2015-04-01T00:00:00"/>
    <x v="0"/>
    <n v="123.8"/>
    <n v="128.19999999999999"/>
    <n v="110"/>
    <n v="126.3"/>
    <n v="104.5"/>
    <n v="130.6"/>
    <x v="78"/>
    <n v="131.30000000000001"/>
    <n v="91.6"/>
    <n v="127.7"/>
    <n v="117.2"/>
    <n v="129.5"/>
    <n v="124.6"/>
    <n v="130.1"/>
    <n v="122.1"/>
    <n v="117.2"/>
    <n v="121.3"/>
    <n v="119.2"/>
    <n v="114.7"/>
    <n v="118.4"/>
    <n v="114.6"/>
    <n v="108.4"/>
    <n v="115.6"/>
    <n v="121.7"/>
    <n v="111.8"/>
    <n v="114.2"/>
    <n v="119.7"/>
    <n v="2984.099999999999"/>
    <n v="463.29999999999995"/>
    <n v="239.3"/>
    <n v="237.60000000000002"/>
    <n v="1706.1999999999998"/>
    <x v="77"/>
    <n v="118.80000000000001"/>
    <n v="121.87142857142855"/>
  </r>
  <r>
    <x v="2"/>
    <x v="2"/>
    <x v="3"/>
    <s v="Apr-15"/>
    <d v="2015-04-01T00:00:00"/>
    <x v="0"/>
    <n v="123.5"/>
    <n v="126.4"/>
    <n v="114.4"/>
    <n v="126.6"/>
    <n v="109.2"/>
    <n v="132.5"/>
    <x v="79"/>
    <n v="124.8"/>
    <n v="95.7"/>
    <n v="122.4"/>
    <n v="118.5"/>
    <n v="129.1"/>
    <n v="124"/>
    <n v="126.9"/>
    <n v="124.7"/>
    <n v="120.8"/>
    <n v="124.1"/>
    <n v="119.2"/>
    <n v="118.7"/>
    <n v="119.7"/>
    <n v="117.1"/>
    <n v="110.1"/>
    <n v="115.9"/>
    <n v="121"/>
    <n v="111.7"/>
    <n v="115.1"/>
    <n v="120.7"/>
    <n v="2996.6"/>
    <n v="463.70000000000005"/>
    <n v="245.5"/>
    <n v="238.9"/>
    <n v="1702.6000000000001"/>
    <x v="78"/>
    <n v="119.45"/>
    <n v="121.61428571428573"/>
  </r>
  <r>
    <x v="0"/>
    <x v="2"/>
    <x v="4"/>
    <s v="May-15"/>
    <d v="2015-05-01T00:00:00"/>
    <x v="0"/>
    <n v="123.5"/>
    <n v="127.1"/>
    <n v="117.3"/>
    <n v="127.7"/>
    <n v="112.5"/>
    <n v="134.1"/>
    <x v="80"/>
    <n v="124.3"/>
    <n v="97.6"/>
    <n v="120.7"/>
    <n v="120.2"/>
    <n v="129.80000000000001"/>
    <n v="124.4"/>
    <n v="126.7"/>
    <n v="127.3"/>
    <n v="124.1"/>
    <n v="126.8"/>
    <n v="139.27096774193564"/>
    <n v="121.9"/>
    <n v="121.5"/>
    <n v="119.4"/>
    <n v="113.3"/>
    <n v="116.7"/>
    <n v="120.5"/>
    <n v="112.3"/>
    <n v="116.9"/>
    <n v="122.4"/>
    <n v="3047.5709677419354"/>
    <n v="466.4"/>
    <n v="251.39999999999998"/>
    <n v="260.77096774193564"/>
    <n v="1714.4"/>
    <x v="79"/>
    <n v="130.38548387096782"/>
    <n v="122.45714285714287"/>
  </r>
  <r>
    <x v="1"/>
    <x v="2"/>
    <x v="4"/>
    <s v="May-15"/>
    <d v="2015-05-01T00:00:00"/>
    <x v="0"/>
    <n v="123.8"/>
    <n v="129.69999999999999"/>
    <n v="111.3"/>
    <n v="126.6"/>
    <n v="105.2"/>
    <n v="130.80000000000001"/>
    <x v="81"/>
    <n v="142.6"/>
    <n v="90.8"/>
    <n v="128.80000000000001"/>
    <n v="117.7"/>
    <n v="129.9"/>
    <n v="126.1"/>
    <n v="131.30000000000001"/>
    <n v="122.4"/>
    <n v="117.4"/>
    <n v="121.6"/>
    <n v="119.6"/>
    <n v="114.9"/>
    <n v="118.7"/>
    <n v="114.9"/>
    <n v="110.8"/>
    <n v="116"/>
    <n v="122"/>
    <n v="112.4"/>
    <n v="115.2"/>
    <n v="120.7"/>
    <n v="3014.5000000000005"/>
    <n v="465.6"/>
    <n v="239.8"/>
    <n v="238.3"/>
    <n v="1730.2"/>
    <x v="80"/>
    <n v="119.15"/>
    <n v="123.58571428571429"/>
  </r>
  <r>
    <x v="2"/>
    <x v="2"/>
    <x v="4"/>
    <s v="May-15"/>
    <d v="2015-05-01T00:00:00"/>
    <x v="0"/>
    <n v="123.6"/>
    <n v="128"/>
    <n v="115"/>
    <n v="127.3"/>
    <n v="109.8"/>
    <n v="132.6"/>
    <x v="82"/>
    <n v="130.5"/>
    <n v="95.3"/>
    <n v="123.4"/>
    <n v="119.2"/>
    <n v="129.80000000000001"/>
    <n v="125"/>
    <n v="127.9"/>
    <n v="125.4"/>
    <n v="121.3"/>
    <n v="124.7"/>
    <n v="119.6"/>
    <n v="119.2"/>
    <n v="120.2"/>
    <n v="117.7"/>
    <n v="112"/>
    <n v="116.3"/>
    <n v="121.4"/>
    <n v="112.3"/>
    <n v="116.1"/>
    <n v="121.6"/>
    <n v="3019.8000000000006"/>
    <n v="466.09999999999997"/>
    <n v="246.7"/>
    <n v="239.8"/>
    <n v="1718.3000000000002"/>
    <x v="81"/>
    <n v="119.9"/>
    <n v="122.73571428571429"/>
  </r>
  <r>
    <x v="0"/>
    <x v="2"/>
    <x v="5"/>
    <s v="Jun-15"/>
    <d v="2015-06-01T00:00:00"/>
    <x v="0"/>
    <n v="124.1"/>
    <n v="130.4"/>
    <n v="122.1"/>
    <n v="128.69999999999999"/>
    <n v="114.1"/>
    <n v="133.19999999999999"/>
    <x v="83"/>
    <n v="131.9"/>
    <n v="96.3"/>
    <n v="123"/>
    <n v="121.1"/>
    <n v="131.19999999999999"/>
    <n v="126.6"/>
    <n v="128.19999999999999"/>
    <n v="128.4"/>
    <n v="125.1"/>
    <n v="128"/>
    <n v="139.27096774193564"/>
    <n v="122.6"/>
    <n v="122.8"/>
    <n v="120.4"/>
    <n v="114.2"/>
    <n v="117.9"/>
    <n v="122"/>
    <n v="113"/>
    <n v="117.9"/>
    <n v="124.1"/>
    <n v="3089.6709677419353"/>
    <n v="470.79999999999995"/>
    <n v="253.5"/>
    <n v="262.07096774193565"/>
    <n v="1746.1"/>
    <x v="82"/>
    <n v="131.03548387096782"/>
    <n v="124.72142857142856"/>
  </r>
  <r>
    <x v="1"/>
    <x v="2"/>
    <x v="5"/>
    <s v="Jun-15"/>
    <d v="2015-06-01T00:00:00"/>
    <x v="0"/>
    <n v="123.6"/>
    <n v="134.4"/>
    <n v="120.9"/>
    <n v="127.3"/>
    <n v="106"/>
    <n v="132.30000000000001"/>
    <x v="84"/>
    <n v="148.1"/>
    <n v="89.8"/>
    <n v="130.5"/>
    <n v="118"/>
    <n v="130.5"/>
    <n v="128.5"/>
    <n v="132.1"/>
    <n v="123.2"/>
    <n v="117.6"/>
    <n v="122.3"/>
    <n v="119"/>
    <n v="115.1"/>
    <n v="119.2"/>
    <n v="115.4"/>
    <n v="111.7"/>
    <n v="116.2"/>
    <n v="123.8"/>
    <n v="112.5"/>
    <n v="116"/>
    <n v="121.7"/>
    <n v="3058.4"/>
    <n v="468.5"/>
    <n v="240.8"/>
    <n v="238.2"/>
    <n v="1768.6999999999998"/>
    <x v="83"/>
    <n v="119.1"/>
    <n v="126.33571428571427"/>
  </r>
  <r>
    <x v="2"/>
    <x v="2"/>
    <x v="5"/>
    <s v="Jun-15"/>
    <d v="2015-06-01T00:00:00"/>
    <x v="0"/>
    <n v="123.9"/>
    <n v="131.80000000000001"/>
    <n v="121.6"/>
    <n v="128.19999999999999"/>
    <n v="111.1"/>
    <n v="132.80000000000001"/>
    <x v="85"/>
    <n v="137.4"/>
    <n v="94.1"/>
    <n v="125.5"/>
    <n v="119.8"/>
    <n v="130.9"/>
    <n v="127.3"/>
    <n v="129.19999999999999"/>
    <n v="126.4"/>
    <n v="122"/>
    <n v="125.7"/>
    <n v="119"/>
    <n v="119.8"/>
    <n v="121.1"/>
    <n v="118.5"/>
    <n v="112.9"/>
    <n v="116.9"/>
    <n v="123.1"/>
    <n v="112.8"/>
    <n v="117"/>
    <n v="123"/>
    <n v="3062.2"/>
    <n v="469.79999999999995"/>
    <n v="248.4"/>
    <n v="240.1"/>
    <n v="1752.7"/>
    <x v="84"/>
    <n v="120.05"/>
    <n v="125.19285714285715"/>
  </r>
  <r>
    <x v="0"/>
    <x v="2"/>
    <x v="6"/>
    <s v="Jul-15"/>
    <d v="2015-07-01T00:00:00"/>
    <x v="0"/>
    <n v="124"/>
    <n v="131.5"/>
    <n v="122"/>
    <n v="128.69999999999999"/>
    <n v="113.5"/>
    <n v="133.30000000000001"/>
    <x v="86"/>
    <n v="133.80000000000001"/>
    <n v="94.1"/>
    <n v="123.4"/>
    <n v="121"/>
    <n v="131.69999999999999"/>
    <n v="127.5"/>
    <n v="129.4"/>
    <n v="128.80000000000001"/>
    <n v="125.5"/>
    <n v="128.30000000000001"/>
    <n v="139.27096774193564"/>
    <n v="123"/>
    <n v="123"/>
    <n v="120.8"/>
    <n v="114.1"/>
    <n v="118"/>
    <n v="122.9"/>
    <n v="112.7"/>
    <n v="118.1"/>
    <n v="124.7"/>
    <n v="3100.8709677419356"/>
    <n v="471.70000000000005"/>
    <n v="254.3"/>
    <n v="262.27096774193564"/>
    <n v="1754.7"/>
    <x v="85"/>
    <n v="131.13548387096782"/>
    <n v="125.33571428571429"/>
  </r>
  <r>
    <x v="1"/>
    <x v="2"/>
    <x v="6"/>
    <s v="Jul-15"/>
    <d v="2015-07-01T00:00:00"/>
    <x v="0"/>
    <n v="123.2"/>
    <n v="134.30000000000001"/>
    <n v="119.5"/>
    <n v="127.7"/>
    <n v="106.3"/>
    <n v="132.80000000000001"/>
    <x v="87"/>
    <n v="149.5"/>
    <n v="85.7"/>
    <n v="131.5"/>
    <n v="118.3"/>
    <n v="131.1"/>
    <n v="129.5"/>
    <n v="133.1"/>
    <n v="123.5"/>
    <n v="117.9"/>
    <n v="122.7"/>
    <n v="119.9"/>
    <n v="115.3"/>
    <n v="119.5"/>
    <n v="116"/>
    <n v="111.5"/>
    <n v="116.6"/>
    <n v="125.4"/>
    <n v="111.7"/>
    <n v="116.3"/>
    <n v="122.4"/>
    <n v="3069.6"/>
    <n v="470"/>
    <n v="241.4"/>
    <n v="239.4"/>
    <n v="1775.9999999999998"/>
    <x v="86"/>
    <n v="119.7"/>
    <n v="126.85714285714285"/>
  </r>
  <r>
    <x v="2"/>
    <x v="2"/>
    <x v="6"/>
    <s v="Jul-15"/>
    <d v="2015-07-01T00:00:00"/>
    <x v="0"/>
    <n v="123.7"/>
    <n v="132.5"/>
    <n v="121"/>
    <n v="128.30000000000001"/>
    <n v="110.9"/>
    <n v="133.1"/>
    <x v="88"/>
    <n v="139.1"/>
    <n v="91.3"/>
    <n v="126.1"/>
    <n v="119.9"/>
    <n v="131.4"/>
    <n v="128.19999999999999"/>
    <n v="130.4"/>
    <n v="126.7"/>
    <n v="122.3"/>
    <n v="126.1"/>
    <n v="119.9"/>
    <n v="120.1"/>
    <n v="121.3"/>
    <n v="119"/>
    <n v="112.7"/>
    <n v="117.2"/>
    <n v="124.4"/>
    <n v="112.3"/>
    <n v="117.2"/>
    <n v="123.6"/>
    <n v="3074.1"/>
    <n v="471.09999999999997"/>
    <n v="249"/>
    <n v="241.2"/>
    <n v="1761.0000000000002"/>
    <x v="87"/>
    <n v="120.6"/>
    <n v="125.78571428571431"/>
  </r>
  <r>
    <x v="0"/>
    <x v="2"/>
    <x v="7"/>
    <s v="Aug-15"/>
    <d v="2015-08-01T00:00:00"/>
    <x v="0"/>
    <n v="124.7"/>
    <n v="131.30000000000001"/>
    <n v="121.3"/>
    <n v="128.80000000000001"/>
    <n v="114"/>
    <n v="134.19999999999999"/>
    <x v="89"/>
    <n v="137.9"/>
    <n v="93.1"/>
    <n v="123.9"/>
    <n v="121.5"/>
    <n v="132.5"/>
    <n v="129.80000000000001"/>
    <n v="130.1"/>
    <n v="129.5"/>
    <n v="126.3"/>
    <n v="129"/>
    <n v="139.27096774193564"/>
    <n v="123.8"/>
    <n v="123.7"/>
    <n v="121.1"/>
    <n v="113.6"/>
    <n v="118.5"/>
    <n v="123.6"/>
    <n v="112.5"/>
    <n v="118.2"/>
    <n v="126.1"/>
    <n v="3126.7709677419357"/>
    <n v="472.79999999999995"/>
    <n v="255.8"/>
    <n v="262.97096774193562"/>
    <n v="1776.6999999999998"/>
    <x v="88"/>
    <n v="131.48548387096781"/>
    <n v="126.90714285714284"/>
  </r>
  <r>
    <x v="1"/>
    <x v="2"/>
    <x v="7"/>
    <s v="Aug-15"/>
    <d v="2015-08-01T00:00:00"/>
    <x v="0"/>
    <n v="123.1"/>
    <n v="131.69999999999999"/>
    <n v="118.1"/>
    <n v="128"/>
    <n v="106.8"/>
    <n v="130.1"/>
    <x v="90"/>
    <n v="156"/>
    <n v="85.3"/>
    <n v="132.69999999999999"/>
    <n v="118.8"/>
    <n v="131.69999999999999"/>
    <n v="131.1"/>
    <n v="134.19999999999999"/>
    <n v="123.7"/>
    <n v="118.2"/>
    <n v="122.9"/>
    <n v="120.9"/>
    <n v="115.3"/>
    <n v="120"/>
    <n v="116.6"/>
    <n v="109.9"/>
    <n v="117.2"/>
    <n v="126.2"/>
    <n v="112"/>
    <n v="116.2"/>
    <n v="123.2"/>
    <n v="3089.2999999999988"/>
    <n v="471.59999999999997"/>
    <n v="241.9"/>
    <n v="240.9"/>
    <n v="1793.1"/>
    <x v="89"/>
    <n v="120.45"/>
    <n v="128.07857142857142"/>
  </r>
  <r>
    <x v="2"/>
    <x v="2"/>
    <x v="7"/>
    <s v="Aug-15"/>
    <d v="2015-08-01T00:00:00"/>
    <x v="0"/>
    <n v="124.2"/>
    <n v="131.4"/>
    <n v="120.1"/>
    <n v="128.5"/>
    <n v="111.4"/>
    <n v="132.30000000000001"/>
    <x v="91"/>
    <n v="144"/>
    <n v="90.5"/>
    <n v="126.8"/>
    <n v="120.4"/>
    <n v="132.1"/>
    <n v="130.30000000000001"/>
    <n v="131.19999999999999"/>
    <n v="127.2"/>
    <n v="122.9"/>
    <n v="126.6"/>
    <n v="120.9"/>
    <n v="120.6"/>
    <n v="122"/>
    <n v="119.4"/>
    <n v="111.7"/>
    <n v="117.8"/>
    <n v="125.1"/>
    <n v="112.3"/>
    <n v="117.2"/>
    <n v="124.8"/>
    <n v="3097.9"/>
    <n v="472.40000000000003"/>
    <n v="250.10000000000002"/>
    <n v="242.9"/>
    <n v="1780.8"/>
    <x v="90"/>
    <n v="121.45"/>
    <n v="127.2"/>
  </r>
  <r>
    <x v="0"/>
    <x v="2"/>
    <x v="8"/>
    <s v="Sep-15"/>
    <d v="2015-09-01T00:00:00"/>
    <x v="0"/>
    <n v="125.1"/>
    <n v="131.1"/>
    <n v="120.7"/>
    <n v="129.19999999999999"/>
    <n v="114.7"/>
    <n v="132.30000000000001"/>
    <x v="92"/>
    <n v="142.1"/>
    <n v="92.5"/>
    <n v="125.4"/>
    <n v="121.9"/>
    <n v="132.69999999999999"/>
    <n v="131"/>
    <n v="131"/>
    <n v="130.4"/>
    <n v="126.8"/>
    <n v="129.9"/>
    <n v="139.27096774193564"/>
    <n v="123.7"/>
    <n v="124.5"/>
    <n v="121.4"/>
    <n v="113.8"/>
    <n v="119.6"/>
    <n v="124.5"/>
    <n v="113.7"/>
    <n v="118.8"/>
    <n v="127"/>
    <n v="3145.0709677419359"/>
    <n v="476.6"/>
    <n v="257.2"/>
    <n v="263.77096774193564"/>
    <n v="1788.6000000000001"/>
    <x v="91"/>
    <n v="131.88548387096782"/>
    <n v="127.75714285714287"/>
  </r>
  <r>
    <x v="1"/>
    <x v="2"/>
    <x v="8"/>
    <s v="Sep-15"/>
    <d v="2015-09-01T00:00:00"/>
    <x v="0"/>
    <n v="123.4"/>
    <n v="129"/>
    <n v="115.6"/>
    <n v="128.30000000000001"/>
    <n v="107"/>
    <n v="124"/>
    <x v="93"/>
    <n v="165.4"/>
    <n v="86.3"/>
    <n v="134.4"/>
    <n v="119.1"/>
    <n v="132.30000000000001"/>
    <n v="131.5"/>
    <n v="134.69999999999999"/>
    <n v="124"/>
    <n v="118.6"/>
    <n v="123.2"/>
    <n v="121.6"/>
    <n v="115.1"/>
    <n v="120.4"/>
    <n v="117.1"/>
    <n v="109.1"/>
    <n v="117.3"/>
    <n v="126.5"/>
    <n v="112.9"/>
    <n v="116.2"/>
    <n v="123.5"/>
    <n v="3098.3"/>
    <n v="472.90000000000003"/>
    <n v="242.6"/>
    <n v="242"/>
    <n v="1799.5"/>
    <x v="92"/>
    <n v="121"/>
    <n v="128.53571428571428"/>
  </r>
  <r>
    <x v="2"/>
    <x v="2"/>
    <x v="8"/>
    <s v="Sep-15"/>
    <d v="2015-09-01T00:00:00"/>
    <x v="0"/>
    <n v="124.6"/>
    <n v="130.4"/>
    <n v="118.7"/>
    <n v="128.9"/>
    <n v="111.9"/>
    <n v="128.4"/>
    <x v="94"/>
    <n v="150"/>
    <n v="90.4"/>
    <n v="128.4"/>
    <n v="120.7"/>
    <n v="132.5"/>
    <n v="131.19999999999999"/>
    <n v="132"/>
    <n v="127.9"/>
    <n v="123.4"/>
    <n v="127.2"/>
    <n v="121.6"/>
    <n v="120.4"/>
    <n v="122.6"/>
    <n v="119.8"/>
    <n v="111.3"/>
    <n v="118.3"/>
    <n v="125.7"/>
    <n v="113.4"/>
    <n v="117.5"/>
    <n v="125.4"/>
    <n v="3112.2000000000003"/>
    <n v="474.90000000000003"/>
    <n v="251.3"/>
    <n v="244.2"/>
    <n v="1790.3000000000002"/>
    <x v="93"/>
    <n v="122.1"/>
    <n v="127.87857142857145"/>
  </r>
  <r>
    <x v="0"/>
    <x v="2"/>
    <x v="9"/>
    <s v="Oct-15"/>
    <d v="2015-10-01T00:00:00"/>
    <x v="0"/>
    <n v="125.6"/>
    <n v="130.4"/>
    <n v="120.8"/>
    <n v="129.4"/>
    <n v="115.8"/>
    <n v="133.19999999999999"/>
    <x v="53"/>
    <n v="154.19999999999999"/>
    <n v="93.7"/>
    <n v="126.6"/>
    <n v="122.3"/>
    <n v="133.1"/>
    <n v="131.80000000000001"/>
    <n v="131.5"/>
    <n v="131.1"/>
    <n v="127.3"/>
    <n v="130.6"/>
    <n v="139.27096774193564"/>
    <n v="124.4"/>
    <n v="125.1"/>
    <n v="122"/>
    <n v="113.8"/>
    <n v="120.1"/>
    <n v="125.1"/>
    <n v="114.2"/>
    <n v="119.2"/>
    <n v="127.7"/>
    <n v="3167.6709677419358"/>
    <n v="478.6"/>
    <n v="258.39999999999998"/>
    <n v="264.3709677419356"/>
    <n v="1806.1"/>
    <x v="94"/>
    <n v="132.1854838709678"/>
    <n v="129.00714285714284"/>
  </r>
  <r>
    <x v="1"/>
    <x v="2"/>
    <x v="9"/>
    <s v="Oct-15"/>
    <d v="2015-10-01T00:00:00"/>
    <x v="0"/>
    <n v="123.6"/>
    <n v="128.6"/>
    <n v="115.9"/>
    <n v="128.5"/>
    <n v="109"/>
    <n v="124.1"/>
    <x v="95"/>
    <n v="187.2"/>
    <n v="89.4"/>
    <n v="135.80000000000001"/>
    <n v="119.4"/>
    <n v="132.9"/>
    <n v="132.6"/>
    <n v="135.30000000000001"/>
    <n v="124.4"/>
    <n v="118.8"/>
    <n v="123.6"/>
    <n v="122.4"/>
    <n v="114.9"/>
    <n v="120.7"/>
    <n v="117.7"/>
    <n v="109.3"/>
    <n v="117.7"/>
    <n v="126.5"/>
    <n v="113.5"/>
    <n v="116.5"/>
    <n v="124.2"/>
    <n v="3130.5000000000005"/>
    <n v="474.2"/>
    <n v="243.2"/>
    <n v="243.10000000000002"/>
    <n v="1828.1000000000001"/>
    <x v="95"/>
    <n v="121.55000000000001"/>
    <n v="130.57857142857145"/>
  </r>
  <r>
    <x v="2"/>
    <x v="2"/>
    <x v="9"/>
    <s v="Oct-15"/>
    <d v="2015-10-01T00:00:00"/>
    <x v="0"/>
    <n v="125"/>
    <n v="129.80000000000001"/>
    <n v="118.9"/>
    <n v="129.1"/>
    <n v="113.3"/>
    <n v="129"/>
    <x v="96"/>
    <n v="165.3"/>
    <n v="92.3"/>
    <n v="129.69999999999999"/>
    <n v="121.1"/>
    <n v="133"/>
    <n v="132.1"/>
    <n v="132.5"/>
    <n v="128.5"/>
    <n v="123.8"/>
    <n v="127.8"/>
    <n v="122.4"/>
    <n v="120.8"/>
    <n v="123"/>
    <n v="120.4"/>
    <n v="111.4"/>
    <n v="118.7"/>
    <n v="125.9"/>
    <n v="113.9"/>
    <n v="117.9"/>
    <n v="126.1"/>
    <n v="3138.2000000000003"/>
    <n v="476.40000000000003"/>
    <n v="252.3"/>
    <n v="245.4"/>
    <n v="1811.4999999999998"/>
    <x v="96"/>
    <n v="122.7"/>
    <n v="129.39285714285714"/>
  </r>
  <r>
    <x v="0"/>
    <x v="2"/>
    <x v="11"/>
    <s v="Nov-15"/>
    <d v="2015-11-01T00:00:00"/>
    <x v="0"/>
    <n v="126.1"/>
    <n v="130.6"/>
    <n v="121.7"/>
    <n v="129.5"/>
    <n v="117.8"/>
    <n v="132.1"/>
    <x v="97"/>
    <n v="160.80000000000001"/>
    <n v="94.5"/>
    <n v="128.30000000000001"/>
    <n v="123.1"/>
    <n v="134.19999999999999"/>
    <n v="132.4"/>
    <n v="132.19999999999999"/>
    <n v="132.1"/>
    <n v="128.19999999999999"/>
    <n v="131.5"/>
    <n v="139.27096774193564"/>
    <n v="125.6"/>
    <n v="125.6"/>
    <n v="122.6"/>
    <n v="114"/>
    <n v="120.9"/>
    <n v="125.8"/>
    <n v="114.2"/>
    <n v="119.6"/>
    <n v="128.30000000000001"/>
    <n v="3186.3709677419351"/>
    <n v="480.5"/>
    <n v="260.29999999999995"/>
    <n v="264.8709677419356"/>
    <n v="1818.5"/>
    <x v="97"/>
    <n v="132.4354838709678"/>
    <n v="129.89285714285714"/>
  </r>
  <r>
    <x v="1"/>
    <x v="2"/>
    <x v="11"/>
    <s v="Nov-15"/>
    <d v="2015-11-01T00:00:00"/>
    <x v="0"/>
    <n v="124"/>
    <n v="129.80000000000001"/>
    <n v="121.5"/>
    <n v="128.6"/>
    <n v="110"/>
    <n v="123.7"/>
    <x v="98"/>
    <n v="191.6"/>
    <n v="90.8"/>
    <n v="137.1"/>
    <n v="119.8"/>
    <n v="133.69999999999999"/>
    <n v="133.30000000000001"/>
    <n v="137.6"/>
    <n v="125"/>
    <n v="119.3"/>
    <n v="124.2"/>
    <n v="122.9"/>
    <n v="115.1"/>
    <n v="121"/>
    <n v="118.1"/>
    <n v="109.3"/>
    <n v="117.9"/>
    <n v="126.6"/>
    <n v="113.3"/>
    <n v="116.6"/>
    <n v="124.6"/>
    <n v="3151.2000000000003"/>
    <n v="474.4"/>
    <n v="244.3"/>
    <n v="243.9"/>
    <n v="1846.0999999999997"/>
    <x v="98"/>
    <n v="121.95"/>
    <n v="131.8642857142857"/>
  </r>
  <r>
    <x v="2"/>
    <x v="2"/>
    <x v="11"/>
    <s v="Nov-15"/>
    <d v="2015-11-01T00:00:00"/>
    <x v="0"/>
    <n v="125.4"/>
    <n v="130.30000000000001"/>
    <n v="121.6"/>
    <n v="129.19999999999999"/>
    <n v="114.9"/>
    <n v="128.19999999999999"/>
    <x v="99"/>
    <n v="171.2"/>
    <n v="93.3"/>
    <n v="131.19999999999999"/>
    <n v="121.7"/>
    <n v="134"/>
    <n v="132.69999999999999"/>
    <n v="133.6"/>
    <n v="129.30000000000001"/>
    <n v="124.5"/>
    <n v="128.6"/>
    <n v="122.9"/>
    <n v="121.6"/>
    <n v="123.4"/>
    <n v="120.9"/>
    <n v="111.5"/>
    <n v="119.2"/>
    <n v="126.3"/>
    <n v="113.8"/>
    <n v="118.1"/>
    <n v="126.6"/>
    <n v="3157.2"/>
    <n v="477.4"/>
    <n v="253.8"/>
    <n v="246.3"/>
    <n v="1825.6999999999998"/>
    <x v="99"/>
    <n v="123.15"/>
    <n v="130.40714285714284"/>
  </r>
  <r>
    <x v="0"/>
    <x v="2"/>
    <x v="12"/>
    <s v="Dec-15"/>
    <d v="2015-12-01T00:00:00"/>
    <x v="0"/>
    <n v="126.3"/>
    <n v="131.30000000000001"/>
    <n v="123.3"/>
    <n v="129.80000000000001"/>
    <n v="118.3"/>
    <n v="131.6"/>
    <x v="100"/>
    <n v="162.1"/>
    <n v="95.4"/>
    <n v="128.9"/>
    <n v="123.3"/>
    <n v="135.1"/>
    <n v="131.4"/>
    <n v="133.1"/>
    <n v="132.5"/>
    <n v="128.5"/>
    <n v="131.9"/>
    <n v="139.27096774193564"/>
    <n v="125.7"/>
    <n v="126"/>
    <n v="123.1"/>
    <n v="114"/>
    <n v="121.6"/>
    <n v="125.6"/>
    <n v="114.1"/>
    <n v="119.8"/>
    <n v="127.9"/>
    <n v="3185.5709677419359"/>
    <n v="481.1"/>
    <n v="261"/>
    <n v="265.27096774193564"/>
    <n v="1815.4"/>
    <x v="100"/>
    <n v="132.63548387096782"/>
    <n v="129.67142857142858"/>
  </r>
  <r>
    <x v="1"/>
    <x v="2"/>
    <x v="12"/>
    <s v="Dec-15"/>
    <d v="2015-12-01T00:00:00"/>
    <x v="0"/>
    <n v="124.3"/>
    <n v="131.69999999999999"/>
    <n v="127.1"/>
    <n v="128.6"/>
    <n v="110"/>
    <n v="120.8"/>
    <x v="101"/>
    <n v="190.1"/>
    <n v="92.7"/>
    <n v="138.6"/>
    <n v="120.2"/>
    <n v="134.19999999999999"/>
    <n v="131.5"/>
    <n v="138.19999999999999"/>
    <n v="125.4"/>
    <n v="119.5"/>
    <n v="124.5"/>
    <n v="122.4"/>
    <n v="116"/>
    <n v="121"/>
    <n v="118.6"/>
    <n v="109.3"/>
    <n v="118.1"/>
    <n v="126.6"/>
    <n v="113.2"/>
    <n v="116.7"/>
    <n v="124"/>
    <n v="3143.7999999999993"/>
    <n v="474.6"/>
    <n v="244.9"/>
    <n v="243.4"/>
    <n v="1837"/>
    <x v="101"/>
    <n v="121.7"/>
    <n v="131.21428571428572"/>
  </r>
  <r>
    <x v="2"/>
    <x v="2"/>
    <x v="12"/>
    <s v="Dec-15"/>
    <d v="2015-12-01T00:00:00"/>
    <x v="0"/>
    <n v="125.7"/>
    <n v="131.4"/>
    <n v="124.8"/>
    <n v="129.4"/>
    <n v="115.3"/>
    <n v="126.6"/>
    <x v="84"/>
    <n v="171.5"/>
    <n v="94.5"/>
    <n v="132.1"/>
    <n v="122"/>
    <n v="134.69999999999999"/>
    <n v="131.4"/>
    <n v="134.5"/>
    <n v="129.69999999999999"/>
    <n v="124.8"/>
    <n v="129"/>
    <n v="122.4"/>
    <n v="122"/>
    <n v="123.6"/>
    <n v="121.4"/>
    <n v="111.5"/>
    <n v="119.6"/>
    <n v="126.2"/>
    <n v="113.7"/>
    <n v="118.3"/>
    <n v="126.1"/>
    <n v="3153.8"/>
    <n v="477.79999999999995"/>
    <n v="254.5"/>
    <n v="246"/>
    <n v="1820.6000000000001"/>
    <x v="102"/>
    <n v="123"/>
    <n v="130.04285714285714"/>
  </r>
  <r>
    <x v="0"/>
    <x v="3"/>
    <x v="0"/>
    <s v="Jan-16"/>
    <d v="2016-01-01T00:00:00"/>
    <x v="0"/>
    <n v="126.8"/>
    <n v="133.19999999999999"/>
    <n v="126.5"/>
    <n v="130.30000000000001"/>
    <n v="118.9"/>
    <n v="131.6"/>
    <x v="102"/>
    <n v="163.80000000000001"/>
    <n v="97.7"/>
    <n v="129.6"/>
    <n v="124.3"/>
    <n v="135.9"/>
    <n v="131.4"/>
    <n v="133.6"/>
    <n v="133.19999999999999"/>
    <n v="128.9"/>
    <n v="132.6"/>
    <n v="139.27096774193564"/>
    <n v="126.2"/>
    <n v="126.6"/>
    <n v="123.7"/>
    <n v="113.6"/>
    <n v="121.4"/>
    <n v="126.2"/>
    <n v="114.9"/>
    <n v="120.1"/>
    <n v="128.1"/>
    <n v="3197.7709677419357"/>
    <n v="482.6"/>
    <n v="262.10000000000002"/>
    <n v="265.8709677419356"/>
    <n v="1823.7"/>
    <x v="103"/>
    <n v="132.9354838709678"/>
    <n v="130.26428571428571"/>
  </r>
  <r>
    <x v="1"/>
    <x v="3"/>
    <x v="0"/>
    <s v="Jan-16"/>
    <d v="2016-01-01T00:00:00"/>
    <x v="0"/>
    <n v="124.7"/>
    <n v="135.9"/>
    <n v="132"/>
    <n v="129.19999999999999"/>
    <n v="109.7"/>
    <n v="119"/>
    <x v="103"/>
    <n v="184.2"/>
    <n v="96.7"/>
    <n v="139.5"/>
    <n v="120.5"/>
    <n v="134.69999999999999"/>
    <n v="131.19999999999999"/>
    <n v="139.5"/>
    <n v="125.8"/>
    <n v="119.8"/>
    <n v="124.9"/>
    <n v="123.4"/>
    <n v="116.9"/>
    <n v="121.6"/>
    <n v="119.1"/>
    <n v="108.9"/>
    <n v="118.5"/>
    <n v="126.4"/>
    <n v="114"/>
    <n v="116.8"/>
    <n v="124.2"/>
    <n v="3152.1"/>
    <n v="475.70000000000005"/>
    <n v="245.6"/>
    <n v="245"/>
    <n v="1840.9"/>
    <x v="104"/>
    <n v="122.5"/>
    <n v="131.49285714285716"/>
  </r>
  <r>
    <x v="2"/>
    <x v="3"/>
    <x v="0"/>
    <s v="Jan-16"/>
    <d v="2016-01-01T00:00:00"/>
    <x v="0"/>
    <n v="126.1"/>
    <n v="134.1"/>
    <n v="128.6"/>
    <n v="129.9"/>
    <n v="115.5"/>
    <n v="125.7"/>
    <x v="104"/>
    <n v="170.7"/>
    <n v="97.4"/>
    <n v="132.9"/>
    <n v="122.7"/>
    <n v="135.30000000000001"/>
    <n v="131.30000000000001"/>
    <n v="135.19999999999999"/>
    <n v="130.30000000000001"/>
    <n v="125.1"/>
    <n v="129.5"/>
    <n v="123.4"/>
    <n v="122.7"/>
    <n v="124.2"/>
    <n v="122"/>
    <n v="111.1"/>
    <n v="119.8"/>
    <n v="126.3"/>
    <n v="114.5"/>
    <n v="118.5"/>
    <n v="126.3"/>
    <n v="3164.8"/>
    <n v="479.1"/>
    <n v="255.4"/>
    <n v="247.60000000000002"/>
    <n v="1826.9"/>
    <x v="105"/>
    <n v="123.80000000000001"/>
    <n v="130.49285714285716"/>
  </r>
  <r>
    <x v="0"/>
    <x v="3"/>
    <x v="1"/>
    <s v="Feb-16"/>
    <d v="2016-02-01T00:00:00"/>
    <x v="0"/>
    <n v="127.1"/>
    <n v="133.69999999999999"/>
    <n v="127.7"/>
    <n v="130.69999999999999"/>
    <n v="118.5"/>
    <n v="130.4"/>
    <x v="82"/>
    <n v="162.80000000000001"/>
    <n v="98.7"/>
    <n v="130.6"/>
    <n v="124.8"/>
    <n v="136.4"/>
    <n v="130.30000000000001"/>
    <n v="134.4"/>
    <n v="133.9"/>
    <n v="129.80000000000001"/>
    <n v="133.4"/>
    <n v="139.27096774193564"/>
    <n v="127.5"/>
    <n v="127.1"/>
    <n v="124.3"/>
    <n v="113.9"/>
    <n v="122.3"/>
    <n v="127.1"/>
    <n v="116.8"/>
    <n v="120.9"/>
    <n v="127.9"/>
    <n v="3199.8709677419365"/>
    <n v="487.09999999999997"/>
    <n v="263.70000000000005"/>
    <n v="266.3709677419356"/>
    <n v="1817"/>
    <x v="106"/>
    <n v="133.1854838709678"/>
    <n v="129.78571428571428"/>
  </r>
  <r>
    <x v="1"/>
    <x v="3"/>
    <x v="1"/>
    <s v="Feb-16"/>
    <d v="2016-02-01T00:00:00"/>
    <x v="0"/>
    <n v="124.8"/>
    <n v="135.1"/>
    <n v="130.30000000000001"/>
    <n v="129.6"/>
    <n v="108.4"/>
    <n v="118.6"/>
    <x v="17"/>
    <n v="176.4"/>
    <n v="99.1"/>
    <n v="139.69999999999999"/>
    <n v="120.6"/>
    <n v="135.19999999999999"/>
    <n v="129.1"/>
    <n v="140"/>
    <n v="126.2"/>
    <n v="120.1"/>
    <n v="125.3"/>
    <n v="124.4"/>
    <n v="116"/>
    <n v="121.8"/>
    <n v="119.5"/>
    <n v="109.1"/>
    <n v="118.8"/>
    <n v="126.3"/>
    <n v="116.2"/>
    <n v="117.2"/>
    <n v="123.8"/>
    <n v="3131.6999999999989"/>
    <n v="478.5"/>
    <n v="246.3"/>
    <n v="246.2"/>
    <n v="1816.1"/>
    <x v="107"/>
    <n v="123.1"/>
    <n v="129.72142857142856"/>
  </r>
  <r>
    <x v="2"/>
    <x v="3"/>
    <x v="1"/>
    <s v="Feb-16"/>
    <d v="2016-02-01T00:00:00"/>
    <x v="0"/>
    <n v="126.4"/>
    <n v="134.19999999999999"/>
    <n v="128.69999999999999"/>
    <n v="130.30000000000001"/>
    <n v="114.8"/>
    <n v="124.9"/>
    <x v="105"/>
    <n v="167.4"/>
    <n v="98.8"/>
    <n v="133.6"/>
    <n v="123"/>
    <n v="135.80000000000001"/>
    <n v="129.9"/>
    <n v="135.9"/>
    <n v="130.9"/>
    <n v="125.8"/>
    <n v="130.19999999999999"/>
    <n v="124.4"/>
    <n v="123.1"/>
    <n v="124.6"/>
    <n v="122.5"/>
    <n v="111.4"/>
    <n v="120.3"/>
    <n v="126.6"/>
    <n v="116.6"/>
    <n v="119.1"/>
    <n v="126"/>
    <n v="3159.3000000000006"/>
    <n v="482.59999999999997"/>
    <n v="256.7"/>
    <n v="249"/>
    <n v="1814"/>
    <x v="108"/>
    <n v="124.5"/>
    <n v="129.57142857142858"/>
  </r>
  <r>
    <x v="0"/>
    <x v="3"/>
    <x v="2"/>
    <s v="Mar-16"/>
    <d v="2016-03-01T00:00:00"/>
    <x v="0"/>
    <n v="127.3"/>
    <n v="134.4"/>
    <n v="125.1"/>
    <n v="130.5"/>
    <n v="118.3"/>
    <n v="131.69999999999999"/>
    <x v="106"/>
    <n v="161.19999999999999"/>
    <n v="100.4"/>
    <n v="130.80000000000001"/>
    <n v="124.9"/>
    <n v="137"/>
    <n v="130.4"/>
    <n v="135"/>
    <n v="134.4"/>
    <n v="130.19999999999999"/>
    <n v="133.80000000000001"/>
    <n v="139.27096774193564"/>
    <n v="127"/>
    <n v="127.7"/>
    <n v="124.8"/>
    <n v="113.6"/>
    <n v="122.5"/>
    <n v="127.5"/>
    <n v="117.4"/>
    <n v="121.1"/>
    <n v="128"/>
    <n v="3203.1709677419358"/>
    <n v="488.5"/>
    <n v="264.60000000000002"/>
    <n v="266.97096774193562"/>
    <n v="1817.7000000000003"/>
    <x v="109"/>
    <n v="133.48548387096781"/>
    <n v="129.83571428571432"/>
  </r>
  <r>
    <x v="1"/>
    <x v="3"/>
    <x v="2"/>
    <s v="Mar-16"/>
    <d v="2016-03-01T00:00:00"/>
    <x v="0"/>
    <n v="124.8"/>
    <n v="136.30000000000001"/>
    <n v="123.7"/>
    <n v="129.69999999999999"/>
    <n v="107.9"/>
    <n v="119.9"/>
    <x v="107"/>
    <n v="170.3"/>
    <n v="101.8"/>
    <n v="140.1"/>
    <n v="120.7"/>
    <n v="135.4"/>
    <n v="128.9"/>
    <n v="140.6"/>
    <n v="126.4"/>
    <n v="120.3"/>
    <n v="125.5"/>
    <n v="124.9"/>
    <n v="114.8"/>
    <n v="122.3"/>
    <n v="119.7"/>
    <n v="108.5"/>
    <n v="119.1"/>
    <n v="126.4"/>
    <n v="117.1"/>
    <n v="117.3"/>
    <n v="123.8"/>
    <n v="3125.0000000000005"/>
    <n v="479.9"/>
    <n v="246.7"/>
    <n v="247.2"/>
    <n v="1808.2"/>
    <x v="110"/>
    <n v="123.6"/>
    <n v="129.15714285714287"/>
  </r>
  <r>
    <x v="2"/>
    <x v="3"/>
    <x v="2"/>
    <s v="Mar-16"/>
    <d v="2016-03-01T00:00:00"/>
    <x v="0"/>
    <n v="126.5"/>
    <n v="135.1"/>
    <n v="124.6"/>
    <n v="130.19999999999999"/>
    <n v="114.5"/>
    <n v="126.2"/>
    <x v="108"/>
    <n v="164.3"/>
    <n v="100.9"/>
    <n v="133.9"/>
    <n v="123.1"/>
    <n v="136.30000000000001"/>
    <n v="129.80000000000001"/>
    <n v="136.5"/>
    <n v="131.30000000000001"/>
    <n v="126.1"/>
    <n v="130.5"/>
    <n v="124.9"/>
    <n v="122.4"/>
    <n v="125.1"/>
    <n v="122.9"/>
    <n v="110.9"/>
    <n v="120.6"/>
    <n v="126.9"/>
    <n v="117.3"/>
    <n v="119.3"/>
    <n v="126"/>
    <n v="3159.4000000000005"/>
    <n v="484.1"/>
    <n v="257.39999999999998"/>
    <n v="250"/>
    <n v="1811.7"/>
    <x v="111"/>
    <n v="125"/>
    <n v="129.40714285714287"/>
  </r>
  <r>
    <x v="0"/>
    <x v="3"/>
    <x v="3"/>
    <s v="Apr-16"/>
    <d v="2016-04-01T00:00:00"/>
    <x v="0"/>
    <n v="127.4"/>
    <n v="135.4"/>
    <n v="123.4"/>
    <n v="131.30000000000001"/>
    <n v="118.2"/>
    <n v="138.1"/>
    <x v="109"/>
    <n v="162.69999999999999"/>
    <n v="105"/>
    <n v="131.4"/>
    <n v="125.4"/>
    <n v="137.4"/>
    <n v="131.80000000000001"/>
    <n v="135.5"/>
    <n v="135"/>
    <n v="130.6"/>
    <n v="134.4"/>
    <n v="139.27096774193564"/>
    <n v="127"/>
    <n v="128"/>
    <n v="125.2"/>
    <n v="114.4"/>
    <n v="123.2"/>
    <n v="127.9"/>
    <n v="118.4"/>
    <n v="121.7"/>
    <n v="129"/>
    <n v="3227.7709677419361"/>
    <n v="491.2"/>
    <n v="265.60000000000002"/>
    <n v="267.27096774193564"/>
    <n v="1837.1000000000004"/>
    <x v="112"/>
    <n v="133.63548387096782"/>
    <n v="131.22142857142859"/>
  </r>
  <r>
    <x v="1"/>
    <x v="3"/>
    <x v="3"/>
    <s v="Apr-16"/>
    <d v="2016-04-01T00:00:00"/>
    <x v="0"/>
    <n v="124.9"/>
    <n v="139.30000000000001"/>
    <n v="119.9"/>
    <n v="130.19999999999999"/>
    <n v="108.9"/>
    <n v="131.1"/>
    <x v="110"/>
    <n v="176.9"/>
    <n v="109.1"/>
    <n v="140.4"/>
    <n v="121.1"/>
    <n v="135.9"/>
    <n v="131.80000000000001"/>
    <n v="141.5"/>
    <n v="126.8"/>
    <n v="120.5"/>
    <n v="125.8"/>
    <n v="125.6"/>
    <n v="114.6"/>
    <n v="122.8"/>
    <n v="120"/>
    <n v="110"/>
    <n v="119.5"/>
    <n v="127.6"/>
    <n v="117.6"/>
    <n v="118.2"/>
    <n v="125.3"/>
    <n v="3171.0000000000005"/>
    <n v="482.9"/>
    <n v="247.3"/>
    <n v="248.39999999999998"/>
    <n v="1847.8"/>
    <x v="113"/>
    <n v="124.19999999999999"/>
    <n v="131.98571428571429"/>
  </r>
  <r>
    <x v="2"/>
    <x v="3"/>
    <x v="3"/>
    <s v="Apr-16"/>
    <d v="2016-04-01T00:00:00"/>
    <x v="0"/>
    <n v="126.6"/>
    <n v="136.80000000000001"/>
    <n v="122"/>
    <n v="130.9"/>
    <n v="114.8"/>
    <n v="134.80000000000001"/>
    <x v="111"/>
    <n v="167.5"/>
    <n v="106.4"/>
    <n v="134.4"/>
    <n v="123.6"/>
    <n v="136.69999999999999"/>
    <n v="131.80000000000001"/>
    <n v="137.1"/>
    <n v="131.80000000000001"/>
    <n v="126.4"/>
    <n v="131"/>
    <n v="125.6"/>
    <n v="122.3"/>
    <n v="125.5"/>
    <n v="123.2"/>
    <n v="112.1"/>
    <n v="121.1"/>
    <n v="127.7"/>
    <n v="118.1"/>
    <n v="120"/>
    <n v="127.3"/>
    <n v="3192.2000000000003"/>
    <n v="486.9"/>
    <n v="258.20000000000005"/>
    <n v="251.1"/>
    <n v="1838.3999999999999"/>
    <x v="114"/>
    <n v="125.55"/>
    <n v="131.31428571428572"/>
  </r>
  <r>
    <x v="0"/>
    <x v="3"/>
    <x v="4"/>
    <s v="May-16"/>
    <d v="2016-05-01T00:00:00"/>
    <x v="0"/>
    <n v="127.6"/>
    <n v="137.5"/>
    <n v="124.4"/>
    <n v="132.4"/>
    <n v="118.2"/>
    <n v="138.1"/>
    <x v="112"/>
    <n v="166"/>
    <n v="107.5"/>
    <n v="132.19999999999999"/>
    <n v="126.1"/>
    <n v="138.30000000000001"/>
    <n v="133.6"/>
    <n v="136"/>
    <n v="135.4"/>
    <n v="131.1"/>
    <n v="134.80000000000001"/>
    <n v="139.27096774193564"/>
    <n v="127.4"/>
    <n v="128.5"/>
    <n v="125.8"/>
    <n v="115.1"/>
    <n v="123.6"/>
    <n v="129.1"/>
    <n v="119.7"/>
    <n v="122.5"/>
    <n v="130.30000000000001"/>
    <n v="3257.1709677419358"/>
    <n v="494.9"/>
    <n v="266.5"/>
    <n v="267.77096774193564"/>
    <n v="1859.6999999999998"/>
    <x v="115"/>
    <n v="133.88548387096782"/>
    <n v="132.83571428571426"/>
  </r>
  <r>
    <x v="1"/>
    <x v="3"/>
    <x v="4"/>
    <s v="May-16"/>
    <d v="2016-05-01T00:00:00"/>
    <x v="0"/>
    <n v="125"/>
    <n v="142.1"/>
    <n v="127"/>
    <n v="130.4"/>
    <n v="109.6"/>
    <n v="133.5"/>
    <x v="113"/>
    <n v="182.8"/>
    <n v="111.1"/>
    <n v="141.5"/>
    <n v="121.5"/>
    <n v="136.30000000000001"/>
    <n v="134.6"/>
    <n v="142.19999999999999"/>
    <n v="127.2"/>
    <n v="120.7"/>
    <n v="126.2"/>
    <n v="126"/>
    <n v="115"/>
    <n v="123.2"/>
    <n v="120.3"/>
    <n v="110.7"/>
    <n v="119.8"/>
    <n v="128"/>
    <n v="118.5"/>
    <n v="118.7"/>
    <n v="126.6"/>
    <n v="3217.0999999999995"/>
    <n v="485"/>
    <n v="247.9"/>
    <n v="249.2"/>
    <n v="1888.9999999999998"/>
    <x v="116"/>
    <n v="124.6"/>
    <n v="134.92857142857142"/>
  </r>
  <r>
    <x v="2"/>
    <x v="3"/>
    <x v="4"/>
    <s v="May-16"/>
    <d v="2016-05-01T00:00:00"/>
    <x v="0"/>
    <n v="126.8"/>
    <n v="139.1"/>
    <n v="125.4"/>
    <n v="131.69999999999999"/>
    <n v="115"/>
    <n v="136"/>
    <x v="88"/>
    <n v="171.7"/>
    <n v="108.7"/>
    <n v="135.30000000000001"/>
    <n v="124.2"/>
    <n v="137.4"/>
    <n v="134"/>
    <n v="137.69999999999999"/>
    <n v="132.19999999999999"/>
    <n v="126.8"/>
    <n v="131.4"/>
    <n v="126"/>
    <n v="122.7"/>
    <n v="126"/>
    <n v="123.7"/>
    <n v="112.8"/>
    <n v="121.5"/>
    <n v="128.5"/>
    <n v="119.2"/>
    <n v="120.7"/>
    <n v="128.6"/>
    <n v="3228.1999999999994"/>
    <n v="489.9"/>
    <n v="259"/>
    <n v="252"/>
    <n v="1868.1000000000001"/>
    <x v="117"/>
    <n v="126"/>
    <n v="133.43571428571428"/>
  </r>
  <r>
    <x v="0"/>
    <x v="3"/>
    <x v="5"/>
    <s v="Jun-16"/>
    <d v="2016-06-01T00:00:00"/>
    <x v="0"/>
    <n v="128.6"/>
    <n v="138.6"/>
    <n v="126.6"/>
    <n v="133.6"/>
    <n v="118.6"/>
    <n v="137.4"/>
    <x v="114"/>
    <n v="169.2"/>
    <n v="108.8"/>
    <n v="133.1"/>
    <n v="126.4"/>
    <n v="139.19999999999999"/>
    <n v="136"/>
    <n v="137.19999999999999"/>
    <n v="136.30000000000001"/>
    <n v="131.6"/>
    <n v="135.6"/>
    <n v="139.27096774193564"/>
    <n v="128"/>
    <n v="129.30000000000001"/>
    <n v="126.2"/>
    <n v="116.3"/>
    <n v="124.1"/>
    <n v="130.19999999999999"/>
    <n v="119.9"/>
    <n v="123.3"/>
    <n v="131.9"/>
    <n v="3290.2709677419348"/>
    <n v="497.5"/>
    <n v="267.89999999999998"/>
    <n v="268.57096774193565"/>
    <n v="1885.8"/>
    <x v="118"/>
    <n v="134.28548387096782"/>
    <n v="134.69999999999999"/>
  </r>
  <r>
    <x v="1"/>
    <x v="3"/>
    <x v="5"/>
    <s v="Jun-16"/>
    <d v="2016-06-01T00:00:00"/>
    <x v="0"/>
    <n v="125.9"/>
    <n v="143.9"/>
    <n v="130.9"/>
    <n v="131"/>
    <n v="110.2"/>
    <n v="135.5"/>
    <x v="115"/>
    <n v="184.4"/>
    <n v="112"/>
    <n v="142.80000000000001"/>
    <n v="121.6"/>
    <n v="136.9"/>
    <n v="138.19999999999999"/>
    <n v="142.69999999999999"/>
    <n v="127.6"/>
    <n v="121.1"/>
    <n v="126.6"/>
    <n v="125.5"/>
    <n v="115.5"/>
    <n v="123.2"/>
    <n v="120.6"/>
    <n v="112.3"/>
    <n v="119.9"/>
    <n v="129.30000000000001"/>
    <n v="118.8"/>
    <n v="119.6"/>
    <n v="128.1"/>
    <n v="3263.1"/>
    <n v="487.6"/>
    <n v="248.7"/>
    <n v="248.7"/>
    <n v="1929.7000000000003"/>
    <x v="119"/>
    <n v="124.35"/>
    <n v="137.83571428571432"/>
  </r>
  <r>
    <x v="2"/>
    <x v="3"/>
    <x v="5"/>
    <s v="Jun-16"/>
    <d v="2016-06-01T00:00:00"/>
    <x v="0"/>
    <n v="127.7"/>
    <n v="140.5"/>
    <n v="128.30000000000001"/>
    <n v="132.6"/>
    <n v="115.5"/>
    <n v="136.5"/>
    <x v="116"/>
    <n v="174.3"/>
    <n v="109.9"/>
    <n v="136.30000000000001"/>
    <n v="124.4"/>
    <n v="138.1"/>
    <n v="136.80000000000001"/>
    <n v="138.69999999999999"/>
    <n v="132.9"/>
    <n v="127.2"/>
    <n v="132"/>
    <n v="125.5"/>
    <n v="123.3"/>
    <n v="126.4"/>
    <n v="124.1"/>
    <n v="114.2"/>
    <n v="121.7"/>
    <n v="129.69999999999999"/>
    <n v="119.4"/>
    <n v="121.5"/>
    <n v="130.1"/>
    <n v="3265.2000000000003"/>
    <n v="492.3"/>
    <n v="260.10000000000002"/>
    <n v="251.9"/>
    <n v="1899.3"/>
    <x v="120"/>
    <n v="125.95"/>
    <n v="135.66428571428571"/>
  </r>
  <r>
    <x v="0"/>
    <x v="3"/>
    <x v="6"/>
    <s v="Jul-16"/>
    <d v="2016-07-01T00:00:00"/>
    <x v="0"/>
    <n v="129.30000000000001"/>
    <n v="139.5"/>
    <n v="129.6"/>
    <n v="134.5"/>
    <n v="119.5"/>
    <n v="138.5"/>
    <x v="117"/>
    <n v="171.8"/>
    <n v="110.3"/>
    <n v="134.30000000000001"/>
    <n v="127.3"/>
    <n v="139.9"/>
    <n v="137.6"/>
    <n v="138"/>
    <n v="137.19999999999999"/>
    <n v="132.19999999999999"/>
    <n v="136.5"/>
    <n v="139.27096774193564"/>
    <n v="128.19999999999999"/>
    <n v="130"/>
    <n v="126.7"/>
    <n v="116.4"/>
    <n v="125.2"/>
    <n v="130.80000000000001"/>
    <n v="120.9"/>
    <n v="123.8"/>
    <n v="133"/>
    <n v="3318.970967741936"/>
    <n v="500.7"/>
    <n v="269.39999999999998"/>
    <n v="269.27096774193564"/>
    <n v="1908.2999999999997"/>
    <x v="121"/>
    <n v="134.63548387096782"/>
    <n v="136.30714285714285"/>
  </r>
  <r>
    <x v="1"/>
    <x v="3"/>
    <x v="6"/>
    <s v="Jul-16"/>
    <d v="2016-07-01T00:00:00"/>
    <x v="0"/>
    <n v="126.8"/>
    <n v="144.19999999999999"/>
    <n v="136.6"/>
    <n v="131.80000000000001"/>
    <n v="111"/>
    <n v="137"/>
    <x v="118"/>
    <n v="188.4"/>
    <n v="113.3"/>
    <n v="143.9"/>
    <n v="121.7"/>
    <n v="137.5"/>
    <n v="139.80000000000001"/>
    <n v="142.9"/>
    <n v="127.9"/>
    <n v="121.1"/>
    <n v="126.9"/>
    <n v="126.4"/>
    <n v="115.5"/>
    <n v="123.5"/>
    <n v="120.9"/>
    <n v="111.7"/>
    <n v="120.3"/>
    <n v="130.80000000000001"/>
    <n v="120"/>
    <n v="119.9"/>
    <n v="129"/>
    <n v="3292.4"/>
    <n v="491.00000000000006"/>
    <n v="249"/>
    <n v="249.9"/>
    <n v="1954.4000000000003"/>
    <x v="122"/>
    <n v="124.95"/>
    <n v="139.60000000000002"/>
  </r>
  <r>
    <x v="2"/>
    <x v="3"/>
    <x v="6"/>
    <s v="Jul-16"/>
    <d v="2016-07-01T00:00:00"/>
    <x v="0"/>
    <n v="128.5"/>
    <n v="141.19999999999999"/>
    <n v="132.30000000000001"/>
    <n v="133.5"/>
    <n v="116.4"/>
    <n v="137.80000000000001"/>
    <x v="119"/>
    <n v="177.4"/>
    <n v="111.3"/>
    <n v="137.5"/>
    <n v="125"/>
    <n v="138.80000000000001"/>
    <n v="138.4"/>
    <n v="139.30000000000001"/>
    <n v="133.5"/>
    <n v="127.6"/>
    <n v="132.69999999999999"/>
    <n v="126.4"/>
    <n v="123.4"/>
    <n v="126.9"/>
    <n v="124.5"/>
    <n v="113.9"/>
    <n v="122.4"/>
    <n v="130.80000000000001"/>
    <n v="120.5"/>
    <n v="121.9"/>
    <n v="131.1"/>
    <n v="3294.6000000000008"/>
    <n v="495.6"/>
    <n v="261.10000000000002"/>
    <n v="253.3"/>
    <n v="1922.8"/>
    <x v="123"/>
    <n v="126.65"/>
    <n v="137.34285714285713"/>
  </r>
  <r>
    <x v="0"/>
    <x v="3"/>
    <x v="7"/>
    <s v="Aug-16"/>
    <d v="2016-08-01T00:00:00"/>
    <x v="0"/>
    <n v="130.1"/>
    <n v="138.80000000000001"/>
    <n v="130.30000000000001"/>
    <n v="135.30000000000001"/>
    <n v="119.9"/>
    <n v="140.19999999999999"/>
    <x v="120"/>
    <n v="172.2"/>
    <n v="112.1"/>
    <n v="134.9"/>
    <n v="128.1"/>
    <n v="140.69999999999999"/>
    <n v="138"/>
    <n v="138.9"/>
    <n v="137.80000000000001"/>
    <n v="133"/>
    <n v="137.1"/>
    <n v="139.27096774193564"/>
    <n v="129.1"/>
    <n v="130.6"/>
    <n v="127"/>
    <n v="116"/>
    <n v="125.5"/>
    <n v="131.9"/>
    <n v="122"/>
    <n v="124.2"/>
    <n v="133.5"/>
    <n v="3332.7709677419352"/>
    <n v="503.6"/>
    <n v="270.8"/>
    <n v="269.8709677419356"/>
    <n v="1916.3999999999999"/>
    <x v="124"/>
    <n v="134.9354838709678"/>
    <n v="136.88571428571427"/>
  </r>
  <r>
    <x v="1"/>
    <x v="3"/>
    <x v="7"/>
    <s v="Aug-16"/>
    <d v="2016-08-01T00:00:00"/>
    <x v="0"/>
    <n v="127.6"/>
    <n v="140.30000000000001"/>
    <n v="133.69999999999999"/>
    <n v="132.19999999999999"/>
    <n v="111.8"/>
    <n v="135.80000000000001"/>
    <x v="121"/>
    <n v="182.3"/>
    <n v="114.6"/>
    <n v="144.6"/>
    <n v="121.9"/>
    <n v="138.1"/>
    <n v="137.6"/>
    <n v="143.6"/>
    <n v="128.30000000000001"/>
    <n v="121.4"/>
    <n v="127.3"/>
    <n v="127.3"/>
    <n v="114.7"/>
    <n v="123.9"/>
    <n v="121.2"/>
    <n v="110.4"/>
    <n v="120.6"/>
    <n v="131.5"/>
    <n v="120.9"/>
    <n v="119.9"/>
    <n v="128.4"/>
    <n v="3267.7"/>
    <n v="492.9"/>
    <n v="249.70000000000002"/>
    <n v="251.2"/>
    <n v="1927.5999999999995"/>
    <x v="125"/>
    <n v="125.6"/>
    <n v="137.68571428571425"/>
  </r>
  <r>
    <x v="2"/>
    <x v="3"/>
    <x v="7"/>
    <s v="Aug-16"/>
    <d v="2016-08-01T00:00:00"/>
    <x v="0"/>
    <n v="129.30000000000001"/>
    <n v="139.30000000000001"/>
    <n v="131.6"/>
    <n v="134.1"/>
    <n v="116.9"/>
    <n v="138.1"/>
    <x v="122"/>
    <n v="175.6"/>
    <n v="112.9"/>
    <n v="138.1"/>
    <n v="125.5"/>
    <n v="139.5"/>
    <n v="137.9"/>
    <n v="140.19999999999999"/>
    <n v="134.1"/>
    <n v="128.19999999999999"/>
    <n v="133.19999999999999"/>
    <n v="127.3"/>
    <n v="123.6"/>
    <n v="127.4"/>
    <n v="124.8"/>
    <n v="113.1"/>
    <n v="122.7"/>
    <n v="131.69999999999999"/>
    <n v="121.5"/>
    <n v="122.1"/>
    <n v="131.1"/>
    <n v="3294.599999999999"/>
    <n v="497.99999999999994"/>
    <n v="262.29999999999995"/>
    <n v="254.7"/>
    <n v="1918.1000000000001"/>
    <x v="126"/>
    <n v="127.35"/>
    <n v="137.00714285714287"/>
  </r>
  <r>
    <x v="0"/>
    <x v="3"/>
    <x v="8"/>
    <s v="Sep-16"/>
    <d v="2016-09-01T00:00:00"/>
    <x v="0"/>
    <n v="130.80000000000001"/>
    <n v="138.19999999999999"/>
    <n v="130.5"/>
    <n v="135.5"/>
    <n v="120.2"/>
    <n v="139.19999999999999"/>
    <x v="123"/>
    <n v="170.4"/>
    <n v="113.1"/>
    <n v="135.80000000000001"/>
    <n v="128.80000000000001"/>
    <n v="141.5"/>
    <n v="137.19999999999999"/>
    <n v="139.9"/>
    <n v="138.5"/>
    <n v="133.5"/>
    <n v="137.80000000000001"/>
    <n v="139.27096774193564"/>
    <n v="129.69999999999999"/>
    <n v="131.1"/>
    <n v="127.8"/>
    <n v="117"/>
    <n v="125.7"/>
    <n v="132.19999999999999"/>
    <n v="122.8"/>
    <n v="124.9"/>
    <n v="133.4"/>
    <n v="3333.0709677419359"/>
    <n v="505.59999999999997"/>
    <n v="272"/>
    <n v="270.3709677419356"/>
    <n v="1910.6000000000001"/>
    <x v="127"/>
    <n v="135.1854838709678"/>
    <n v="136.47142857142859"/>
  </r>
  <r>
    <x v="1"/>
    <x v="3"/>
    <x v="8"/>
    <s v="Sep-16"/>
    <d v="2016-09-01T00:00:00"/>
    <x v="0"/>
    <n v="128.1"/>
    <n v="137.69999999999999"/>
    <n v="130.6"/>
    <n v="132.6"/>
    <n v="111.9"/>
    <n v="132.5"/>
    <x v="124"/>
    <n v="173.6"/>
    <n v="115.1"/>
    <n v="144.80000000000001"/>
    <n v="122.1"/>
    <n v="138.80000000000001"/>
    <n v="135.69999999999999"/>
    <n v="143.9"/>
    <n v="128.69999999999999"/>
    <n v="121.6"/>
    <n v="127.7"/>
    <n v="127.9"/>
    <n v="114.8"/>
    <n v="124.3"/>
    <n v="121.4"/>
    <n v="111.8"/>
    <n v="120.8"/>
    <n v="131.6"/>
    <n v="121.2"/>
    <n v="120.5"/>
    <n v="128"/>
    <n v="3244.8999999999996"/>
    <n v="494.09999999999997"/>
    <n v="250.29999999999998"/>
    <n v="252.2"/>
    <n v="1900.2999999999997"/>
    <x v="128"/>
    <n v="126.1"/>
    <n v="135.73571428571427"/>
  </r>
  <r>
    <x v="2"/>
    <x v="3"/>
    <x v="8"/>
    <s v="Sep-16"/>
    <d v="2016-09-01T00:00:00"/>
    <x v="0"/>
    <n v="129.9"/>
    <n v="138"/>
    <n v="130.5"/>
    <n v="134.4"/>
    <n v="117.2"/>
    <n v="136.1"/>
    <x v="125"/>
    <n v="171.5"/>
    <n v="113.8"/>
    <n v="138.80000000000001"/>
    <n v="126"/>
    <n v="140.19999999999999"/>
    <n v="136.6"/>
    <n v="141"/>
    <n v="134.6"/>
    <n v="128.6"/>
    <n v="133.80000000000001"/>
    <n v="127.9"/>
    <n v="124.1"/>
    <n v="127.9"/>
    <n v="125.4"/>
    <n v="114.3"/>
    <n v="122.9"/>
    <n v="131.80000000000001"/>
    <n v="122.1"/>
    <n v="122.8"/>
    <n v="130.9"/>
    <n v="3287.1"/>
    <n v="499.6"/>
    <n v="263.2"/>
    <n v="255.8"/>
    <n v="1904.6999999999998"/>
    <x v="129"/>
    <n v="127.9"/>
    <n v="136.04999999999998"/>
  </r>
  <r>
    <x v="0"/>
    <x v="3"/>
    <x v="9"/>
    <s v="Oct-16"/>
    <d v="2016-10-01T00:00:00"/>
    <x v="0"/>
    <n v="131.30000000000001"/>
    <n v="137.6"/>
    <n v="130.1"/>
    <n v="136"/>
    <n v="120.8"/>
    <n v="138.4"/>
    <x v="126"/>
    <n v="170.2"/>
    <n v="113.4"/>
    <n v="136.30000000000001"/>
    <n v="128.69999999999999"/>
    <n v="142.4"/>
    <n v="137.4"/>
    <n v="140.9"/>
    <n v="139.6"/>
    <n v="134.30000000000001"/>
    <n v="138.80000000000001"/>
    <n v="139.27096774193564"/>
    <n v="129.80000000000001"/>
    <n v="131.80000000000001"/>
    <n v="128.69999999999999"/>
    <n v="117.8"/>
    <n v="126.5"/>
    <n v="133"/>
    <n v="123"/>
    <n v="125.7"/>
    <n v="133.80000000000001"/>
    <n v="3342.1709677419358"/>
    <n v="508.2"/>
    <n v="273.89999999999998"/>
    <n v="271.07096774193565"/>
    <n v="1912.7000000000003"/>
    <x v="130"/>
    <n v="135.53548387096782"/>
    <n v="136.62142857142859"/>
  </r>
  <r>
    <x v="1"/>
    <x v="3"/>
    <x v="9"/>
    <s v="Oct-16"/>
    <d v="2016-10-01T00:00:00"/>
    <x v="0"/>
    <n v="128.69999999999999"/>
    <n v="138.4"/>
    <n v="130.30000000000001"/>
    <n v="132.69999999999999"/>
    <n v="112.5"/>
    <n v="130.4"/>
    <x v="127"/>
    <n v="175.7"/>
    <n v="115.4"/>
    <n v="145.30000000000001"/>
    <n v="122.5"/>
    <n v="139.6"/>
    <n v="136.30000000000001"/>
    <n v="144.30000000000001"/>
    <n v="129.1"/>
    <n v="121.9"/>
    <n v="128"/>
    <n v="128.69999999999999"/>
    <n v="115.2"/>
    <n v="124.5"/>
    <n v="121.8"/>
    <n v="112.8"/>
    <n v="121.2"/>
    <n v="131.9"/>
    <n v="120.8"/>
    <n v="120.9"/>
    <n v="128.6"/>
    <n v="3256.0000000000005"/>
    <n v="494.8"/>
    <n v="251"/>
    <n v="253.2"/>
    <n v="1907.1999999999998"/>
    <x v="131"/>
    <n v="126.6"/>
    <n v="136.22857142857143"/>
  </r>
  <r>
    <x v="2"/>
    <x v="3"/>
    <x v="9"/>
    <s v="Oct-16"/>
    <d v="2016-10-01T00:00:00"/>
    <x v="0"/>
    <n v="130.5"/>
    <n v="137.9"/>
    <n v="130.19999999999999"/>
    <n v="134.80000000000001"/>
    <n v="117.8"/>
    <n v="134.69999999999999"/>
    <x v="128"/>
    <n v="172.1"/>
    <n v="114.1"/>
    <n v="139.30000000000001"/>
    <n v="126.1"/>
    <n v="141.1"/>
    <n v="137"/>
    <n v="141.80000000000001"/>
    <n v="135.5"/>
    <n v="129.1"/>
    <n v="134.5"/>
    <n v="128.69999999999999"/>
    <n v="124.3"/>
    <n v="128.4"/>
    <n v="126.1"/>
    <n v="115.2"/>
    <n v="123.5"/>
    <n v="132.4"/>
    <n v="122.1"/>
    <n v="123.4"/>
    <n v="131.4"/>
    <n v="3297.3"/>
    <n v="501.4"/>
    <n v="264.60000000000002"/>
    <n v="257.10000000000002"/>
    <n v="1908.5999999999995"/>
    <x v="132"/>
    <n v="128.55000000000001"/>
    <n v="136.32857142857139"/>
  </r>
  <r>
    <x v="0"/>
    <x v="3"/>
    <x v="11"/>
    <s v="Nov-16"/>
    <d v="2016-11-01T00:00:00"/>
    <x v="0"/>
    <n v="132"/>
    <n v="137.4"/>
    <n v="130.6"/>
    <n v="136.19999999999999"/>
    <n v="121.1"/>
    <n v="136.9"/>
    <x v="112"/>
    <n v="170"/>
    <n v="113.4"/>
    <n v="136.80000000000001"/>
    <n v="128.69999999999999"/>
    <n v="143.1"/>
    <n v="136.6"/>
    <n v="141.19999999999999"/>
    <n v="139.9"/>
    <n v="134.5"/>
    <n v="139.19999999999999"/>
    <n v="139.27096774193564"/>
    <n v="130.30000000000001"/>
    <n v="132.1"/>
    <n v="129.1"/>
    <n v="118.2"/>
    <n v="126.9"/>
    <n v="133.69999999999999"/>
    <n v="123.5"/>
    <n v="126.1"/>
    <n v="133.6"/>
    <n v="3339.3709677419356"/>
    <n v="510.19999999999993"/>
    <n v="274.39999999999998"/>
    <n v="271.3709677419356"/>
    <n v="1905.8"/>
    <x v="133"/>
    <n v="135.6854838709678"/>
    <n v="136.12857142857143"/>
  </r>
  <r>
    <x v="1"/>
    <x v="3"/>
    <x v="11"/>
    <s v="Nov-16"/>
    <d v="2016-11-01T00:00:00"/>
    <x v="0"/>
    <n v="130.19999999999999"/>
    <n v="138.5"/>
    <n v="134.1"/>
    <n v="132.9"/>
    <n v="112.6"/>
    <n v="130.80000000000001"/>
    <x v="129"/>
    <n v="174.9"/>
    <n v="115.6"/>
    <n v="145.4"/>
    <n v="122.7"/>
    <n v="140.30000000000001"/>
    <n v="135.19999999999999"/>
    <n v="144.30000000000001"/>
    <n v="129.6"/>
    <n v="122.1"/>
    <n v="128.5"/>
    <n v="129.1"/>
    <n v="116.2"/>
    <n v="124.7"/>
    <n v="122.1"/>
    <n v="113.4"/>
    <n v="121.7"/>
    <n v="132.1"/>
    <n v="121.3"/>
    <n v="121.3"/>
    <n v="128.5"/>
    <n v="3253.1"/>
    <n v="496.4"/>
    <n v="251.7"/>
    <n v="253.8"/>
    <n v="1899.5"/>
    <x v="134"/>
    <n v="126.9"/>
    <n v="135.67857142857142"/>
  </r>
  <r>
    <x v="2"/>
    <x v="3"/>
    <x v="11"/>
    <s v="Nov-16"/>
    <d v="2016-11-01T00:00:00"/>
    <x v="0"/>
    <n v="131.4"/>
    <n v="137.80000000000001"/>
    <n v="132"/>
    <n v="135"/>
    <n v="118"/>
    <n v="134.1"/>
    <x v="130"/>
    <n v="171.7"/>
    <n v="114.1"/>
    <n v="139.69999999999999"/>
    <n v="126.2"/>
    <n v="141.80000000000001"/>
    <n v="136.1"/>
    <n v="142"/>
    <n v="135.80000000000001"/>
    <n v="129.30000000000001"/>
    <n v="135"/>
    <n v="129.1"/>
    <n v="125"/>
    <n v="128.6"/>
    <n v="126.4"/>
    <n v="115.7"/>
    <n v="124"/>
    <n v="132.80000000000001"/>
    <n v="122.6"/>
    <n v="123.8"/>
    <n v="131.19999999999999"/>
    <n v="3294.9"/>
    <n v="503.2"/>
    <n v="265.10000000000002"/>
    <n v="257.7"/>
    <n v="1901.8"/>
    <x v="135"/>
    <n v="128.85"/>
    <n v="135.84285714285713"/>
  </r>
  <r>
    <x v="0"/>
    <x v="3"/>
    <x v="12"/>
    <s v="Dec-16"/>
    <d v="2016-12-01T00:00:00"/>
    <x v="0"/>
    <n v="132.6"/>
    <n v="137.30000000000001"/>
    <n v="131.6"/>
    <n v="136.30000000000001"/>
    <n v="121.6"/>
    <n v="135.6"/>
    <x v="77"/>
    <n v="167.9"/>
    <n v="113.8"/>
    <n v="137.5"/>
    <n v="129.1"/>
    <n v="143.6"/>
    <n v="134.69999999999999"/>
    <n v="142.4"/>
    <n v="140.4"/>
    <n v="135.19999999999999"/>
    <n v="139.69999999999999"/>
    <n v="139.27096774193564"/>
    <n v="132"/>
    <n v="132.9"/>
    <n v="129.69999999999999"/>
    <n v="118.6"/>
    <n v="127.3"/>
    <n v="134.19999999999999"/>
    <n v="121.9"/>
    <n v="126.3"/>
    <n v="132.80000000000001"/>
    <n v="3329.2709677419348"/>
    <n v="509.7"/>
    <n v="275.60000000000002"/>
    <n v="272.17096774193567"/>
    <n v="1891.5"/>
    <x v="136"/>
    <n v="136.08548387096783"/>
    <n v="135.10714285714286"/>
  </r>
  <r>
    <x v="1"/>
    <x v="3"/>
    <x v="12"/>
    <s v="Dec-16"/>
    <d v="2016-12-01T00:00:00"/>
    <x v="0"/>
    <n v="131.6"/>
    <n v="138.19999999999999"/>
    <n v="134.9"/>
    <n v="133.1"/>
    <n v="113.5"/>
    <n v="129.30000000000001"/>
    <x v="131"/>
    <n v="170.3"/>
    <n v="115.5"/>
    <n v="145.5"/>
    <n v="123.1"/>
    <n v="140.9"/>
    <n v="132.80000000000001"/>
    <n v="145"/>
    <n v="130"/>
    <n v="122.2"/>
    <n v="128.80000000000001"/>
    <n v="128.5"/>
    <n v="117.8"/>
    <n v="125"/>
    <n v="122.3"/>
    <n v="113.7"/>
    <n v="121.8"/>
    <n v="132.30000000000001"/>
    <n v="119.9"/>
    <n v="121.4"/>
    <n v="127.6"/>
    <n v="3229.7"/>
    <n v="495.40000000000003"/>
    <n v="252.2"/>
    <n v="253.5"/>
    <n v="1874.8"/>
    <x v="137"/>
    <n v="126.75"/>
    <n v="133.91428571428571"/>
  </r>
  <r>
    <x v="2"/>
    <x v="3"/>
    <x v="12"/>
    <s v="Dec-16"/>
    <d v="2016-12-01T00:00:00"/>
    <x v="0"/>
    <n v="132.30000000000001"/>
    <n v="137.6"/>
    <n v="132.9"/>
    <n v="135.1"/>
    <n v="118.6"/>
    <n v="132.69999999999999"/>
    <x v="132"/>
    <n v="168.7"/>
    <n v="114.4"/>
    <n v="140.19999999999999"/>
    <n v="126.6"/>
    <n v="142.30000000000001"/>
    <n v="134"/>
    <n v="143.1"/>
    <n v="136.30000000000001"/>
    <n v="129.80000000000001"/>
    <n v="135.4"/>
    <n v="128.5"/>
    <n v="126.6"/>
    <n v="129.19999999999999"/>
    <n v="126.9"/>
    <n v="116"/>
    <n v="124.2"/>
    <n v="133.1"/>
    <n v="121.1"/>
    <n v="123.9"/>
    <n v="130.4"/>
    <n v="3279.4"/>
    <n v="502.3"/>
    <n v="266.10000000000002"/>
    <n v="257.7"/>
    <n v="1883.8"/>
    <x v="138"/>
    <n v="128.85"/>
    <n v="134.55714285714285"/>
  </r>
  <r>
    <x v="0"/>
    <x v="4"/>
    <x v="0"/>
    <s v="Jan-17"/>
    <d v="2017-01-01T00:00:00"/>
    <x v="0"/>
    <n v="133.1"/>
    <n v="137.80000000000001"/>
    <n v="131.9"/>
    <n v="136.69999999999999"/>
    <n v="122"/>
    <n v="136"/>
    <x v="133"/>
    <n v="161.69999999999999"/>
    <n v="114.8"/>
    <n v="136.9"/>
    <n v="129"/>
    <n v="143.9"/>
    <n v="133.69999999999999"/>
    <n v="143.1"/>
    <n v="140.69999999999999"/>
    <n v="135.80000000000001"/>
    <n v="140"/>
    <n v="139.27096774193564"/>
    <n v="132.1"/>
    <n v="133.19999999999999"/>
    <n v="129.9"/>
    <n v="119.1"/>
    <n v="127"/>
    <n v="134.6"/>
    <n v="122.3"/>
    <n v="126.6"/>
    <n v="132.4"/>
    <n v="3320.9709677419355"/>
    <n v="510.5"/>
    <n v="276.5"/>
    <n v="272.47096774193562"/>
    <n v="1880.4"/>
    <x v="139"/>
    <n v="136.23548387096781"/>
    <n v="134.31428571428572"/>
  </r>
  <r>
    <x v="1"/>
    <x v="4"/>
    <x v="0"/>
    <s v="Jan-17"/>
    <d v="2017-01-01T00:00:00"/>
    <x v="0"/>
    <n v="132.19999999999999"/>
    <n v="138.9"/>
    <n v="132.6"/>
    <n v="133.1"/>
    <n v="114"/>
    <n v="129.6"/>
    <x v="134"/>
    <n v="155.1"/>
    <n v="117.3"/>
    <n v="144.9"/>
    <n v="123.2"/>
    <n v="141.6"/>
    <n v="132"/>
    <n v="145.6"/>
    <n v="130.19999999999999"/>
    <n v="122.3"/>
    <n v="129"/>
    <n v="129.6"/>
    <n v="118"/>
    <n v="125.1"/>
    <n v="122.6"/>
    <n v="115.2"/>
    <n v="122"/>
    <n v="132.4"/>
    <n v="120.9"/>
    <n v="122.1"/>
    <n v="127.8"/>
    <n v="3219.2"/>
    <n v="497.4"/>
    <n v="252.5"/>
    <n v="254.7"/>
    <n v="1858.8"/>
    <x v="140"/>
    <n v="127.35"/>
    <n v="132.77142857142857"/>
  </r>
  <r>
    <x v="2"/>
    <x v="4"/>
    <x v="0"/>
    <s v="Jan-17"/>
    <d v="2017-01-01T00:00:00"/>
    <x v="0"/>
    <n v="132.80000000000001"/>
    <n v="138.19999999999999"/>
    <n v="132.19999999999999"/>
    <n v="135.4"/>
    <n v="119.1"/>
    <n v="133"/>
    <x v="135"/>
    <n v="159.5"/>
    <n v="115.6"/>
    <n v="139.6"/>
    <n v="126.6"/>
    <n v="142.80000000000001"/>
    <n v="133.1"/>
    <n v="143.80000000000001"/>
    <n v="136.6"/>
    <n v="130.19999999999999"/>
    <n v="135.6"/>
    <n v="129.6"/>
    <n v="126.8"/>
    <n v="129.4"/>
    <n v="127.1"/>
    <n v="117"/>
    <n v="124.2"/>
    <n v="133.30000000000001"/>
    <n v="121.7"/>
    <n v="124.4"/>
    <n v="130.30000000000001"/>
    <n v="3271.4"/>
    <n v="503.6"/>
    <n v="266.79999999999995"/>
    <n v="259"/>
    <n v="1871.0999999999995"/>
    <x v="124"/>
    <n v="129.5"/>
    <n v="133.64999999999995"/>
  </r>
  <r>
    <x v="0"/>
    <x v="4"/>
    <x v="1"/>
    <s v="Feb-17"/>
    <d v="2017-02-01T00:00:00"/>
    <x v="0"/>
    <n v="133.30000000000001"/>
    <n v="138.30000000000001"/>
    <n v="129.30000000000001"/>
    <n v="137.19999999999999"/>
    <n v="122.1"/>
    <n v="138.69999999999999"/>
    <x v="136"/>
    <n v="156.9"/>
    <n v="116.2"/>
    <n v="136"/>
    <n v="129.4"/>
    <n v="144.4"/>
    <n v="133.6"/>
    <n v="143.69999999999999"/>
    <n v="140.9"/>
    <n v="135.80000000000001"/>
    <n v="140.19999999999999"/>
    <n v="139.27096774193564"/>
    <n v="133.19999999999999"/>
    <n v="133.6"/>
    <n v="130.1"/>
    <n v="119.5"/>
    <n v="127.7"/>
    <n v="134.9"/>
    <n v="123.2"/>
    <n v="127"/>
    <n v="132.6"/>
    <n v="3323.3709677419356"/>
    <n v="512.80000000000007"/>
    <n v="276.70000000000005"/>
    <n v="272.8709677419356"/>
    <n v="1878.2000000000003"/>
    <x v="141"/>
    <n v="136.4354838709678"/>
    <n v="134.15714285714287"/>
  </r>
  <r>
    <x v="1"/>
    <x v="4"/>
    <x v="1"/>
    <s v="Feb-17"/>
    <d v="2017-02-01T00:00:00"/>
    <x v="0"/>
    <n v="132.80000000000001"/>
    <n v="139.80000000000001"/>
    <n v="129.30000000000001"/>
    <n v="133.5"/>
    <n v="114.3"/>
    <n v="131.4"/>
    <x v="137"/>
    <n v="143.1"/>
    <n v="119.5"/>
    <n v="144"/>
    <n v="123.4"/>
    <n v="141.9"/>
    <n v="132.1"/>
    <n v="146.30000000000001"/>
    <n v="130.5"/>
    <n v="122.5"/>
    <n v="129.30000000000001"/>
    <n v="130.5"/>
    <n v="119.2"/>
    <n v="125.3"/>
    <n v="122.9"/>
    <n v="115.5"/>
    <n v="122.2"/>
    <n v="132.4"/>
    <n v="121.7"/>
    <n v="122.4"/>
    <n v="128.19999999999999"/>
    <n v="3216.7000000000003"/>
    <n v="498.7"/>
    <n v="253"/>
    <n v="255.8"/>
    <n v="1851.6000000000001"/>
    <x v="142"/>
    <n v="127.9"/>
    <n v="132.25714285714287"/>
  </r>
  <r>
    <x v="2"/>
    <x v="4"/>
    <x v="1"/>
    <s v="Feb-17"/>
    <d v="2017-02-01T00:00:00"/>
    <x v="0"/>
    <n v="133.1"/>
    <n v="138.80000000000001"/>
    <n v="129.30000000000001"/>
    <n v="135.80000000000001"/>
    <n v="119.2"/>
    <n v="135.30000000000001"/>
    <x v="138"/>
    <n v="152.19999999999999"/>
    <n v="117.3"/>
    <n v="138.69999999999999"/>
    <n v="126.9"/>
    <n v="143.19999999999999"/>
    <n v="133"/>
    <n v="144.4"/>
    <n v="136.80000000000001"/>
    <n v="130.30000000000001"/>
    <n v="135.9"/>
    <n v="130.5"/>
    <n v="127.9"/>
    <n v="129.69999999999999"/>
    <n v="127.4"/>
    <n v="117.4"/>
    <n v="124.6"/>
    <n v="133.4"/>
    <n v="122.6"/>
    <n v="124.8"/>
    <n v="130.6"/>
    <n v="3272.1"/>
    <n v="505.4"/>
    <n v="267.10000000000002"/>
    <n v="260.2"/>
    <n v="1866.7000000000003"/>
    <x v="143"/>
    <n v="130.1"/>
    <n v="133.33571428571432"/>
  </r>
  <r>
    <x v="0"/>
    <x v="4"/>
    <x v="2"/>
    <s v="Mar-17"/>
    <d v="2017-03-01T00:00:00"/>
    <x v="0"/>
    <n v="133.6"/>
    <n v="138.80000000000001"/>
    <n v="128.80000000000001"/>
    <n v="137.19999999999999"/>
    <n v="121.6"/>
    <n v="139.69999999999999"/>
    <x v="139"/>
    <n v="148"/>
    <n v="116.9"/>
    <n v="135.6"/>
    <n v="129.80000000000001"/>
    <n v="145.4"/>
    <n v="133.4"/>
    <n v="144.19999999999999"/>
    <n v="141.6"/>
    <n v="136.19999999999999"/>
    <n v="140.80000000000001"/>
    <n v="139.27096774193564"/>
    <n v="134.19999999999999"/>
    <n v="134.1"/>
    <n v="130.6"/>
    <n v="119.8"/>
    <n v="128.30000000000001"/>
    <n v="135.19999999999999"/>
    <n v="123.3"/>
    <n v="127.4"/>
    <n v="132.80000000000001"/>
    <n v="3322.6709677419353"/>
    <n v="514.20000000000005"/>
    <n v="277.79999999999995"/>
    <n v="273.3709677419356"/>
    <n v="1872.7000000000003"/>
    <x v="144"/>
    <n v="136.6854838709678"/>
    <n v="133.76428571428573"/>
  </r>
  <r>
    <x v="1"/>
    <x v="4"/>
    <x v="2"/>
    <s v="Mar-17"/>
    <d v="2017-03-01T00:00:00"/>
    <x v="0"/>
    <n v="132.69999999999999"/>
    <n v="139.4"/>
    <n v="128.4"/>
    <n v="134.9"/>
    <n v="114"/>
    <n v="136.80000000000001"/>
    <x v="36"/>
    <n v="135.80000000000001"/>
    <n v="120.3"/>
    <n v="142.6"/>
    <n v="123.6"/>
    <n v="142.4"/>
    <n v="132.6"/>
    <n v="147.5"/>
    <n v="130.80000000000001"/>
    <n v="122.8"/>
    <n v="129.6"/>
    <n v="131.1"/>
    <n v="120.8"/>
    <n v="125.6"/>
    <n v="123.1"/>
    <n v="115.6"/>
    <n v="122.4"/>
    <n v="132.80000000000001"/>
    <n v="121.7"/>
    <n v="122.6"/>
    <n v="128.69999999999999"/>
    <n v="3222.5000000000009"/>
    <n v="499.5"/>
    <n v="253.60000000000002"/>
    <n v="256.7"/>
    <n v="1853.1999999999998"/>
    <x v="145"/>
    <n v="128.35"/>
    <n v="132.37142857142857"/>
  </r>
  <r>
    <x v="2"/>
    <x v="4"/>
    <x v="2"/>
    <s v="Mar-17"/>
    <d v="2017-03-01T00:00:00"/>
    <x v="0"/>
    <n v="133.30000000000001"/>
    <n v="139"/>
    <n v="128.6"/>
    <n v="136.30000000000001"/>
    <n v="118.8"/>
    <n v="138.30000000000001"/>
    <x v="43"/>
    <n v="143.9"/>
    <n v="118"/>
    <n v="137.9"/>
    <n v="127.2"/>
    <n v="144"/>
    <n v="133.1"/>
    <n v="145.1"/>
    <n v="137.30000000000001"/>
    <n v="130.6"/>
    <n v="136.4"/>
    <n v="131.1"/>
    <n v="129.1"/>
    <n v="130.1"/>
    <n v="127.8"/>
    <n v="117.6"/>
    <n v="125"/>
    <n v="133.80000000000001"/>
    <n v="122.6"/>
    <n v="125.1"/>
    <n v="130.9"/>
    <n v="3274.1"/>
    <n v="506.5"/>
    <n v="267.89999999999998"/>
    <n v="261.2"/>
    <n v="1864"/>
    <x v="146"/>
    <n v="130.6"/>
    <n v="133.14285714285714"/>
  </r>
  <r>
    <x v="0"/>
    <x v="4"/>
    <x v="3"/>
    <s v="Apr-17"/>
    <d v="2017-04-01T00:00:00"/>
    <x v="0"/>
    <n v="133.19999999999999"/>
    <n v="138.69999999999999"/>
    <n v="127.1"/>
    <n v="137.69999999999999"/>
    <n v="121.3"/>
    <n v="141.80000000000001"/>
    <x v="140"/>
    <n v="144.5"/>
    <n v="117.4"/>
    <n v="134.1"/>
    <n v="130"/>
    <n v="145.5"/>
    <n v="133.5"/>
    <n v="144.4"/>
    <n v="142.4"/>
    <n v="136.80000000000001"/>
    <n v="141.6"/>
    <n v="139.27096774193564"/>
    <n v="135"/>
    <n v="134.30000000000001"/>
    <n v="131"/>
    <n v="119.2"/>
    <n v="128.30000000000001"/>
    <n v="135.69999999999999"/>
    <n v="123.7"/>
    <n v="127.5"/>
    <n v="132.9"/>
    <n v="3323.8709677419361"/>
    <n v="515.20000000000005"/>
    <n v="279.20000000000005"/>
    <n v="273.57096774193565"/>
    <n v="1870.7"/>
    <x v="147"/>
    <n v="136.78548387096782"/>
    <n v="133.62142857142857"/>
  </r>
  <r>
    <x v="1"/>
    <x v="4"/>
    <x v="3"/>
    <s v="Apr-17"/>
    <d v="2017-04-01T00:00:00"/>
    <x v="0"/>
    <n v="132.69999999999999"/>
    <n v="140.6"/>
    <n v="124.5"/>
    <n v="136.30000000000001"/>
    <n v="113.5"/>
    <n v="137.69999999999999"/>
    <x v="141"/>
    <n v="133.80000000000001"/>
    <n v="120.8"/>
    <n v="141.30000000000001"/>
    <n v="123.8"/>
    <n v="142.6"/>
    <n v="133.4"/>
    <n v="148"/>
    <n v="131.19999999999999"/>
    <n v="123"/>
    <n v="130"/>
    <n v="131.69999999999999"/>
    <n v="121.4"/>
    <n v="126"/>
    <n v="123.4"/>
    <n v="114.3"/>
    <n v="122.6"/>
    <n v="133.6"/>
    <n v="122.2"/>
    <n v="122.5"/>
    <n v="129.1"/>
    <n v="3228.0000000000005"/>
    <n v="500.9"/>
    <n v="254.2"/>
    <n v="257.7"/>
    <n v="1856.1"/>
    <x v="148"/>
    <n v="128.85"/>
    <n v="132.57857142857142"/>
  </r>
  <r>
    <x v="2"/>
    <x v="4"/>
    <x v="3"/>
    <s v="Apr-17"/>
    <d v="2017-04-01T00:00:00"/>
    <x v="0"/>
    <n v="133"/>
    <n v="139.4"/>
    <n v="126.1"/>
    <n v="137.19999999999999"/>
    <n v="118.4"/>
    <n v="139.9"/>
    <x v="142"/>
    <n v="140.9"/>
    <n v="118.5"/>
    <n v="136.5"/>
    <n v="127.4"/>
    <n v="144.19999999999999"/>
    <n v="133.5"/>
    <n v="145.4"/>
    <n v="138"/>
    <n v="131.1"/>
    <n v="137"/>
    <n v="131.69999999999999"/>
    <n v="129.80000000000001"/>
    <n v="130.4"/>
    <n v="128.1"/>
    <n v="116.6"/>
    <n v="125.1"/>
    <n v="134.5"/>
    <n v="123.1"/>
    <n v="125.1"/>
    <n v="131.1"/>
    <n v="3277.3"/>
    <n v="507.79999999999995"/>
    <n v="269.10000000000002"/>
    <n v="262.10000000000002"/>
    <n v="1863.8000000000002"/>
    <x v="149"/>
    <n v="131.05000000000001"/>
    <n v="133.12857142857143"/>
  </r>
  <r>
    <x v="0"/>
    <x v="4"/>
    <x v="4"/>
    <s v="May-17"/>
    <d v="2017-05-01T00:00:00"/>
    <x v="0"/>
    <n v="133.1"/>
    <n v="140.30000000000001"/>
    <n v="126.8"/>
    <n v="138.19999999999999"/>
    <n v="120.8"/>
    <n v="140.19999999999999"/>
    <x v="143"/>
    <n v="141.80000000000001"/>
    <n v="118.6"/>
    <n v="134"/>
    <n v="130.30000000000001"/>
    <n v="145.80000000000001"/>
    <n v="133.80000000000001"/>
    <n v="145.5"/>
    <n v="142.5"/>
    <n v="137.30000000000001"/>
    <n v="141.80000000000001"/>
    <n v="139.27096774193564"/>
    <n v="135"/>
    <n v="134.9"/>
    <n v="131.4"/>
    <n v="119.4"/>
    <n v="129.4"/>
    <n v="136.30000000000001"/>
    <n v="123.7"/>
    <n v="127.9"/>
    <n v="133.30000000000001"/>
    <n v="3330.0709677419363"/>
    <n v="517.30000000000007"/>
    <n v="279.8"/>
    <n v="274.17096774193567"/>
    <n v="1872.9999999999995"/>
    <x v="150"/>
    <n v="137.08548387096783"/>
    <n v="133.78571428571425"/>
  </r>
  <r>
    <x v="1"/>
    <x v="4"/>
    <x v="4"/>
    <s v="May-17"/>
    <d v="2017-05-01T00:00:00"/>
    <x v="0"/>
    <n v="132.6"/>
    <n v="144.1"/>
    <n v="125.6"/>
    <n v="136.80000000000001"/>
    <n v="113.4"/>
    <n v="135.19999999999999"/>
    <x v="17"/>
    <n v="131.5"/>
    <n v="121"/>
    <n v="139.9"/>
    <n v="123.8"/>
    <n v="142.9"/>
    <n v="133.6"/>
    <n v="148.30000000000001"/>
    <n v="131.5"/>
    <n v="123.2"/>
    <n v="130.19999999999999"/>
    <n v="132.1"/>
    <n v="120.1"/>
    <n v="126.5"/>
    <n v="123.6"/>
    <n v="114.3"/>
    <n v="122.8"/>
    <n v="133.80000000000001"/>
    <n v="122"/>
    <n v="122.6"/>
    <n v="129.30000000000001"/>
    <n v="3230.4"/>
    <n v="501.2"/>
    <n v="254.7"/>
    <n v="258.60000000000002"/>
    <n v="1857.8999999999999"/>
    <x v="151"/>
    <n v="129.30000000000001"/>
    <n v="132.70714285714286"/>
  </r>
  <r>
    <x v="2"/>
    <x v="4"/>
    <x v="4"/>
    <s v="May-17"/>
    <d v="2017-05-01T00:00:00"/>
    <x v="0"/>
    <n v="132.9"/>
    <n v="141.6"/>
    <n v="126.3"/>
    <n v="137.69999999999999"/>
    <n v="118.1"/>
    <n v="137.9"/>
    <x v="144"/>
    <n v="138.30000000000001"/>
    <n v="119.4"/>
    <n v="136"/>
    <n v="127.6"/>
    <n v="144.5"/>
    <n v="133.69999999999999"/>
    <n v="146.19999999999999"/>
    <n v="138.19999999999999"/>
    <n v="131.4"/>
    <n v="137.19999999999999"/>
    <n v="132.1"/>
    <n v="129.4"/>
    <n v="130.9"/>
    <n v="128.4"/>
    <n v="116.7"/>
    <n v="125.7"/>
    <n v="134.80000000000001"/>
    <n v="123"/>
    <n v="125.3"/>
    <n v="131.4"/>
    <n v="3281.7"/>
    <n v="508.8"/>
    <n v="269.60000000000002"/>
    <n v="263"/>
    <n v="1865.8000000000002"/>
    <x v="152"/>
    <n v="131.5"/>
    <n v="133.27142857142857"/>
  </r>
  <r>
    <x v="0"/>
    <x v="4"/>
    <x v="5"/>
    <s v="Jun-17"/>
    <d v="2017-06-01T00:00:00"/>
    <x v="0"/>
    <n v="133.5"/>
    <n v="143.69999999999999"/>
    <n v="128"/>
    <n v="138.6"/>
    <n v="120.9"/>
    <n v="140.9"/>
    <x v="145"/>
    <n v="140.19999999999999"/>
    <n v="118.9"/>
    <n v="133.5"/>
    <n v="130.4"/>
    <n v="146.5"/>
    <n v="134.9"/>
    <n v="145.80000000000001"/>
    <n v="143.1"/>
    <n v="137.69999999999999"/>
    <n v="142.30000000000001"/>
    <n v="139.27096774193564"/>
    <n v="134.80000000000001"/>
    <n v="135.19999999999999"/>
    <n v="131.30000000000001"/>
    <n v="119.4"/>
    <n v="129.80000000000001"/>
    <n v="136.9"/>
    <n v="124.1"/>
    <n v="128.1"/>
    <n v="133.9"/>
    <n v="3344.2709677419357"/>
    <n v="518.90000000000009"/>
    <n v="280.79999999999995"/>
    <n v="274.47096774193562"/>
    <n v="1884.6000000000001"/>
    <x v="153"/>
    <n v="137.23548387096781"/>
    <n v="134.61428571428573"/>
  </r>
  <r>
    <x v="1"/>
    <x v="4"/>
    <x v="5"/>
    <s v="Jun-17"/>
    <d v="2017-06-01T00:00:00"/>
    <x v="0"/>
    <n v="132.9"/>
    <n v="148.69999999999999"/>
    <n v="128.30000000000001"/>
    <n v="137.30000000000001"/>
    <n v="113.5"/>
    <n v="137.19999999999999"/>
    <x v="146"/>
    <n v="128.19999999999999"/>
    <n v="120.9"/>
    <n v="138.80000000000001"/>
    <n v="124.2"/>
    <n v="143.1"/>
    <n v="135.69999999999999"/>
    <n v="148.6"/>
    <n v="131.5"/>
    <n v="123.2"/>
    <n v="130.19999999999999"/>
    <n v="131.4"/>
    <n v="119"/>
    <n v="126.8"/>
    <n v="123.8"/>
    <n v="113.9"/>
    <n v="122.9"/>
    <n v="134.30000000000001"/>
    <n v="122.5"/>
    <n v="122.7"/>
    <n v="129.9"/>
    <n v="3251.5999999999995"/>
    <n v="502.4"/>
    <n v="254.7"/>
    <n v="258.2"/>
    <n v="1879.6000000000001"/>
    <x v="154"/>
    <n v="129.1"/>
    <n v="134.25714285714287"/>
  </r>
  <r>
    <x v="2"/>
    <x v="4"/>
    <x v="5"/>
    <s v="Jun-17"/>
    <d v="2017-06-01T00:00:00"/>
    <x v="0"/>
    <n v="133.30000000000001"/>
    <n v="145.5"/>
    <n v="128.1"/>
    <n v="138.1"/>
    <n v="118.2"/>
    <n v="139.19999999999999"/>
    <x v="147"/>
    <n v="136.19999999999999"/>
    <n v="119.6"/>
    <n v="135.30000000000001"/>
    <n v="127.8"/>
    <n v="144.9"/>
    <n v="135.19999999999999"/>
    <n v="146.5"/>
    <n v="138.5"/>
    <n v="131.69999999999999"/>
    <n v="137.5"/>
    <n v="131.4"/>
    <n v="128.80000000000001"/>
    <n v="131.19999999999999"/>
    <n v="128.5"/>
    <n v="116.5"/>
    <n v="125.9"/>
    <n v="135.4"/>
    <n v="123.4"/>
    <n v="125.5"/>
    <n v="132"/>
    <n v="3297.9999999999995"/>
    <n v="510.20000000000005"/>
    <n v="270.2"/>
    <n v="262.60000000000002"/>
    <n v="1881.2"/>
    <x v="155"/>
    <n v="131.30000000000001"/>
    <n v="134.37142857142857"/>
  </r>
  <r>
    <x v="0"/>
    <x v="4"/>
    <x v="6"/>
    <s v="Jul-17"/>
    <d v="2017-07-01T00:00:00"/>
    <x v="0"/>
    <n v="134"/>
    <n v="144.19999999999999"/>
    <n v="129.80000000000001"/>
    <n v="139"/>
    <n v="120.9"/>
    <n v="143.9"/>
    <x v="148"/>
    <n v="138.1"/>
    <n v="120"/>
    <n v="133.9"/>
    <n v="131.4"/>
    <n v="147.69999999999999"/>
    <n v="138.5"/>
    <n v="147.4"/>
    <n v="144.30000000000001"/>
    <n v="138.1"/>
    <n v="143.5"/>
    <n v="139.27096774193564"/>
    <n v="135.30000000000001"/>
    <n v="136.1"/>
    <n v="132.1"/>
    <n v="119.1"/>
    <n v="130.6"/>
    <n v="138.6"/>
    <n v="124.4"/>
    <n v="128.6"/>
    <n v="136.19999999999999"/>
    <n v="3386.7709677419357"/>
    <n v="522.20000000000005"/>
    <n v="282.39999999999998"/>
    <n v="275.3709677419356"/>
    <n v="1920.3000000000002"/>
    <x v="156"/>
    <n v="137.6854838709678"/>
    <n v="137.16428571428574"/>
  </r>
  <r>
    <x v="1"/>
    <x v="4"/>
    <x v="6"/>
    <s v="Jul-17"/>
    <d v="2017-07-01T00:00:00"/>
    <x v="0"/>
    <n v="132.80000000000001"/>
    <n v="148.4"/>
    <n v="129.4"/>
    <n v="137.69999999999999"/>
    <n v="113.4"/>
    <n v="139.4"/>
    <x v="149"/>
    <n v="124.7"/>
    <n v="121.5"/>
    <n v="137.80000000000001"/>
    <n v="124.4"/>
    <n v="143.69999999999999"/>
    <n v="139.80000000000001"/>
    <n v="150.5"/>
    <n v="131.6"/>
    <n v="123.7"/>
    <n v="130.4"/>
    <n v="132.6"/>
    <n v="119.7"/>
    <n v="127.2"/>
    <n v="125"/>
    <n v="113.2"/>
    <n v="123.5"/>
    <n v="135.5"/>
    <n v="122.4"/>
    <n v="123"/>
    <n v="131.80000000000001"/>
    <n v="3296"/>
    <n v="504.4"/>
    <n v="255.3"/>
    <n v="259.8"/>
    <n v="1918.6"/>
    <x v="157"/>
    <n v="129.9"/>
    <n v="137.04285714285714"/>
  </r>
  <r>
    <x v="2"/>
    <x v="4"/>
    <x v="6"/>
    <s v="Jul-17"/>
    <d v="2017-07-01T00:00:00"/>
    <x v="0"/>
    <n v="133.6"/>
    <n v="145.69999999999999"/>
    <n v="129.6"/>
    <n v="138.5"/>
    <n v="118.1"/>
    <n v="141.80000000000001"/>
    <x v="150"/>
    <n v="133.6"/>
    <n v="120.5"/>
    <n v="135.19999999999999"/>
    <n v="128.5"/>
    <n v="145.80000000000001"/>
    <n v="139"/>
    <n v="148.19999999999999"/>
    <n v="139.30000000000001"/>
    <n v="132.1"/>
    <n v="138.30000000000001"/>
    <n v="132.6"/>
    <n v="129.4"/>
    <n v="131.9"/>
    <n v="129.4"/>
    <n v="116"/>
    <n v="126.6"/>
    <n v="136.80000000000001"/>
    <n v="123.6"/>
    <n v="125.9"/>
    <n v="134.19999999999999"/>
    <n v="3341.2"/>
    <n v="512.9"/>
    <n v="271.39999999999998"/>
    <n v="264.5"/>
    <n v="1917.6"/>
    <x v="158"/>
    <n v="132.25"/>
    <n v="136.97142857142856"/>
  </r>
  <r>
    <x v="0"/>
    <x v="4"/>
    <x v="7"/>
    <s v="Aug-17"/>
    <d v="2017-08-01T00:00:00"/>
    <x v="0"/>
    <n v="134.80000000000001"/>
    <n v="143.1"/>
    <n v="130"/>
    <n v="139.4"/>
    <n v="120.5"/>
    <n v="148"/>
    <x v="151"/>
    <n v="137.4"/>
    <n v="120.8"/>
    <n v="134.69999999999999"/>
    <n v="131.6"/>
    <n v="148.69999999999999"/>
    <n v="140.6"/>
    <n v="149"/>
    <n v="145.30000000000001"/>
    <n v="139.19999999999999"/>
    <n v="144.5"/>
    <n v="139.27096774193564"/>
    <n v="136.4"/>
    <n v="137.30000000000001"/>
    <n v="133"/>
    <n v="120.3"/>
    <n v="131.5"/>
    <n v="140.19999999999999"/>
    <n v="125.4"/>
    <n v="129.69999999999999"/>
    <n v="137.80000000000001"/>
    <n v="3419.0709677419354"/>
    <n v="526.79999999999995"/>
    <n v="284.5"/>
    <n v="276.57096774193565"/>
    <n v="1941.4999999999998"/>
    <x v="159"/>
    <n v="138.28548387096782"/>
    <n v="138.67857142857142"/>
  </r>
  <r>
    <x v="1"/>
    <x v="4"/>
    <x v="7"/>
    <s v="Aug-17"/>
    <d v="2017-08-01T00:00:00"/>
    <x v="0"/>
    <n v="133.19999999999999"/>
    <n v="143.9"/>
    <n v="128.30000000000001"/>
    <n v="138.30000000000001"/>
    <n v="114.1"/>
    <n v="142.69999999999999"/>
    <x v="152"/>
    <n v="123.5"/>
    <n v="122.1"/>
    <n v="137.5"/>
    <n v="124.6"/>
    <n v="144.5"/>
    <n v="140.5"/>
    <n v="152.1"/>
    <n v="132.69999999999999"/>
    <n v="124.3"/>
    <n v="131.4"/>
    <n v="134.4"/>
    <n v="118.9"/>
    <n v="127.7"/>
    <n v="125.7"/>
    <n v="114.6"/>
    <n v="124.1"/>
    <n v="135.69999999999999"/>
    <n v="123.3"/>
    <n v="123.8"/>
    <n v="132.69999999999999"/>
    <n v="3310.2999999999997"/>
    <n v="506.9"/>
    <n v="257"/>
    <n v="262.10000000000002"/>
    <n v="1925.0999999999997"/>
    <x v="160"/>
    <n v="131.05000000000001"/>
    <n v="137.50714285714284"/>
  </r>
  <r>
    <x v="2"/>
    <x v="4"/>
    <x v="7"/>
    <s v="Aug-17"/>
    <d v="2017-08-01T00:00:00"/>
    <x v="0"/>
    <n v="134.30000000000001"/>
    <n v="143.4"/>
    <n v="129.30000000000001"/>
    <n v="139"/>
    <n v="118.1"/>
    <n v="145.5"/>
    <x v="58"/>
    <n v="132.69999999999999"/>
    <n v="121.2"/>
    <n v="135.6"/>
    <n v="128.69999999999999"/>
    <n v="146.80000000000001"/>
    <n v="140.6"/>
    <n v="149.80000000000001"/>
    <n v="140.30000000000001"/>
    <n v="133"/>
    <n v="139.30000000000001"/>
    <n v="134.4"/>
    <n v="129.80000000000001"/>
    <n v="132.80000000000001"/>
    <n v="130.19999999999999"/>
    <n v="117.3"/>
    <n v="127.3"/>
    <n v="137.6"/>
    <n v="124.5"/>
    <n v="126.8"/>
    <n v="135.4"/>
    <n v="3367.6"/>
    <n v="516.19999999999993"/>
    <n v="273.3"/>
    <n v="267.20000000000005"/>
    <n v="1933.6"/>
    <x v="161"/>
    <n v="133.60000000000002"/>
    <n v="138.1142857142857"/>
  </r>
  <r>
    <x v="0"/>
    <x v="4"/>
    <x v="8"/>
    <s v="Sep-17"/>
    <d v="2017-09-01T00:00:00"/>
    <x v="0"/>
    <n v="135.19999999999999"/>
    <n v="142"/>
    <n v="130.5"/>
    <n v="140.19999999999999"/>
    <n v="120.7"/>
    <n v="147.80000000000001"/>
    <x v="153"/>
    <n v="137.1"/>
    <n v="121"/>
    <n v="134.69999999999999"/>
    <n v="131.69999999999999"/>
    <n v="149.30000000000001"/>
    <n v="139.6"/>
    <n v="149.80000000000001"/>
    <n v="146.1"/>
    <n v="139.69999999999999"/>
    <n v="145.19999999999999"/>
    <n v="139.27096774193564"/>
    <n v="137.4"/>
    <n v="137.9"/>
    <n v="133.4"/>
    <n v="121.2"/>
    <n v="132.30000000000001"/>
    <n v="139.6"/>
    <n v="126.7"/>
    <n v="130.30000000000001"/>
    <n v="137.6"/>
    <n v="3417.9709677419355"/>
    <n v="528.90000000000009"/>
    <n v="285.79999999999995"/>
    <n v="277.17096774193567"/>
    <n v="1934.1"/>
    <x v="162"/>
    <n v="138.58548387096783"/>
    <n v="138.15"/>
  </r>
  <r>
    <x v="1"/>
    <x v="4"/>
    <x v="8"/>
    <s v="Sep-17"/>
    <d v="2017-09-01T00:00:00"/>
    <x v="0"/>
    <n v="133.6"/>
    <n v="143"/>
    <n v="129.69999999999999"/>
    <n v="138.69999999999999"/>
    <n v="114.5"/>
    <n v="137.5"/>
    <x v="154"/>
    <n v="124.5"/>
    <n v="122.4"/>
    <n v="137.30000000000001"/>
    <n v="124.8"/>
    <n v="145"/>
    <n v="138"/>
    <n v="153.6"/>
    <n v="133.30000000000001"/>
    <n v="124.6"/>
    <n v="132"/>
    <n v="135.69999999999999"/>
    <n v="120.6"/>
    <n v="128.1"/>
    <n v="126.1"/>
    <n v="115.7"/>
    <n v="124.5"/>
    <n v="135.9"/>
    <n v="124.4"/>
    <n v="124.5"/>
    <n v="132.4"/>
    <n v="3296.7000000000003"/>
    <n v="509.3"/>
    <n v="257.89999999999998"/>
    <n v="263.79999999999995"/>
    <n v="1903.3"/>
    <x v="163"/>
    <n v="131.89999999999998"/>
    <n v="135.94999999999999"/>
  </r>
  <r>
    <x v="2"/>
    <x v="4"/>
    <x v="8"/>
    <s v="Sep-17"/>
    <d v="2017-09-01T00:00:00"/>
    <x v="0"/>
    <n v="134.69999999999999"/>
    <n v="142.4"/>
    <n v="130.19999999999999"/>
    <n v="139.6"/>
    <n v="118.4"/>
    <n v="143"/>
    <x v="155"/>
    <n v="132.9"/>
    <n v="121.5"/>
    <n v="135.6"/>
    <n v="128.80000000000001"/>
    <n v="147.30000000000001"/>
    <n v="139"/>
    <n v="150.80000000000001"/>
    <n v="141.1"/>
    <n v="133.4"/>
    <n v="140"/>
    <n v="135.69999999999999"/>
    <n v="131"/>
    <n v="133.30000000000001"/>
    <n v="130.6"/>
    <n v="118.3"/>
    <n v="127.9"/>
    <n v="137.4"/>
    <n v="125.7"/>
    <n v="127.5"/>
    <n v="135.19999999999999"/>
    <n v="3362.7000000000007"/>
    <n v="518.5"/>
    <n v="274.5"/>
    <n v="269"/>
    <n v="1920.7999999999997"/>
    <x v="164"/>
    <n v="134.5"/>
    <n v="137.19999999999999"/>
  </r>
  <r>
    <x v="0"/>
    <x v="4"/>
    <x v="9"/>
    <s v="Oct-17"/>
    <d v="2017-10-01T00:00:00"/>
    <x v="0"/>
    <n v="135.9"/>
    <n v="141.9"/>
    <n v="131"/>
    <n v="141.5"/>
    <n v="121.4"/>
    <n v="146.69999999999999"/>
    <x v="156"/>
    <n v="136.4"/>
    <n v="121.4"/>
    <n v="135.6"/>
    <n v="131.30000000000001"/>
    <n v="150.30000000000001"/>
    <n v="140.4"/>
    <n v="150.5"/>
    <n v="147.19999999999999"/>
    <n v="140.6"/>
    <n v="146.19999999999999"/>
    <n v="139.27096774193564"/>
    <n v="138.1"/>
    <n v="138.4"/>
    <n v="134.19999999999999"/>
    <n v="121"/>
    <n v="133"/>
    <n v="140.1"/>
    <n v="127.4"/>
    <n v="130.69999999999999"/>
    <n v="138.30000000000001"/>
    <n v="3431.3709677419361"/>
    <n v="531.20000000000005"/>
    <n v="287.79999999999995"/>
    <n v="277.67096774193567"/>
    <n v="1941.3999999999999"/>
    <x v="165"/>
    <n v="138.83548387096783"/>
    <n v="138.67142857142855"/>
  </r>
  <r>
    <x v="1"/>
    <x v="4"/>
    <x v="9"/>
    <s v="Oct-17"/>
    <d v="2017-10-01T00:00:00"/>
    <x v="0"/>
    <n v="133.9"/>
    <n v="142.80000000000001"/>
    <n v="131.4"/>
    <n v="139.1"/>
    <n v="114.9"/>
    <n v="135.6"/>
    <x v="157"/>
    <n v="124.1"/>
    <n v="122.6"/>
    <n v="137.80000000000001"/>
    <n v="125.1"/>
    <n v="145.5"/>
    <n v="139.69999999999999"/>
    <n v="154.6"/>
    <n v="134"/>
    <n v="124.9"/>
    <n v="132.6"/>
    <n v="137.30000000000001"/>
    <n v="122.6"/>
    <n v="128.30000000000001"/>
    <n v="126.6"/>
    <n v="115"/>
    <n v="124.8"/>
    <n v="136.30000000000001"/>
    <n v="124.6"/>
    <n v="124.5"/>
    <n v="133.5"/>
    <n v="3319.2"/>
    <n v="510.2"/>
    <n v="258.89999999999998"/>
    <n v="265.60000000000002"/>
    <n v="1920.2999999999997"/>
    <x v="166"/>
    <n v="132.80000000000001"/>
    <n v="137.16428571428568"/>
  </r>
  <r>
    <x v="2"/>
    <x v="4"/>
    <x v="9"/>
    <s v="Oct-17"/>
    <d v="2017-10-01T00:00:00"/>
    <x v="0"/>
    <n v="135.30000000000001"/>
    <n v="142.19999999999999"/>
    <n v="131.19999999999999"/>
    <n v="140.6"/>
    <n v="119"/>
    <n v="141.5"/>
    <x v="158"/>
    <n v="132.30000000000001"/>
    <n v="121.8"/>
    <n v="136.30000000000001"/>
    <n v="128.69999999999999"/>
    <n v="148.1"/>
    <n v="140.1"/>
    <n v="151.6"/>
    <n v="142"/>
    <n v="134.1"/>
    <n v="140.80000000000001"/>
    <n v="137.30000000000001"/>
    <n v="132.19999999999999"/>
    <n v="133.6"/>
    <n v="131.30000000000001"/>
    <n v="117.8"/>
    <n v="128.4"/>
    <n v="137.9"/>
    <n v="126.2"/>
    <n v="127.7"/>
    <n v="136.1"/>
    <n v="3379.8"/>
    <n v="520.20000000000005"/>
    <n v="276.10000000000002"/>
    <n v="270.89999999999998"/>
    <n v="1931.2999999999997"/>
    <x v="167"/>
    <n v="135.44999999999999"/>
    <n v="137.94999999999999"/>
  </r>
  <r>
    <x v="0"/>
    <x v="4"/>
    <x v="11"/>
    <s v="Nov-17"/>
    <d v="2017-11-01T00:00:00"/>
    <x v="0"/>
    <n v="136.30000000000001"/>
    <n v="142.5"/>
    <n v="140.5"/>
    <n v="141.5"/>
    <n v="121.6"/>
    <n v="147.30000000000001"/>
    <x v="159"/>
    <n v="135.80000000000001"/>
    <n v="122.5"/>
    <n v="136"/>
    <n v="131.9"/>
    <n v="151.4"/>
    <n v="142.4"/>
    <n v="152.1"/>
    <n v="148.19999999999999"/>
    <n v="141.5"/>
    <n v="147.30000000000001"/>
    <n v="139.27096774193564"/>
    <n v="141.1"/>
    <n v="139.4"/>
    <n v="135.80000000000001"/>
    <n v="121.6"/>
    <n v="133.69999999999999"/>
    <n v="141.5"/>
    <n v="128.1"/>
    <n v="131.69999999999999"/>
    <n v="140"/>
    <n v="3471.6709677419358"/>
    <n v="535"/>
    <n v="289.7"/>
    <n v="278.67096774193567"/>
    <n v="1969.8000000000002"/>
    <x v="168"/>
    <n v="139.33548387096783"/>
    <n v="140.70000000000002"/>
  </r>
  <r>
    <x v="1"/>
    <x v="4"/>
    <x v="11"/>
    <s v="Nov-17"/>
    <d v="2017-11-01T00:00:00"/>
    <x v="0"/>
    <n v="134.30000000000001"/>
    <n v="142.1"/>
    <n v="146.69999999999999"/>
    <n v="139.5"/>
    <n v="115.2"/>
    <n v="136.4"/>
    <x v="160"/>
    <n v="122.2"/>
    <n v="123.9"/>
    <n v="138.30000000000001"/>
    <n v="125.4"/>
    <n v="146"/>
    <n v="141.5"/>
    <n v="156.19999999999999"/>
    <n v="135"/>
    <n v="125.4"/>
    <n v="133.5"/>
    <n v="138.6"/>
    <n v="125.7"/>
    <n v="128.80000000000001"/>
    <n v="127.4"/>
    <n v="115.3"/>
    <n v="125.1"/>
    <n v="136.6"/>
    <n v="124.9"/>
    <n v="124.9"/>
    <n v="134.80000000000001"/>
    <n v="3360.6"/>
    <n v="511.5"/>
    <n v="260.39999999999998"/>
    <n v="267.39999999999998"/>
    <n v="1952.9"/>
    <x v="169"/>
    <n v="133.69999999999999"/>
    <n v="139.49285714285716"/>
  </r>
  <r>
    <x v="2"/>
    <x v="4"/>
    <x v="11"/>
    <s v="Nov-17"/>
    <d v="2017-11-01T00:00:00"/>
    <x v="0"/>
    <n v="135.69999999999999"/>
    <n v="142.4"/>
    <n v="142.9"/>
    <n v="140.80000000000001"/>
    <n v="119.2"/>
    <n v="142.19999999999999"/>
    <x v="161"/>
    <n v="131.19999999999999"/>
    <n v="123"/>
    <n v="136.80000000000001"/>
    <n v="129.19999999999999"/>
    <n v="148.9"/>
    <n v="142.1"/>
    <n v="153.19999999999999"/>
    <n v="143"/>
    <n v="134.80000000000001"/>
    <n v="141.80000000000001"/>
    <n v="138.6"/>
    <n v="135.30000000000001"/>
    <n v="134.4"/>
    <n v="132.6"/>
    <n v="118.3"/>
    <n v="128.9"/>
    <n v="138.6"/>
    <n v="126.8"/>
    <n v="128.4"/>
    <n v="137.6"/>
    <n v="3421.1000000000004"/>
    <n v="522.69999999999993"/>
    <n v="277.8"/>
    <n v="273"/>
    <n v="1961.4"/>
    <x v="170"/>
    <n v="136.5"/>
    <n v="140.1"/>
  </r>
  <r>
    <x v="0"/>
    <x v="4"/>
    <x v="12"/>
    <s v="Dec-17"/>
    <d v="2017-12-01T00:00:00"/>
    <x v="0"/>
    <n v="136.4"/>
    <n v="143.69999999999999"/>
    <n v="144.80000000000001"/>
    <n v="141.9"/>
    <n v="123.1"/>
    <n v="147.19999999999999"/>
    <x v="162"/>
    <n v="133.80000000000001"/>
    <n v="121.9"/>
    <n v="135.80000000000001"/>
    <n v="131.1"/>
    <n v="151.4"/>
    <n v="141.5"/>
    <n v="153.19999999999999"/>
    <n v="148"/>
    <n v="141.9"/>
    <n v="147.19999999999999"/>
    <n v="139.27096774193564"/>
    <n v="142.6"/>
    <n v="139.5"/>
    <n v="136.1"/>
    <n v="122"/>
    <n v="133.4"/>
    <n v="141.1"/>
    <n v="127.8"/>
    <n v="131.9"/>
    <n v="139.80000000000001"/>
    <n v="3470.3709677419361"/>
    <n v="534.19999999999993"/>
    <n v="289.89999999999998"/>
    <n v="278.77096774193564"/>
    <n v="1966.8000000000002"/>
    <x v="171"/>
    <n v="139.38548387096782"/>
    <n v="140.48571428571429"/>
  </r>
  <r>
    <x v="1"/>
    <x v="4"/>
    <x v="12"/>
    <s v="Dec-17"/>
    <d v="2017-12-01T00:00:00"/>
    <x v="0"/>
    <n v="134.4"/>
    <n v="142.6"/>
    <n v="145.9"/>
    <n v="139.5"/>
    <n v="115.9"/>
    <n v="135"/>
    <x v="163"/>
    <n v="119.8"/>
    <n v="120.7"/>
    <n v="139.69999999999999"/>
    <n v="125.7"/>
    <n v="146.30000000000001"/>
    <n v="138.80000000000001"/>
    <n v="157"/>
    <n v="135.6"/>
    <n v="125.6"/>
    <n v="134"/>
    <n v="139.1"/>
    <n v="126.8"/>
    <n v="129.30000000000001"/>
    <n v="128.19999999999999"/>
    <n v="115.3"/>
    <n v="125.6"/>
    <n v="136.69999999999999"/>
    <n v="124.6"/>
    <n v="125.1"/>
    <n v="134.1"/>
    <n v="3336.3999999999996"/>
    <n v="512"/>
    <n v="261.2"/>
    <n v="268.39999999999998"/>
    <n v="1924.5"/>
    <x v="172"/>
    <n v="134.19999999999999"/>
    <n v="137.46428571428572"/>
  </r>
  <r>
    <x v="2"/>
    <x v="4"/>
    <x v="12"/>
    <s v="Dec-17"/>
    <d v="2017-12-01T00:00:00"/>
    <x v="0"/>
    <n v="135.80000000000001"/>
    <n v="143.30000000000001"/>
    <n v="145.19999999999999"/>
    <n v="141"/>
    <n v="120.5"/>
    <n v="141.5"/>
    <x v="164"/>
    <n v="129.1"/>
    <n v="121.5"/>
    <n v="137.1"/>
    <n v="128.80000000000001"/>
    <n v="149"/>
    <n v="140.5"/>
    <n v="154.19999999999999"/>
    <n v="143.1"/>
    <n v="135.1"/>
    <n v="142"/>
    <n v="139.1"/>
    <n v="136.6"/>
    <n v="134.69999999999999"/>
    <n v="133.1"/>
    <n v="118.5"/>
    <n v="129"/>
    <n v="138.5"/>
    <n v="126.5"/>
    <n v="128.6"/>
    <n v="137.19999999999999"/>
    <n v="3411.9999999999995"/>
    <n v="522.6"/>
    <n v="278.2"/>
    <n v="273.79999999999995"/>
    <n v="1949.1999999999998"/>
    <x v="173"/>
    <n v="136.89999999999998"/>
    <n v="139.22857142857143"/>
  </r>
  <r>
    <x v="0"/>
    <x v="5"/>
    <x v="0"/>
    <s v="Jan-18"/>
    <d v="2018-01-01T00:00:00"/>
    <x v="0"/>
    <n v="136.6"/>
    <n v="144.4"/>
    <n v="143.80000000000001"/>
    <n v="142"/>
    <n v="123.2"/>
    <n v="147.9"/>
    <x v="165"/>
    <n v="131.80000000000001"/>
    <n v="119.5"/>
    <n v="136"/>
    <n v="131.19999999999999"/>
    <n v="151.80000000000001"/>
    <n v="140.4"/>
    <n v="153.6"/>
    <n v="148.30000000000001"/>
    <n v="142.30000000000001"/>
    <n v="147.5"/>
    <n v="139.27096774193564"/>
    <n v="142.30000000000001"/>
    <n v="139.80000000000001"/>
    <n v="136"/>
    <n v="122.7"/>
    <n v="134.30000000000001"/>
    <n v="141.6"/>
    <n v="128.6"/>
    <n v="132.30000000000001"/>
    <n v="139.30000000000001"/>
    <n v="3461.7709677419361"/>
    <n v="536.79999999999995"/>
    <n v="290.60000000000002"/>
    <n v="279.07096774193565"/>
    <n v="1954.3"/>
    <x v="174"/>
    <n v="139.53548387096782"/>
    <n v="139.59285714285713"/>
  </r>
  <r>
    <x v="1"/>
    <x v="5"/>
    <x v="0"/>
    <s v="Jan-18"/>
    <d v="2018-01-01T00:00:00"/>
    <x v="0"/>
    <n v="134.6"/>
    <n v="143.69999999999999"/>
    <n v="143.6"/>
    <n v="139.6"/>
    <n v="116.4"/>
    <n v="133.80000000000001"/>
    <x v="166"/>
    <n v="118.4"/>
    <n v="117.3"/>
    <n v="140.5"/>
    <n v="125.9"/>
    <n v="146.80000000000001"/>
    <n v="137.19999999999999"/>
    <n v="157.69999999999999"/>
    <n v="136"/>
    <n v="125.9"/>
    <n v="134.4"/>
    <n v="140.4"/>
    <n v="127.3"/>
    <n v="129.5"/>
    <n v="129"/>
    <n v="116.3"/>
    <n v="126.2"/>
    <n v="137.1"/>
    <n v="125.5"/>
    <n v="125.8"/>
    <n v="134.1"/>
    <n v="3325.0000000000005"/>
    <n v="514.6"/>
    <n v="261.89999999999998"/>
    <n v="269.89999999999998"/>
    <n v="1906.0000000000002"/>
    <x v="175"/>
    <n v="134.94999999999999"/>
    <n v="136.14285714285717"/>
  </r>
  <r>
    <x v="2"/>
    <x v="5"/>
    <x v="0"/>
    <s v="Jan-18"/>
    <d v="2018-01-01T00:00:00"/>
    <x v="0"/>
    <n v="136"/>
    <n v="144.19999999999999"/>
    <n v="143.69999999999999"/>
    <n v="141.1"/>
    <n v="120.7"/>
    <n v="141.30000000000001"/>
    <x v="167"/>
    <n v="127.3"/>
    <n v="118.8"/>
    <n v="137.5"/>
    <n v="129"/>
    <n v="149.5"/>
    <n v="139.19999999999999"/>
    <n v="154.69999999999999"/>
    <n v="143.5"/>
    <n v="135.5"/>
    <n v="142.30000000000001"/>
    <n v="140.4"/>
    <n v="136.6"/>
    <n v="134.9"/>
    <n v="133.30000000000001"/>
    <n v="119.3"/>
    <n v="129.69999999999999"/>
    <n v="139"/>
    <n v="127.3"/>
    <n v="129.1"/>
    <n v="136.9"/>
    <n v="3403.2"/>
    <n v="525.09999999999991"/>
    <n v="279"/>
    <n v="275.3"/>
    <n v="1934.6000000000001"/>
    <x v="176"/>
    <n v="137.65"/>
    <n v="138.18571428571428"/>
  </r>
  <r>
    <x v="0"/>
    <x v="5"/>
    <x v="1"/>
    <s v="Feb-18"/>
    <d v="2018-02-01T00:00:00"/>
    <x v="0"/>
    <n v="136.4"/>
    <n v="143.69999999999999"/>
    <n v="140.6"/>
    <n v="141.5"/>
    <n v="122.9"/>
    <n v="149.4"/>
    <x v="168"/>
    <n v="130.19999999999999"/>
    <n v="117.9"/>
    <n v="135.6"/>
    <n v="130.5"/>
    <n v="151.69999999999999"/>
    <n v="138.69999999999999"/>
    <n v="153.30000000000001"/>
    <n v="148.69999999999999"/>
    <n v="142.4"/>
    <n v="147.80000000000001"/>
    <n v="139.27096774193564"/>
    <n v="142.4"/>
    <n v="139.9"/>
    <n v="136.19999999999999"/>
    <n v="123.3"/>
    <n v="134.30000000000001"/>
    <n v="141.5"/>
    <n v="128.80000000000001"/>
    <n v="132.5"/>
    <n v="138.5"/>
    <n v="3444.0709677419354"/>
    <n v="537.1"/>
    <n v="291.10000000000002"/>
    <n v="279.17096774193567"/>
    <n v="1934.8"/>
    <x v="177"/>
    <n v="139.58548387096783"/>
    <n v="138.19999999999999"/>
  </r>
  <r>
    <x v="1"/>
    <x v="5"/>
    <x v="1"/>
    <s v="Feb-18"/>
    <d v="2018-02-01T00:00:00"/>
    <x v="0"/>
    <n v="134.80000000000001"/>
    <n v="143"/>
    <n v="139.9"/>
    <n v="139.9"/>
    <n v="116.2"/>
    <n v="135.5"/>
    <x v="169"/>
    <n v="117"/>
    <n v="115.4"/>
    <n v="140.69999999999999"/>
    <n v="125.9"/>
    <n v="147.1"/>
    <n v="135.6"/>
    <n v="159.30000000000001"/>
    <n v="136.30000000000001"/>
    <n v="126.1"/>
    <n v="134.69999999999999"/>
    <n v="141.30000000000001"/>
    <n v="127.3"/>
    <n v="129.9"/>
    <n v="129.80000000000001"/>
    <n v="117.4"/>
    <n v="126.5"/>
    <n v="137.19999999999999"/>
    <n v="126.2"/>
    <n v="126.5"/>
    <n v="134"/>
    <n v="3311.7000000000003"/>
    <n v="516.4"/>
    <n v="262.39999999999998"/>
    <n v="271.20000000000005"/>
    <n v="1887.2"/>
    <x v="178"/>
    <n v="135.60000000000002"/>
    <n v="134.80000000000001"/>
  </r>
  <r>
    <x v="2"/>
    <x v="5"/>
    <x v="1"/>
    <s v="Feb-18"/>
    <d v="2018-02-01T00:00:00"/>
    <x v="0"/>
    <n v="135.9"/>
    <n v="143.5"/>
    <n v="140.30000000000001"/>
    <n v="140.9"/>
    <n v="120.4"/>
    <n v="142.9"/>
    <x v="68"/>
    <n v="125.8"/>
    <n v="117.1"/>
    <n v="137.30000000000001"/>
    <n v="128.6"/>
    <n v="149.6"/>
    <n v="137.6"/>
    <n v="154.9"/>
    <n v="143.80000000000001"/>
    <n v="135.6"/>
    <n v="142.6"/>
    <n v="141.30000000000001"/>
    <n v="136.69999999999999"/>
    <n v="135.19999999999999"/>
    <n v="133.80000000000001"/>
    <n v="120.2"/>
    <n v="129.9"/>
    <n v="139"/>
    <n v="127.7"/>
    <n v="129.6"/>
    <n v="136.4"/>
    <n v="3388.1000000000004"/>
    <n v="526.20000000000005"/>
    <n v="279.39999999999998"/>
    <n v="276.5"/>
    <n v="1915.2999999999997"/>
    <x v="179"/>
    <n v="138.25"/>
    <n v="136.80714285714285"/>
  </r>
  <r>
    <x v="0"/>
    <x v="5"/>
    <x v="2"/>
    <s v="Mar-18"/>
    <d v="2018-03-01T00:00:00"/>
    <x v="0"/>
    <n v="136.80000000000001"/>
    <n v="143.80000000000001"/>
    <n v="140"/>
    <n v="142"/>
    <n v="123.2"/>
    <n v="152.9"/>
    <x v="170"/>
    <n v="129.30000000000001"/>
    <n v="117.1"/>
    <n v="136.30000000000001"/>
    <n v="131.19999999999999"/>
    <n v="152.80000000000001"/>
    <n v="138.6"/>
    <n v="155.1"/>
    <n v="149.19999999999999"/>
    <n v="143"/>
    <n v="148.30000000000001"/>
    <n v="139.27096774193564"/>
    <n v="142.6"/>
    <n v="139.9"/>
    <n v="136.69999999999999"/>
    <n v="124.6"/>
    <n v="135.1"/>
    <n v="142.69999999999999"/>
    <n v="129.30000000000001"/>
    <n v="133.30000000000001"/>
    <n v="138.69999999999999"/>
    <n v="3452.7709677419352"/>
    <n v="540.4"/>
    <n v="292.2"/>
    <n v="279.17096774193567"/>
    <n v="1937.0999999999997"/>
    <x v="180"/>
    <n v="139.58548387096783"/>
    <n v="138.3642857142857"/>
  </r>
  <r>
    <x v="1"/>
    <x v="5"/>
    <x v="2"/>
    <s v="Mar-18"/>
    <d v="2018-03-01T00:00:00"/>
    <x v="0"/>
    <n v="135"/>
    <n v="143.1"/>
    <n v="135.5"/>
    <n v="139.9"/>
    <n v="116.5"/>
    <n v="138.5"/>
    <x v="75"/>
    <n v="115.5"/>
    <n v="114.2"/>
    <n v="140.69999999999999"/>
    <n v="126.2"/>
    <n v="147.6"/>
    <n v="134.80000000000001"/>
    <n v="159.69999999999999"/>
    <n v="136.69999999999999"/>
    <n v="126.7"/>
    <n v="135.19999999999999"/>
    <n v="142"/>
    <n v="126.4"/>
    <n v="130.80000000000001"/>
    <n v="130.5"/>
    <n v="117.8"/>
    <n v="126.8"/>
    <n v="137.80000000000001"/>
    <n v="126.7"/>
    <n v="127.1"/>
    <n v="134"/>
    <n v="3304.4999999999986"/>
    <n v="518.4"/>
    <n v="263.39999999999998"/>
    <n v="272.8"/>
    <n v="1875.2"/>
    <x v="181"/>
    <n v="136.4"/>
    <n v="133.94285714285715"/>
  </r>
  <r>
    <x v="2"/>
    <x v="5"/>
    <x v="2"/>
    <s v="Mar-18"/>
    <d v="2018-03-01T00:00:00"/>
    <x v="0"/>
    <n v="136.19999999999999"/>
    <n v="143.6"/>
    <n v="138.30000000000001"/>
    <n v="141.19999999999999"/>
    <n v="120.7"/>
    <n v="146.19999999999999"/>
    <x v="171"/>
    <n v="124.6"/>
    <n v="116.1"/>
    <n v="137.80000000000001"/>
    <n v="129.1"/>
    <n v="150.4"/>
    <n v="137.19999999999999"/>
    <n v="156.30000000000001"/>
    <n v="144.30000000000001"/>
    <n v="136.19999999999999"/>
    <n v="143.1"/>
    <n v="142"/>
    <n v="136.5"/>
    <n v="135.6"/>
    <n v="134.30000000000001"/>
    <n v="121"/>
    <n v="130.4"/>
    <n v="139.80000000000001"/>
    <n v="128.19999999999999"/>
    <n v="130.30000000000001"/>
    <n v="136.5"/>
    <n v="3390.9"/>
    <n v="528.70000000000005"/>
    <n v="280.5"/>
    <n v="277.60000000000002"/>
    <n v="1912.3"/>
    <x v="182"/>
    <n v="138.80000000000001"/>
    <n v="136.59285714285713"/>
  </r>
  <r>
    <x v="0"/>
    <x v="5"/>
    <x v="3"/>
    <s v="Apr-18"/>
    <d v="2018-04-01T00:00:00"/>
    <x v="0"/>
    <n v="137.1"/>
    <n v="144.5"/>
    <n v="135.9"/>
    <n v="142.4"/>
    <n v="123.5"/>
    <n v="156.4"/>
    <x v="172"/>
    <n v="128.4"/>
    <n v="115.2"/>
    <n v="137.19999999999999"/>
    <n v="131.9"/>
    <n v="153.80000000000001"/>
    <n v="138.6"/>
    <n v="156.1"/>
    <n v="150.1"/>
    <n v="143.30000000000001"/>
    <n v="149.1"/>
    <n v="139.27096774193564"/>
    <n v="143.80000000000001"/>
    <n v="140.9"/>
    <n v="137.6"/>
    <n v="125.3"/>
    <n v="136"/>
    <n v="143.69999999999999"/>
    <n v="130.4"/>
    <n v="134.19999999999999"/>
    <n v="139.1"/>
    <n v="3460.6709677419358"/>
    <n v="544.29999999999995"/>
    <n v="293.39999999999998"/>
    <n v="280.17096774193567"/>
    <n v="1936.1"/>
    <x v="183"/>
    <n v="140.08548387096783"/>
    <n v="138.29285714285714"/>
  </r>
  <r>
    <x v="1"/>
    <x v="5"/>
    <x v="3"/>
    <s v="Apr-18"/>
    <d v="2018-04-01T00:00:00"/>
    <x v="0"/>
    <n v="135"/>
    <n v="144.30000000000001"/>
    <n v="130.80000000000001"/>
    <n v="140.30000000000001"/>
    <n v="116.6"/>
    <n v="150.1"/>
    <x v="173"/>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n v="3316.9999999999995"/>
    <n v="523.1"/>
    <n v="265.20000000000005"/>
    <n v="274.70000000000005"/>
    <n v="1879.2000000000003"/>
    <x v="184"/>
    <n v="137.35000000000002"/>
    <n v="134.22857142857146"/>
  </r>
  <r>
    <x v="2"/>
    <x v="5"/>
    <x v="3"/>
    <s v="Apr-18"/>
    <d v="2018-04-01T00:00:00"/>
    <x v="0"/>
    <n v="136.4"/>
    <n v="144.4"/>
    <n v="133.9"/>
    <n v="141.6"/>
    <n v="121"/>
    <n v="153.5"/>
    <x v="174"/>
    <n v="123.5"/>
    <n v="113.7"/>
    <n v="138.19999999999999"/>
    <n v="129.6"/>
    <n v="151.19999999999999"/>
    <n v="137.5"/>
    <n v="156.9"/>
    <n v="145.30000000000001"/>
    <n v="136.69999999999999"/>
    <n v="144"/>
    <n v="142.9"/>
    <n v="136.5"/>
    <n v="136.6"/>
    <n v="135.19999999999999"/>
    <n v="121.9"/>
    <n v="131.30000000000001"/>
    <n v="141.4"/>
    <n v="129.19999999999999"/>
    <n v="131.30000000000001"/>
    <n v="137.1"/>
    <n v="3402.2999999999997"/>
    <n v="533.20000000000005"/>
    <n v="282"/>
    <n v="279.5"/>
    <n v="1914.0000000000002"/>
    <x v="185"/>
    <n v="139.75"/>
    <n v="136.71428571428572"/>
  </r>
  <r>
    <x v="0"/>
    <x v="5"/>
    <x v="4"/>
    <s v="May-18"/>
    <d v="2018-05-01T00:00:00"/>
    <x v="0"/>
    <n v="137.4"/>
    <n v="145.69999999999999"/>
    <n v="135.5"/>
    <n v="142.9"/>
    <n v="123.6"/>
    <n v="157.5"/>
    <x v="175"/>
    <n v="127.2"/>
    <n v="111.8"/>
    <n v="137.4"/>
    <n v="132.19999999999999"/>
    <n v="154.30000000000001"/>
    <n v="139.1"/>
    <n v="157"/>
    <n v="150.80000000000001"/>
    <n v="144.1"/>
    <n v="149.80000000000001"/>
    <n v="139.27096774193564"/>
    <n v="144.30000000000001"/>
    <n v="141.80000000000001"/>
    <n v="138.4"/>
    <n v="126.4"/>
    <n v="136.80000000000001"/>
    <n v="144.4"/>
    <n v="131.19999999999999"/>
    <n v="135.1"/>
    <n v="139.80000000000001"/>
    <n v="3471.970967741936"/>
    <n v="547.5"/>
    <n v="294.89999999999998"/>
    <n v="281.07096774193565"/>
    <n v="1939.4"/>
    <x v="186"/>
    <n v="140.53548387096782"/>
    <n v="138.52857142857144"/>
  </r>
  <r>
    <x v="1"/>
    <x v="5"/>
    <x v="4"/>
    <s v="May-18"/>
    <d v="2018-05-01T00:00:00"/>
    <x v="0"/>
    <n v="135"/>
    <n v="148.19999999999999"/>
    <n v="130.5"/>
    <n v="140.69999999999999"/>
    <n v="116.4"/>
    <n v="151.30000000000001"/>
    <x v="76"/>
    <n v="112.8"/>
    <n v="105.3"/>
    <n v="139.6"/>
    <n v="126.6"/>
    <n v="148.69999999999999"/>
    <n v="136.4"/>
    <n v="160.30000000000001"/>
    <n v="138.6"/>
    <n v="127.9"/>
    <n v="137"/>
    <n v="143.19999999999999"/>
    <n v="124.7"/>
    <n v="132.5"/>
    <n v="132"/>
    <n v="119.8"/>
    <n v="128"/>
    <n v="140.4"/>
    <n v="128.1"/>
    <n v="128.9"/>
    <n v="135.4"/>
    <n v="3327.3"/>
    <n v="525.4"/>
    <n v="266.5"/>
    <n v="275.7"/>
    <n v="1883.1999999999998"/>
    <x v="187"/>
    <n v="137.85"/>
    <n v="134.51428571428571"/>
  </r>
  <r>
    <x v="2"/>
    <x v="5"/>
    <x v="4"/>
    <s v="May-18"/>
    <d v="2018-05-01T00:00:00"/>
    <x v="0"/>
    <n v="136.6"/>
    <n v="146.6"/>
    <n v="133.6"/>
    <n v="142.1"/>
    <n v="121"/>
    <n v="154.6"/>
    <x v="81"/>
    <n v="122.3"/>
    <n v="109.6"/>
    <n v="138.1"/>
    <n v="129.9"/>
    <n v="151.69999999999999"/>
    <n v="138.1"/>
    <n v="157.9"/>
    <n v="146"/>
    <n v="137.4"/>
    <n v="144.69999999999999"/>
    <n v="143.19999999999999"/>
    <n v="136.9"/>
    <n v="137.4"/>
    <n v="136"/>
    <n v="122.9"/>
    <n v="131.80000000000001"/>
    <n v="142.1"/>
    <n v="129.9"/>
    <n v="132.1"/>
    <n v="137.80000000000001"/>
    <n v="3413.3999999999996"/>
    <n v="535.90000000000009"/>
    <n v="283.39999999999998"/>
    <n v="280.60000000000002"/>
    <n v="1917.7"/>
    <x v="188"/>
    <n v="140.30000000000001"/>
    <n v="136.97857142857143"/>
  </r>
  <r>
    <x v="0"/>
    <x v="5"/>
    <x v="5"/>
    <s v="Jun-18"/>
    <d v="2018-06-01T00:00:00"/>
    <x v="0"/>
    <n v="137.6"/>
    <n v="148.1"/>
    <n v="136.69999999999999"/>
    <n v="143.19999999999999"/>
    <n v="124"/>
    <n v="154.1"/>
    <x v="176"/>
    <n v="126"/>
    <n v="112.4"/>
    <n v="137.6"/>
    <n v="132.80000000000001"/>
    <n v="154.30000000000001"/>
    <n v="140"/>
    <n v="157.30000000000001"/>
    <n v="151.30000000000001"/>
    <n v="144.69999999999999"/>
    <n v="150.30000000000001"/>
    <n v="139.27096774193564"/>
    <n v="145.1"/>
    <n v="142.19999999999999"/>
    <n v="138.4"/>
    <n v="127.4"/>
    <n v="137.80000000000001"/>
    <n v="145.1"/>
    <n v="131.4"/>
    <n v="135.6"/>
    <n v="140.5"/>
    <n v="3485.8709677419361"/>
    <n v="549.90000000000009"/>
    <n v="296"/>
    <n v="281.47096774193562"/>
    <n v="1947.5999999999997"/>
    <x v="189"/>
    <n v="140.73548387096781"/>
    <n v="139.1142857142857"/>
  </r>
  <r>
    <x v="1"/>
    <x v="5"/>
    <x v="5"/>
    <s v="Jun-18"/>
    <d v="2018-06-01T00:00:00"/>
    <x v="0"/>
    <n v="135.30000000000001"/>
    <n v="149.69999999999999"/>
    <n v="133.9"/>
    <n v="140.80000000000001"/>
    <n v="116.6"/>
    <n v="152.19999999999999"/>
    <x v="177"/>
    <n v="112.3"/>
    <n v="108.4"/>
    <n v="140"/>
    <n v="126.7"/>
    <n v="149"/>
    <n v="138.4"/>
    <n v="161"/>
    <n v="138.9"/>
    <n v="128.69999999999999"/>
    <n v="137.4"/>
    <n v="142.5"/>
    <n v="126.5"/>
    <n v="133.1"/>
    <n v="132.6"/>
    <n v="120.4"/>
    <n v="128.5"/>
    <n v="141.19999999999999"/>
    <n v="128.19999999999999"/>
    <n v="129.5"/>
    <n v="136.19999999999999"/>
    <n v="3358.4"/>
    <n v="527.4"/>
    <n v="267.60000000000002"/>
    <n v="275.60000000000002"/>
    <n v="1908.3000000000002"/>
    <x v="190"/>
    <n v="137.80000000000001"/>
    <n v="136.30714285714288"/>
  </r>
  <r>
    <x v="2"/>
    <x v="5"/>
    <x v="5"/>
    <s v="Jun-18"/>
    <d v="2018-06-01T00:00:00"/>
    <x v="0"/>
    <n v="136.9"/>
    <n v="148.69999999999999"/>
    <n v="135.6"/>
    <n v="142.30000000000001"/>
    <n v="121.3"/>
    <n v="153.19999999999999"/>
    <x v="178"/>
    <n v="121.4"/>
    <n v="111.1"/>
    <n v="138.4"/>
    <n v="130.30000000000001"/>
    <n v="151.80000000000001"/>
    <n v="139.4"/>
    <n v="158.30000000000001"/>
    <n v="146.4"/>
    <n v="138.1"/>
    <n v="145.19999999999999"/>
    <n v="142.5"/>
    <n v="138.1"/>
    <n v="137.9"/>
    <n v="136.19999999999999"/>
    <n v="123.7"/>
    <n v="132.6"/>
    <n v="142.80000000000001"/>
    <n v="130.1"/>
    <n v="132.6"/>
    <n v="138.5"/>
    <n v="3433.4000000000005"/>
    <n v="538.1"/>
    <n v="284.5"/>
    <n v="280.39999999999998"/>
    <n v="1932.4"/>
    <x v="191"/>
    <n v="140.19999999999999"/>
    <n v="138.02857142857144"/>
  </r>
  <r>
    <x v="0"/>
    <x v="5"/>
    <x v="6"/>
    <s v="Jul-18"/>
    <d v="2018-07-01T00:00:00"/>
    <x v="0"/>
    <n v="138.4"/>
    <n v="149.30000000000001"/>
    <n v="139.30000000000001"/>
    <n v="143.4"/>
    <n v="124.1"/>
    <n v="153.30000000000001"/>
    <x v="179"/>
    <n v="126.4"/>
    <n v="114.3"/>
    <n v="138.19999999999999"/>
    <n v="132.80000000000001"/>
    <n v="154.80000000000001"/>
    <n v="142"/>
    <n v="156.1"/>
    <n v="151.5"/>
    <n v="145.1"/>
    <n v="150.6"/>
    <n v="139.27096774193564"/>
    <n v="146.80000000000001"/>
    <n v="143.1"/>
    <n v="139"/>
    <n v="127.5"/>
    <n v="138.4"/>
    <n v="145.80000000000001"/>
    <n v="131.4"/>
    <n v="136"/>
    <n v="141.80000000000001"/>
    <n v="3510.470967741936"/>
    <n v="551.6"/>
    <n v="296.60000000000002"/>
    <n v="282.3709677419356"/>
    <n v="1966.6000000000001"/>
    <x v="192"/>
    <n v="141.1854838709678"/>
    <n v="140.47142857142859"/>
  </r>
  <r>
    <x v="1"/>
    <x v="5"/>
    <x v="6"/>
    <s v="Jul-18"/>
    <d v="2018-07-01T00:00:00"/>
    <x v="0"/>
    <n v="135.6"/>
    <n v="148.6"/>
    <n v="139.1"/>
    <n v="141"/>
    <n v="116.7"/>
    <n v="149.69999999999999"/>
    <x v="180"/>
    <n v="112.6"/>
    <n v="111.8"/>
    <n v="140.30000000000001"/>
    <n v="126.8"/>
    <n v="149.4"/>
    <n v="140.30000000000001"/>
    <n v="161.4"/>
    <n v="139.6"/>
    <n v="128.9"/>
    <n v="137.9"/>
    <n v="143.6"/>
    <n v="128.1"/>
    <n v="133.6"/>
    <n v="133.6"/>
    <n v="120.1"/>
    <n v="129"/>
    <n v="144"/>
    <n v="128.19999999999999"/>
    <n v="130.19999999999999"/>
    <n v="137.5"/>
    <n v="3391.4000000000005"/>
    <n v="531.4"/>
    <n v="268.5"/>
    <n v="277.2"/>
    <n v="1932.5"/>
    <x v="193"/>
    <n v="138.6"/>
    <n v="138.03571428571428"/>
  </r>
  <r>
    <x v="2"/>
    <x v="5"/>
    <x v="6"/>
    <s v="Jul-18"/>
    <d v="2018-07-01T00:00:00"/>
    <x v="0"/>
    <n v="137.5"/>
    <n v="149.1"/>
    <n v="139.19999999999999"/>
    <n v="142.5"/>
    <n v="121.4"/>
    <n v="151.6"/>
    <x v="181"/>
    <n v="121.7"/>
    <n v="113.5"/>
    <n v="138.9"/>
    <n v="130.30000000000001"/>
    <n v="152.30000000000001"/>
    <n v="141.4"/>
    <n v="157.5"/>
    <n v="146.80000000000001"/>
    <n v="138.4"/>
    <n v="145.6"/>
    <n v="143.6"/>
    <n v="139.69999999999999"/>
    <n v="138.6"/>
    <n v="137"/>
    <n v="123.6"/>
    <n v="133.1"/>
    <n v="144.69999999999999"/>
    <n v="130.1"/>
    <n v="133.19999999999999"/>
    <n v="139.80000000000001"/>
    <n v="3461.6000000000008"/>
    <n v="541.09999999999991"/>
    <n v="285.20000000000005"/>
    <n v="282.2"/>
    <n v="1952.8"/>
    <x v="194"/>
    <n v="141.1"/>
    <n v="139.48571428571429"/>
  </r>
  <r>
    <x v="0"/>
    <x v="5"/>
    <x v="7"/>
    <s v="Aug-18"/>
    <d v="2018-08-01T00:00:00"/>
    <x v="0"/>
    <n v="139.19999999999999"/>
    <n v="148.80000000000001"/>
    <n v="139.1"/>
    <n v="143.5"/>
    <n v="125"/>
    <n v="154.4"/>
    <x v="182"/>
    <n v="126.8"/>
    <n v="115.4"/>
    <n v="138.6"/>
    <n v="133.80000000000001"/>
    <n v="155.19999999999999"/>
    <n v="142.69999999999999"/>
    <n v="156.4"/>
    <n v="152.1"/>
    <n v="145.80000000000001"/>
    <n v="151.30000000000001"/>
    <n v="139.27096774193564"/>
    <n v="147.69999999999999"/>
    <n v="143.80000000000001"/>
    <n v="139.4"/>
    <n v="128.30000000000001"/>
    <n v="138.6"/>
    <n v="146.9"/>
    <n v="131.30000000000001"/>
    <n v="136.6"/>
    <n v="142.5"/>
    <n v="3524.970967741936"/>
    <n v="553.4"/>
    <n v="297.89999999999998"/>
    <n v="283.07096774193565"/>
    <n v="1975.2"/>
    <x v="195"/>
    <n v="141.53548387096782"/>
    <n v="141.08571428571429"/>
  </r>
  <r>
    <x v="1"/>
    <x v="5"/>
    <x v="7"/>
    <s v="Aug-18"/>
    <d v="2018-08-01T00:00:00"/>
    <x v="0"/>
    <n v="136.5"/>
    <n v="146.4"/>
    <n v="136.6"/>
    <n v="141.19999999999999"/>
    <n v="117.4"/>
    <n v="146.30000000000001"/>
    <x v="183"/>
    <n v="113.6"/>
    <n v="113.3"/>
    <n v="141.1"/>
    <n v="127.4"/>
    <n v="150.4"/>
    <n v="140.1"/>
    <n v="162.1"/>
    <n v="140"/>
    <n v="129"/>
    <n v="138.30000000000001"/>
    <n v="144.6"/>
    <n v="129.80000000000001"/>
    <n v="134.4"/>
    <n v="134.9"/>
    <n v="120.7"/>
    <n v="129.80000000000001"/>
    <n v="145.30000000000001"/>
    <n v="128.30000000000001"/>
    <n v="131"/>
    <n v="138"/>
    <n v="3397.5"/>
    <n v="534.40000000000009"/>
    <n v="269"/>
    <n v="279"/>
    <n v="1929.6999999999998"/>
    <x v="196"/>
    <n v="139.5"/>
    <n v="137.83571428571426"/>
  </r>
  <r>
    <x v="2"/>
    <x v="5"/>
    <x v="7"/>
    <s v="Aug-18"/>
    <d v="2018-08-01T00:00:00"/>
    <x v="0"/>
    <n v="138.30000000000001"/>
    <n v="148"/>
    <n v="138.1"/>
    <n v="142.6"/>
    <n v="122.2"/>
    <n v="150.6"/>
    <x v="155"/>
    <n v="122.4"/>
    <n v="114.7"/>
    <n v="139.4"/>
    <n v="131.1"/>
    <n v="153"/>
    <n v="141.69999999999999"/>
    <n v="157.9"/>
    <n v="147.30000000000001"/>
    <n v="138.80000000000001"/>
    <n v="146.1"/>
    <n v="144.6"/>
    <n v="140.9"/>
    <n v="139.4"/>
    <n v="137.69999999999999"/>
    <n v="124.3"/>
    <n v="133.6"/>
    <n v="146"/>
    <n v="130.1"/>
    <n v="133.9"/>
    <n v="140.4"/>
    <n v="3473.2"/>
    <n v="543.6"/>
    <n v="286.10000000000002"/>
    <n v="284"/>
    <n v="1956.6000000000004"/>
    <x v="197"/>
    <n v="142"/>
    <n v="139.7571428571429"/>
  </r>
  <r>
    <x v="0"/>
    <x v="5"/>
    <x v="8"/>
    <s v="Sep-18"/>
    <d v="2018-09-01T00:00:00"/>
    <x v="0"/>
    <n v="139.4"/>
    <n v="147.19999999999999"/>
    <n v="136.6"/>
    <n v="143.69999999999999"/>
    <n v="124.6"/>
    <n v="150.1"/>
    <x v="184"/>
    <n v="125.4"/>
    <n v="114.4"/>
    <n v="138.69999999999999"/>
    <n v="133.1"/>
    <n v="155.9"/>
    <n v="141.30000000000001"/>
    <n v="157.69999999999999"/>
    <n v="152.1"/>
    <n v="146.1"/>
    <n v="151.30000000000001"/>
    <n v="139.27096774193564"/>
    <n v="149"/>
    <n v="144"/>
    <n v="140"/>
    <n v="129.9"/>
    <n v="140"/>
    <n v="147.6"/>
    <n v="132"/>
    <n v="137.4"/>
    <n v="142.1"/>
    <n v="3514.8709677419356"/>
    <n v="557"/>
    <n v="298.2"/>
    <n v="283.27096774193564"/>
    <n v="1957.5000000000002"/>
    <x v="198"/>
    <n v="141.63548387096782"/>
    <n v="139.82142857142858"/>
  </r>
  <r>
    <x v="1"/>
    <x v="5"/>
    <x v="8"/>
    <s v="Sep-18"/>
    <d v="2018-09-01T00:00:00"/>
    <x v="0"/>
    <n v="137"/>
    <n v="143.1"/>
    <n v="132.80000000000001"/>
    <n v="141.5"/>
    <n v="117.8"/>
    <n v="140"/>
    <x v="185"/>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n v="3388.0000000000005"/>
    <n v="536.6"/>
    <n v="270.10000000000002"/>
    <n v="280.20000000000005"/>
    <n v="1911.7"/>
    <x v="199"/>
    <n v="140.10000000000002"/>
    <n v="136.55000000000001"/>
  </r>
  <r>
    <x v="2"/>
    <x v="5"/>
    <x v="8"/>
    <s v="Sep-18"/>
    <d v="2018-09-01T00:00:00"/>
    <x v="0"/>
    <n v="138.6"/>
    <n v="145.80000000000001"/>
    <n v="135.1"/>
    <n v="142.9"/>
    <n v="122.1"/>
    <n v="145.4"/>
    <x v="186"/>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n v="3463.5"/>
    <n v="546.29999999999995"/>
    <n v="286.79999999999995"/>
    <n v="285"/>
    <n v="1938.7"/>
    <x v="200"/>
    <n v="142.5"/>
    <n v="138.47857142857143"/>
  </r>
  <r>
    <x v="0"/>
    <x v="5"/>
    <x v="9"/>
    <s v="Oct-18"/>
    <d v="2018-10-01T00:00:00"/>
    <x v="0"/>
    <n v="139.30000000000001"/>
    <n v="147.6"/>
    <n v="134.6"/>
    <n v="141.9"/>
    <n v="123.5"/>
    <n v="144.5"/>
    <x v="187"/>
    <n v="121.4"/>
    <n v="112.3"/>
    <n v="139.5"/>
    <n v="134.6"/>
    <n v="155.19999999999999"/>
    <n v="140.19999999999999"/>
    <n v="159.6"/>
    <n v="150.69999999999999"/>
    <n v="144.5"/>
    <n v="149.80000000000001"/>
    <n v="139.27096774193564"/>
    <n v="149.69999999999999"/>
    <n v="147.5"/>
    <n v="144.80000000000001"/>
    <n v="130.80000000000001"/>
    <n v="140.1"/>
    <n v="148"/>
    <n v="134.4"/>
    <n v="139.80000000000001"/>
    <n v="142.19999999999999"/>
    <n v="3511.3709677419347"/>
    <n v="562.30000000000007"/>
    <n v="295.2"/>
    <n v="286.77096774193564"/>
    <n v="1941.8"/>
    <x v="201"/>
    <n v="143.38548387096782"/>
    <n v="138.69999999999999"/>
  </r>
  <r>
    <x v="1"/>
    <x v="5"/>
    <x v="9"/>
    <s v="Oct-18"/>
    <d v="2018-10-01T00:00:00"/>
    <x v="0"/>
    <n v="137.6"/>
    <n v="144.9"/>
    <n v="133.5"/>
    <n v="141.5"/>
    <n v="118"/>
    <n v="139.5"/>
    <x v="188"/>
    <n v="113.2"/>
    <n v="112.8"/>
    <n v="141.1"/>
    <n v="127.6"/>
    <n v="152"/>
    <n v="139.4"/>
    <n v="164"/>
    <n v="141.5"/>
    <n v="129.80000000000001"/>
    <n v="139.69999999999999"/>
    <n v="146.30000000000001"/>
    <n v="133.4"/>
    <n v="135.1"/>
    <n v="136.19999999999999"/>
    <n v="123.3"/>
    <n v="130.69999999999999"/>
    <n v="145.5"/>
    <n v="130.4"/>
    <n v="132.5"/>
    <n v="138.9"/>
    <n v="3402.8"/>
    <n v="539.09999999999991"/>
    <n v="271.3"/>
    <n v="281.39999999999998"/>
    <n v="1918.1"/>
    <x v="202"/>
    <n v="140.69999999999999"/>
    <n v="137.00714285714284"/>
  </r>
  <r>
    <x v="2"/>
    <x v="5"/>
    <x v="9"/>
    <s v="Oct-18"/>
    <d v="2018-10-01T00:00:00"/>
    <x v="0"/>
    <n v="137.4"/>
    <n v="149.5"/>
    <n v="137.30000000000001"/>
    <n v="141.9"/>
    <n v="121.1"/>
    <n v="142.5"/>
    <x v="84"/>
    <n v="119.1"/>
    <n v="111.9"/>
    <n v="141"/>
    <n v="133.6"/>
    <n v="154.5"/>
    <n v="139.69999999999999"/>
    <n v="162.6"/>
    <n v="148"/>
    <n v="139.19999999999999"/>
    <n v="146.80000000000001"/>
    <n v="146.9"/>
    <n v="145.30000000000001"/>
    <n v="142.19999999999999"/>
    <n v="142.1"/>
    <n v="125.5"/>
    <n v="136.5"/>
    <n v="147.80000000000001"/>
    <n v="132"/>
    <n v="136.30000000000001"/>
    <n v="140.80000000000001"/>
    <n v="3480.5999999999995"/>
    <n v="552.6"/>
    <n v="287.2"/>
    <n v="289.10000000000002"/>
    <n v="1938.8"/>
    <x v="203"/>
    <n v="144.55000000000001"/>
    <n v="138.48571428571429"/>
  </r>
  <r>
    <x v="0"/>
    <x v="5"/>
    <x v="11"/>
    <s v="Nov-18"/>
    <d v="2018-11-01T00:00:00"/>
    <x v="0"/>
    <n v="137.1"/>
    <n v="150.80000000000001"/>
    <n v="136.69999999999999"/>
    <n v="141.9"/>
    <n v="122.8"/>
    <n v="143.9"/>
    <x v="189"/>
    <n v="121"/>
    <n v="111.6"/>
    <n v="140.6"/>
    <n v="137.5"/>
    <n v="156.1"/>
    <n v="140"/>
    <n v="161.9"/>
    <n v="151.69999999999999"/>
    <n v="145.5"/>
    <n v="150.80000000000001"/>
    <n v="139.27096774193564"/>
    <n v="150.30000000000001"/>
    <n v="148"/>
    <n v="145.4"/>
    <n v="130.30000000000001"/>
    <n v="143.1"/>
    <n v="150.19999999999999"/>
    <n v="133.1"/>
    <n v="140.1"/>
    <n v="142.4"/>
    <n v="3526.3709677419351"/>
    <n v="566.5"/>
    <n v="297.2"/>
    <n v="287.27096774193564"/>
    <n v="1949.3999999999996"/>
    <x v="204"/>
    <n v="143.63548387096782"/>
    <n v="139.2428571428571"/>
  </r>
  <r>
    <x v="1"/>
    <x v="5"/>
    <x v="11"/>
    <s v="Nov-18"/>
    <d v="2018-11-01T00:00:00"/>
    <x v="0"/>
    <n v="138.1"/>
    <n v="146.30000000000001"/>
    <n v="137.80000000000001"/>
    <n v="141.6"/>
    <n v="118.1"/>
    <n v="141.5"/>
    <x v="190"/>
    <n v="115.3"/>
    <n v="112.5"/>
    <n v="141.4"/>
    <n v="128"/>
    <n v="152.6"/>
    <n v="139.1"/>
    <n v="164.4"/>
    <n v="142.4"/>
    <n v="130.19999999999999"/>
    <n v="140.5"/>
    <n v="146.9"/>
    <n v="136.69999999999999"/>
    <n v="135.80000000000001"/>
    <n v="136.80000000000001"/>
    <n v="121.2"/>
    <n v="131.30000000000001"/>
    <n v="146.1"/>
    <n v="130.5"/>
    <n v="132.19999999999999"/>
    <n v="139"/>
    <n v="3412"/>
    <n v="540.09999999999991"/>
    <n v="272.60000000000002"/>
    <n v="282.70000000000005"/>
    <n v="1921.8999999999999"/>
    <x v="205"/>
    <n v="141.35000000000002"/>
    <n v="137.27857142857141"/>
  </r>
  <r>
    <x v="2"/>
    <x v="5"/>
    <x v="11"/>
    <s v="Nov-18"/>
    <d v="2018-11-01T00:00:00"/>
    <x v="0"/>
    <n v="137.4"/>
    <n v="149.19999999999999"/>
    <n v="137.1"/>
    <n v="141.80000000000001"/>
    <n v="121.1"/>
    <n v="142.80000000000001"/>
    <x v="84"/>
    <n v="119.1"/>
    <n v="111.9"/>
    <n v="140.9"/>
    <n v="133.5"/>
    <n v="154.5"/>
    <n v="139.69999999999999"/>
    <n v="162.6"/>
    <n v="148"/>
    <n v="139.1"/>
    <n v="146.69999999999999"/>
    <n v="146.9"/>
    <n v="145.1"/>
    <n v="142.19999999999999"/>
    <n v="142.1"/>
    <n v="125.5"/>
    <n v="136.5"/>
    <n v="147.80000000000001"/>
    <n v="132"/>
    <n v="136.30000000000001"/>
    <n v="140.80000000000001"/>
    <n v="3479.7999999999993"/>
    <n v="552.6"/>
    <n v="287.10000000000002"/>
    <n v="289.10000000000002"/>
    <n v="1938.3000000000002"/>
    <x v="203"/>
    <n v="144.55000000000001"/>
    <n v="138.45000000000002"/>
  </r>
  <r>
    <x v="0"/>
    <x v="5"/>
    <x v="12"/>
    <s v="Dec-18"/>
    <d v="2018-12-01T00:00:00"/>
    <x v="0"/>
    <n v="137.1"/>
    <n v="151.9"/>
    <n v="137.4"/>
    <n v="142.4"/>
    <n v="124.2"/>
    <n v="140.19999999999999"/>
    <x v="191"/>
    <n v="120.9"/>
    <n v="109.9"/>
    <n v="140.19999999999999"/>
    <n v="137.80000000000001"/>
    <n v="156"/>
    <n v="138.5"/>
    <n v="162.4"/>
    <n v="151.6"/>
    <n v="145.9"/>
    <n v="150.80000000000001"/>
    <n v="139.27096774193564"/>
    <n v="149"/>
    <n v="149.5"/>
    <n v="149.6"/>
    <n v="128.9"/>
    <n v="143.30000000000001"/>
    <n v="155.1"/>
    <n v="133.19999999999999"/>
    <n v="141.6"/>
    <n v="141.9"/>
    <n v="3522.470967741936"/>
    <n v="573.20000000000005"/>
    <n v="297.5"/>
    <n v="288.77096774193564"/>
    <n v="1935.5000000000002"/>
    <x v="206"/>
    <n v="144.38548387096782"/>
    <n v="138.25000000000003"/>
  </r>
  <r>
    <x v="1"/>
    <x v="5"/>
    <x v="12"/>
    <s v="Dec-18"/>
    <d v="2018-12-01T00:00:00"/>
    <x v="0"/>
    <n v="138.5"/>
    <n v="147.80000000000001"/>
    <n v="141.1"/>
    <n v="141.6"/>
    <n v="118.1"/>
    <n v="138.5"/>
    <x v="192"/>
    <n v="117.5"/>
    <n v="111"/>
    <n v="141.5"/>
    <n v="128.1"/>
    <n v="152.9"/>
    <n v="137.6"/>
    <n v="164.6"/>
    <n v="142.69999999999999"/>
    <n v="130.30000000000001"/>
    <n v="140.80000000000001"/>
    <n v="146.5"/>
    <n v="132.4"/>
    <n v="136.19999999999999"/>
    <n v="137.30000000000001"/>
    <n v="118.8"/>
    <n v="131.69999999999999"/>
    <n v="146.5"/>
    <n v="130.80000000000001"/>
    <n v="131.69999999999999"/>
    <n v="138"/>
    <n v="3396.0999999999995"/>
    <n v="540.70000000000005"/>
    <n v="273"/>
    <n v="282.7"/>
    <n v="1911.1999999999998"/>
    <x v="207"/>
    <n v="141.35"/>
    <n v="136.51428571428571"/>
  </r>
  <r>
    <x v="2"/>
    <x v="5"/>
    <x v="12"/>
    <s v="Dec-18"/>
    <d v="2018-12-01T00:00:00"/>
    <x v="0"/>
    <n v="137.5"/>
    <n v="150.5"/>
    <n v="138.80000000000001"/>
    <n v="142.1"/>
    <n v="122"/>
    <n v="139.4"/>
    <x v="83"/>
    <n v="119.8"/>
    <n v="110.3"/>
    <n v="140.6"/>
    <n v="133.80000000000001"/>
    <n v="154.6"/>
    <n v="138.19999999999999"/>
    <n v="163"/>
    <n v="148.1"/>
    <n v="139.4"/>
    <n v="146.80000000000001"/>
    <n v="146.5"/>
    <n v="142.69999999999999"/>
    <n v="143.19999999999999"/>
    <n v="144.9"/>
    <n v="123.6"/>
    <n v="136.80000000000001"/>
    <n v="150.1"/>
    <n v="132.19999999999999"/>
    <n v="136.80000000000001"/>
    <n v="140.1"/>
    <n v="3470.1"/>
    <n v="555.90000000000009"/>
    <n v="287.5"/>
    <n v="289.7"/>
    <n v="1925.7999999999997"/>
    <x v="208"/>
    <n v="144.85"/>
    <n v="137.55714285714285"/>
  </r>
  <r>
    <x v="0"/>
    <x v="6"/>
    <x v="0"/>
    <s v="Jan-19"/>
    <d v="2019-01-01T00:00:00"/>
    <x v="0"/>
    <n v="136.6"/>
    <n v="152.5"/>
    <n v="138.19999999999999"/>
    <n v="142.4"/>
    <n v="123.9"/>
    <n v="135.5"/>
    <x v="193"/>
    <n v="121.3"/>
    <n v="108.4"/>
    <n v="138.9"/>
    <n v="137"/>
    <n v="155.80000000000001"/>
    <n v="137.4"/>
    <n v="162.69999999999999"/>
    <n v="150.6"/>
    <n v="145.1"/>
    <n v="149.9"/>
    <n v="139.27096774193564"/>
    <n v="146.19999999999999"/>
    <n v="150.1"/>
    <n v="149.6"/>
    <n v="128.6"/>
    <n v="142.9"/>
    <n v="155.19999999999999"/>
    <n v="133.5"/>
    <n v="141.69999999999999"/>
    <n v="141"/>
    <n v="3505.0709677419359"/>
    <n v="573.29999999999995"/>
    <n v="295.7"/>
    <n v="289.3709677419356"/>
    <n v="1922.3000000000002"/>
    <x v="209"/>
    <n v="144.6854838709678"/>
    <n v="137.30714285714288"/>
  </r>
  <r>
    <x v="1"/>
    <x v="6"/>
    <x v="0"/>
    <s v="Jan-19"/>
    <d v="2019-01-01T00:00:00"/>
    <x v="0"/>
    <n v="138.30000000000001"/>
    <n v="149.4"/>
    <n v="143.5"/>
    <n v="141.69999999999999"/>
    <n v="118.1"/>
    <n v="135.19999999999999"/>
    <x v="194"/>
    <n v="118.2"/>
    <n v="110.4"/>
    <n v="140.4"/>
    <n v="128.1"/>
    <n v="153.19999999999999"/>
    <n v="137.30000000000001"/>
    <n v="164.7"/>
    <n v="143"/>
    <n v="130.4"/>
    <n v="141.1"/>
    <n v="147.69999999999999"/>
    <n v="128.6"/>
    <n v="136.30000000000001"/>
    <n v="137.80000000000001"/>
    <n v="118.6"/>
    <n v="131.9"/>
    <n v="146.6"/>
    <n v="131.69999999999999"/>
    <n v="131.80000000000001"/>
    <n v="138"/>
    <n v="3393.3999999999996"/>
    <n v="542"/>
    <n v="273.39999999999998"/>
    <n v="284"/>
    <n v="1909.0000000000002"/>
    <x v="210"/>
    <n v="142"/>
    <n v="136.35714285714286"/>
  </r>
  <r>
    <x v="2"/>
    <x v="6"/>
    <x v="0"/>
    <s v="Jan-19"/>
    <d v="2019-01-01T00:00:00"/>
    <x v="0"/>
    <n v="137.1"/>
    <n v="151.4"/>
    <n v="140.19999999999999"/>
    <n v="142.1"/>
    <n v="121.8"/>
    <n v="135.4"/>
    <x v="195"/>
    <n v="120.3"/>
    <n v="109.1"/>
    <n v="139.4"/>
    <n v="133.30000000000001"/>
    <n v="154.6"/>
    <n v="137.4"/>
    <n v="163.19999999999999"/>
    <n v="147.6"/>
    <n v="139"/>
    <n v="146.4"/>
    <n v="147.69999999999999"/>
    <n v="139.5"/>
    <n v="143.6"/>
    <n v="145.1"/>
    <n v="123.3"/>
    <n v="136.69999999999999"/>
    <n v="150.19999999999999"/>
    <n v="132.80000000000001"/>
    <n v="136.9"/>
    <n v="139.6"/>
    <n v="3459"/>
    <n v="556.6"/>
    <n v="286.60000000000002"/>
    <n v="291.29999999999995"/>
    <n v="1916.6"/>
    <x v="211"/>
    <n v="145.64999999999998"/>
    <n v="136.9"/>
  </r>
  <r>
    <x v="0"/>
    <x v="6"/>
    <x v="1"/>
    <s v="Feb-19"/>
    <d v="2019-02-01T00:00:00"/>
    <x v="0"/>
    <n v="136.80000000000001"/>
    <n v="153"/>
    <n v="139.1"/>
    <n v="142.5"/>
    <n v="124.1"/>
    <n v="135.80000000000001"/>
    <x v="196"/>
    <n v="121.5"/>
    <n v="108.3"/>
    <n v="139.19999999999999"/>
    <n v="137.4"/>
    <n v="156.19999999999999"/>
    <n v="137.19999999999999"/>
    <n v="162.80000000000001"/>
    <n v="150.5"/>
    <n v="146.1"/>
    <n v="149.9"/>
    <n v="139.27096774193564"/>
    <n v="145.30000000000001"/>
    <n v="150.1"/>
    <n v="149.9"/>
    <n v="129.19999999999999"/>
    <n v="143.4"/>
    <n v="155.5"/>
    <n v="134.9"/>
    <n v="142.19999999999999"/>
    <n v="141"/>
    <n v="3508.9709677419351"/>
    <n v="576"/>
    <n v="296.60000000000002"/>
    <n v="289.3709677419356"/>
    <n v="1922.6000000000001"/>
    <x v="212"/>
    <n v="144.6854838709678"/>
    <n v="137.32857142857145"/>
  </r>
  <r>
    <x v="1"/>
    <x v="6"/>
    <x v="1"/>
    <s v="Feb-19"/>
    <d v="2019-02-01T00:00:00"/>
    <x v="0"/>
    <n v="139.4"/>
    <n v="150.1"/>
    <n v="145.30000000000001"/>
    <n v="141.69999999999999"/>
    <n v="118.4"/>
    <n v="137"/>
    <x v="197"/>
    <n v="119.9"/>
    <n v="110.4"/>
    <n v="140.80000000000001"/>
    <n v="128.30000000000001"/>
    <n v="153.5"/>
    <n v="138"/>
    <n v="164.9"/>
    <n v="143.30000000000001"/>
    <n v="130.80000000000001"/>
    <n v="141.4"/>
    <n v="148.5"/>
    <n v="127.1"/>
    <n v="136.6"/>
    <n v="138.5"/>
    <n v="119.2"/>
    <n v="132.19999999999999"/>
    <n v="146.6"/>
    <n v="133"/>
    <n v="132.4"/>
    <n v="138.6"/>
    <n v="3407.5000000000014"/>
    <n v="544.20000000000005"/>
    <n v="274.10000000000002"/>
    <n v="285.10000000000002"/>
    <n v="1919.3000000000002"/>
    <x v="213"/>
    <n v="142.55000000000001"/>
    <n v="137.09285714285716"/>
  </r>
  <r>
    <x v="2"/>
    <x v="6"/>
    <x v="1"/>
    <s v="Feb-19"/>
    <d v="2019-02-01T00:00:00"/>
    <x v="0"/>
    <n v="137.6"/>
    <n v="152"/>
    <n v="141.5"/>
    <n v="142.19999999999999"/>
    <n v="122"/>
    <n v="136.4"/>
    <x v="198"/>
    <n v="121"/>
    <n v="109"/>
    <n v="139.69999999999999"/>
    <n v="133.6"/>
    <n v="154.9"/>
    <n v="137.5"/>
    <n v="163.4"/>
    <n v="147.69999999999999"/>
    <n v="139.69999999999999"/>
    <n v="146.5"/>
    <n v="148.5"/>
    <n v="138.4"/>
    <n v="143.69999999999999"/>
    <n v="145.6"/>
    <n v="123.9"/>
    <n v="137.1"/>
    <n v="150.30000000000001"/>
    <n v="134.1"/>
    <n v="137.4"/>
    <n v="139.9"/>
    <n v="3466.8999999999992"/>
    <n v="558.9"/>
    <n v="287.39999999999998"/>
    <n v="292.2"/>
    <n v="1920.5"/>
    <x v="214"/>
    <n v="146.1"/>
    <n v="137.17857142857142"/>
  </r>
  <r>
    <x v="0"/>
    <x v="6"/>
    <x v="2"/>
    <s v="Mar-19"/>
    <d v="2019-03-01T00:00:00"/>
    <x v="0"/>
    <n v="136.9"/>
    <n v="154.1"/>
    <n v="138.69999999999999"/>
    <n v="142.5"/>
    <n v="124.1"/>
    <n v="136.1"/>
    <x v="72"/>
    <n v="122.3"/>
    <n v="108.3"/>
    <n v="138.9"/>
    <n v="137.4"/>
    <n v="156.4"/>
    <n v="137.30000000000001"/>
    <n v="162.9"/>
    <n v="150.80000000000001"/>
    <n v="146.1"/>
    <n v="150.1"/>
    <n v="139.27096774193564"/>
    <n v="146.4"/>
    <n v="150"/>
    <n v="150.4"/>
    <n v="129.9"/>
    <n v="143.80000000000001"/>
    <n v="155.5"/>
    <n v="134"/>
    <n v="142.4"/>
    <n v="141.19999999999999"/>
    <n v="3512.6709677419367"/>
    <n v="575.70000000000005"/>
    <n v="296.89999999999998"/>
    <n v="289.27096774193564"/>
    <n v="1924.1000000000004"/>
    <x v="215"/>
    <n v="144.63548387096782"/>
    <n v="137.43571428571431"/>
  </r>
  <r>
    <x v="1"/>
    <x v="6"/>
    <x v="2"/>
    <s v="Mar-19"/>
    <d v="2019-03-01T00:00:00"/>
    <x v="0"/>
    <n v="139.69999999999999"/>
    <n v="151.1"/>
    <n v="142.9"/>
    <n v="141.9"/>
    <n v="118.4"/>
    <n v="139.4"/>
    <x v="199"/>
    <n v="120.7"/>
    <n v="110.4"/>
    <n v="140.69999999999999"/>
    <n v="128.5"/>
    <n v="153.9"/>
    <n v="139.6"/>
    <n v="165.3"/>
    <n v="143.5"/>
    <n v="131.19999999999999"/>
    <n v="141.6"/>
    <n v="149"/>
    <n v="128.80000000000001"/>
    <n v="136.80000000000001"/>
    <n v="139.19999999999999"/>
    <n v="119.9"/>
    <n v="133"/>
    <n v="146.69999999999999"/>
    <n v="132.5"/>
    <n v="132.80000000000001"/>
    <n v="139.5"/>
    <n v="3427.0999999999995"/>
    <n v="545"/>
    <n v="274.7"/>
    <n v="285.8"/>
    <n v="1933.7"/>
    <x v="216"/>
    <n v="142.9"/>
    <n v="138.12142857142857"/>
  </r>
  <r>
    <x v="2"/>
    <x v="6"/>
    <x v="2"/>
    <s v="Mar-19"/>
    <d v="2019-03-01T00:00:00"/>
    <x v="0"/>
    <n v="137.80000000000001"/>
    <n v="153"/>
    <n v="140.30000000000001"/>
    <n v="142.30000000000001"/>
    <n v="122"/>
    <n v="137.6"/>
    <x v="174"/>
    <n v="121.8"/>
    <n v="109"/>
    <n v="139.5"/>
    <n v="133.69999999999999"/>
    <n v="155.19999999999999"/>
    <n v="138.1"/>
    <n v="163.5"/>
    <n v="147.9"/>
    <n v="139.9"/>
    <n v="146.69999999999999"/>
    <n v="149"/>
    <n v="139.69999999999999"/>
    <n v="143.80000000000001"/>
    <n v="146.19999999999999"/>
    <n v="124.6"/>
    <n v="137.69999999999999"/>
    <n v="150.30000000000001"/>
    <n v="133.4"/>
    <n v="137.69999999999999"/>
    <n v="140.4"/>
    <n v="3476.6"/>
    <n v="559.1"/>
    <n v="287.8"/>
    <n v="292.8"/>
    <n v="1926.4"/>
    <x v="217"/>
    <n v="146.4"/>
    <n v="137.6"/>
  </r>
  <r>
    <x v="0"/>
    <x v="6"/>
    <x v="4"/>
    <s v="May-19"/>
    <d v="2019-05-01T00:00:00"/>
    <x v="0"/>
    <n v="137.4"/>
    <n v="159.5"/>
    <n v="134.5"/>
    <n v="142.6"/>
    <n v="124"/>
    <n v="143.69999999999999"/>
    <x v="200"/>
    <n v="125.1"/>
    <n v="109.3"/>
    <n v="139.30000000000001"/>
    <n v="137.69999999999999"/>
    <n v="156.4"/>
    <n v="139.19999999999999"/>
    <n v="163.30000000000001"/>
    <n v="151.30000000000001"/>
    <n v="146.6"/>
    <n v="150.69999999999999"/>
    <n v="139.27096774193564"/>
    <n v="146.9"/>
    <n v="149.5"/>
    <n v="151.30000000000001"/>
    <n v="130.19999999999999"/>
    <n v="145.9"/>
    <n v="156.69999999999999"/>
    <n v="133.9"/>
    <n v="142.9"/>
    <n v="142.4"/>
    <n v="3539.8709677419361"/>
    <n v="579.4"/>
    <n v="297.89999999999998"/>
    <n v="288.77096774193564"/>
    <n v="1945.4"/>
    <x v="218"/>
    <n v="144.38548387096782"/>
    <n v="138.95714285714286"/>
  </r>
  <r>
    <x v="1"/>
    <x v="6"/>
    <x v="4"/>
    <s v="May-19"/>
    <d v="2019-05-01T00:00:00"/>
    <x v="0"/>
    <n v="140.4"/>
    <n v="156.69999999999999"/>
    <n v="138.30000000000001"/>
    <n v="142.4"/>
    <n v="118.6"/>
    <n v="149.69999999999999"/>
    <x v="201"/>
    <n v="124.4"/>
    <n v="111.2"/>
    <n v="141"/>
    <n v="128.9"/>
    <n v="154.5"/>
    <n v="143.80000000000001"/>
    <n v="166.2"/>
    <n v="144"/>
    <n v="131.69999999999999"/>
    <n v="142.19999999999999"/>
    <n v="150.1"/>
    <n v="129.4"/>
    <n v="137.19999999999999"/>
    <n v="139.80000000000001"/>
    <n v="120.1"/>
    <n v="134"/>
    <n v="148"/>
    <n v="132.6"/>
    <n v="133.30000000000001"/>
    <n v="141.5"/>
    <n v="3477.8999999999996"/>
    <n v="547.9"/>
    <n v="275.7"/>
    <n v="287.29999999999995"/>
    <n v="1977.7000000000003"/>
    <x v="219"/>
    <n v="143.64999999999998"/>
    <n v="141.26428571428573"/>
  </r>
  <r>
    <x v="2"/>
    <x v="6"/>
    <x v="4"/>
    <s v="May-19"/>
    <d v="2019-05-01T00:00:00"/>
    <x v="0"/>
    <n v="138.30000000000001"/>
    <n v="158.5"/>
    <n v="136"/>
    <n v="142.5"/>
    <n v="122"/>
    <n v="146.5"/>
    <x v="202"/>
    <n v="124.9"/>
    <n v="109.9"/>
    <n v="139.9"/>
    <n v="134"/>
    <n v="155.5"/>
    <n v="140.9"/>
    <n v="164.1"/>
    <n v="148.4"/>
    <n v="140.4"/>
    <n v="147.30000000000001"/>
    <n v="150.1"/>
    <n v="140.30000000000001"/>
    <n v="143.69999999999999"/>
    <n v="146.9"/>
    <n v="124.9"/>
    <n v="139.19999999999999"/>
    <n v="151.6"/>
    <n v="133.4"/>
    <n v="138.19999999999999"/>
    <n v="142"/>
    <n v="3513.1000000000004"/>
    <n v="562.40000000000009"/>
    <n v="288.8"/>
    <n v="293.79999999999995"/>
    <n v="1956.0000000000002"/>
    <x v="220"/>
    <n v="146.89999999999998"/>
    <n v="139.71428571428572"/>
  </r>
  <r>
    <x v="0"/>
    <x v="6"/>
    <x v="5"/>
    <s v="Jun-19"/>
    <d v="2019-06-01T00:00:00"/>
    <x v="0"/>
    <n v="137.80000000000001"/>
    <n v="163.5"/>
    <n v="136.19999999999999"/>
    <n v="143.19999999999999"/>
    <n v="124.3"/>
    <n v="143.30000000000001"/>
    <x v="203"/>
    <n v="128.69999999999999"/>
    <n v="110.6"/>
    <n v="140.4"/>
    <n v="138"/>
    <n v="156.6"/>
    <n v="141"/>
    <n v="164.2"/>
    <n v="151.4"/>
    <n v="146.5"/>
    <n v="150.69999999999999"/>
    <n v="139.27096774193564"/>
    <n v="147.80000000000001"/>
    <n v="149.6"/>
    <n v="151.69999999999999"/>
    <n v="130.19999999999999"/>
    <n v="146.4"/>
    <n v="157.69999999999999"/>
    <n v="134.80000000000001"/>
    <n v="143.30000000000001"/>
    <n v="143.6"/>
    <n v="3567.070967741935"/>
    <n v="582.20000000000005"/>
    <n v="297.89999999999998"/>
    <n v="288.8709677419356"/>
    <n v="1968.3999999999999"/>
    <x v="221"/>
    <n v="144.4354838709678"/>
    <n v="140.6"/>
  </r>
  <r>
    <x v="1"/>
    <x v="6"/>
    <x v="5"/>
    <s v="Jun-19"/>
    <d v="2019-06-01T00:00:00"/>
    <x v="0"/>
    <n v="140.69999999999999"/>
    <n v="159.6"/>
    <n v="140.4"/>
    <n v="143.4"/>
    <n v="118.6"/>
    <n v="150.9"/>
    <x v="204"/>
    <n v="127.4"/>
    <n v="111.8"/>
    <n v="141"/>
    <n v="129"/>
    <n v="155.1"/>
    <n v="145.6"/>
    <n v="166.7"/>
    <n v="144.30000000000001"/>
    <n v="131.69999999999999"/>
    <n v="142.4"/>
    <n v="149.4"/>
    <n v="130.5"/>
    <n v="137.4"/>
    <n v="140.30000000000001"/>
    <n v="119.6"/>
    <n v="134.30000000000001"/>
    <n v="148.9"/>
    <n v="133.69999999999999"/>
    <n v="133.6"/>
    <n v="142.1"/>
    <n v="3503.7"/>
    <n v="550.5"/>
    <n v="276"/>
    <n v="286.8"/>
    <n v="1999.9999999999998"/>
    <x v="222"/>
    <n v="143.4"/>
    <n v="142.85714285714283"/>
  </r>
  <r>
    <x v="2"/>
    <x v="6"/>
    <x v="5"/>
    <s v="Jun-19"/>
    <d v="2019-06-01T00:00:00"/>
    <x v="0"/>
    <n v="138.69999999999999"/>
    <n v="162.1"/>
    <n v="137.80000000000001"/>
    <n v="143.30000000000001"/>
    <n v="122.2"/>
    <n v="146.80000000000001"/>
    <x v="166"/>
    <n v="128.30000000000001"/>
    <n v="111"/>
    <n v="140.6"/>
    <n v="134.19999999999999"/>
    <n v="155.9"/>
    <n v="142.69999999999999"/>
    <n v="164.9"/>
    <n v="148.6"/>
    <n v="140.4"/>
    <n v="147.4"/>
    <n v="149.4"/>
    <n v="141.19999999999999"/>
    <n v="143.80000000000001"/>
    <n v="147.4"/>
    <n v="124.6"/>
    <n v="139.6"/>
    <n v="152.5"/>
    <n v="134.30000000000001"/>
    <n v="138.6"/>
    <n v="142.9"/>
    <n v="3539.4"/>
    <n v="565"/>
    <n v="289"/>
    <n v="293.20000000000005"/>
    <n v="1979.0000000000002"/>
    <x v="223"/>
    <n v="146.60000000000002"/>
    <n v="141.35714285714286"/>
  </r>
  <r>
    <x v="0"/>
    <x v="6"/>
    <x v="6"/>
    <s v="Jul-19"/>
    <d v="2019-07-01T00:00:00"/>
    <x v="0"/>
    <n v="138.4"/>
    <n v="164"/>
    <n v="138.4"/>
    <n v="143.9"/>
    <n v="124.4"/>
    <n v="146.4"/>
    <x v="51"/>
    <n v="130.6"/>
    <n v="110.8"/>
    <n v="141.69999999999999"/>
    <n v="138.5"/>
    <n v="156.69999999999999"/>
    <n v="143"/>
    <n v="164.5"/>
    <n v="151.6"/>
    <n v="146.6"/>
    <n v="150.9"/>
    <n v="139.27096774193564"/>
    <n v="146.80000000000001"/>
    <n v="150"/>
    <n v="152.19999999999999"/>
    <n v="131.19999999999999"/>
    <n v="147.5"/>
    <n v="159.1"/>
    <n v="136.1"/>
    <n v="144.19999999999999"/>
    <n v="144.9"/>
    <n v="3595.9709677419355"/>
    <n v="586.9"/>
    <n v="298.2"/>
    <n v="289.27096774193564"/>
    <n v="1991.3999999999999"/>
    <x v="224"/>
    <n v="144.63548387096782"/>
    <n v="142.24285714285713"/>
  </r>
  <r>
    <x v="1"/>
    <x v="6"/>
    <x v="6"/>
    <s v="Jul-19"/>
    <d v="2019-07-01T00:00:00"/>
    <x v="0"/>
    <n v="141.4"/>
    <n v="160.19999999999999"/>
    <n v="142.5"/>
    <n v="144.1"/>
    <n v="119.3"/>
    <n v="154.69999999999999"/>
    <x v="205"/>
    <n v="128.9"/>
    <n v="111.8"/>
    <n v="141.6"/>
    <n v="129.5"/>
    <n v="155.6"/>
    <n v="147.69999999999999"/>
    <n v="167.2"/>
    <n v="144.69999999999999"/>
    <n v="131.9"/>
    <n v="142.69999999999999"/>
    <n v="150.6"/>
    <n v="127"/>
    <n v="137.69999999999999"/>
    <n v="140.80000000000001"/>
    <n v="120.6"/>
    <n v="135"/>
    <n v="150.4"/>
    <n v="135.1"/>
    <n v="134.5"/>
    <n v="143.30000000000001"/>
    <n v="3532.8999999999996"/>
    <n v="555"/>
    <n v="276.60000000000002"/>
    <n v="288.29999999999995"/>
    <n v="2024.6"/>
    <x v="225"/>
    <n v="144.14999999999998"/>
    <n v="144.6142857142857"/>
  </r>
  <r>
    <x v="2"/>
    <x v="6"/>
    <x v="6"/>
    <s v="Jul-19"/>
    <d v="2019-07-01T00:00:00"/>
    <x v="0"/>
    <n v="139.30000000000001"/>
    <n v="162.69999999999999"/>
    <n v="140"/>
    <n v="144"/>
    <n v="122.5"/>
    <n v="150.30000000000001"/>
    <x v="206"/>
    <n v="130"/>
    <n v="111.1"/>
    <n v="141.69999999999999"/>
    <n v="134.69999999999999"/>
    <n v="156.19999999999999"/>
    <n v="144.69999999999999"/>
    <n v="165.2"/>
    <n v="148.9"/>
    <n v="140.5"/>
    <n v="147.6"/>
    <n v="150.6"/>
    <n v="139.30000000000001"/>
    <n v="144.19999999999999"/>
    <n v="147.9"/>
    <n v="125.6"/>
    <n v="140.5"/>
    <n v="154"/>
    <n v="135.69999999999999"/>
    <n v="139.5"/>
    <n v="144.19999999999999"/>
    <n v="3569.3999999999992"/>
    <n v="569.70000000000005"/>
    <n v="289.39999999999998"/>
    <n v="294.79999999999995"/>
    <n v="2002.7"/>
    <x v="226"/>
    <n v="147.39999999999998"/>
    <n v="143.05000000000001"/>
  </r>
  <r>
    <x v="0"/>
    <x v="6"/>
    <x v="7"/>
    <s v="Aug-19"/>
    <d v="2019-08-01T00:00:00"/>
    <x v="0"/>
    <n v="139.19999999999999"/>
    <n v="161.9"/>
    <n v="137.1"/>
    <n v="144.6"/>
    <n v="124.7"/>
    <n v="145.5"/>
    <x v="207"/>
    <n v="131.5"/>
    <n v="111.7"/>
    <n v="142.69999999999999"/>
    <n v="138.5"/>
    <n v="156.9"/>
    <n v="144"/>
    <n v="165.1"/>
    <n v="151.80000000000001"/>
    <n v="146.6"/>
    <n v="151.1"/>
    <n v="139.27096774193564"/>
    <n v="146.4"/>
    <n v="150.19999999999999"/>
    <n v="152.69999999999999"/>
    <n v="131.4"/>
    <n v="148"/>
    <n v="159.69999999999999"/>
    <n v="138.80000000000001"/>
    <n v="144.9"/>
    <n v="145.69999999999999"/>
    <n v="3609.3709677419351"/>
    <n v="591.40000000000009"/>
    <n v="298.39999999999998"/>
    <n v="289.47096774193562"/>
    <n v="1999.6000000000001"/>
    <x v="227"/>
    <n v="144.73548387096781"/>
    <n v="142.82857142857145"/>
  </r>
  <r>
    <x v="1"/>
    <x v="6"/>
    <x v="7"/>
    <s v="Aug-19"/>
    <d v="2019-08-01T00:00:00"/>
    <x v="0"/>
    <n v="142.1"/>
    <n v="158.30000000000001"/>
    <n v="140.80000000000001"/>
    <n v="144.9"/>
    <n v="119.9"/>
    <n v="153.9"/>
    <x v="208"/>
    <n v="129.80000000000001"/>
    <n v="112.7"/>
    <n v="142.5"/>
    <n v="129.80000000000001"/>
    <n v="156.19999999999999"/>
    <n v="149.1"/>
    <n v="167.9"/>
    <n v="145"/>
    <n v="132.19999999999999"/>
    <n v="143"/>
    <n v="151.6"/>
    <n v="125.5"/>
    <n v="138.1"/>
    <n v="141.5"/>
    <n v="120.8"/>
    <n v="135.4"/>
    <n v="151.5"/>
    <n v="137.80000000000001"/>
    <n v="135.30000000000001"/>
    <n v="144.19999999999999"/>
    <n v="3551.7"/>
    <n v="560"/>
    <n v="277.2"/>
    <n v="289.7"/>
    <n v="2037"/>
    <x v="228"/>
    <n v="144.85"/>
    <n v="145.5"/>
  </r>
  <r>
    <x v="2"/>
    <x v="6"/>
    <x v="7"/>
    <s v="Aug-19"/>
    <d v="2019-08-01T00:00:00"/>
    <x v="0"/>
    <n v="140.1"/>
    <n v="160.6"/>
    <n v="138.5"/>
    <n v="144.69999999999999"/>
    <n v="122.9"/>
    <n v="149.4"/>
    <x v="209"/>
    <n v="130.9"/>
    <n v="112"/>
    <n v="142.6"/>
    <n v="134.9"/>
    <n v="156.6"/>
    <n v="145.9"/>
    <n v="165.8"/>
    <n v="149.1"/>
    <n v="140.6"/>
    <n v="147.9"/>
    <n v="151.6"/>
    <n v="138.5"/>
    <n v="144.5"/>
    <n v="148.5"/>
    <n v="125.8"/>
    <n v="140.9"/>
    <n v="154.9"/>
    <n v="138.4"/>
    <n v="140.19999999999999"/>
    <n v="145"/>
    <n v="3585.3"/>
    <n v="574.4"/>
    <n v="289.7"/>
    <n v="296.10000000000002"/>
    <n v="2012.3"/>
    <x v="229"/>
    <n v="148.05000000000001"/>
    <n v="143.73571428571429"/>
  </r>
  <r>
    <x v="0"/>
    <x v="6"/>
    <x v="8"/>
    <s v="Sep-19"/>
    <d v="2019-09-01T00:00:00"/>
    <x v="0"/>
    <n v="140.1"/>
    <n v="161.9"/>
    <n v="138.30000000000001"/>
    <n v="145.69999999999999"/>
    <n v="125.1"/>
    <n v="143.80000000000001"/>
    <x v="210"/>
    <n v="132.19999999999999"/>
    <n v="112.8"/>
    <n v="144.19999999999999"/>
    <n v="138.5"/>
    <n v="157.19999999999999"/>
    <n v="145.5"/>
    <n v="165.7"/>
    <n v="151.69999999999999"/>
    <n v="146.6"/>
    <n v="151"/>
    <n v="139.27096774193564"/>
    <n v="146.9"/>
    <n v="150.30000000000001"/>
    <n v="153.4"/>
    <n v="131.6"/>
    <n v="148.30000000000001"/>
    <n v="160.19999999999999"/>
    <n v="140.19999999999999"/>
    <n v="145.4"/>
    <n v="146.69999999999999"/>
    <n v="3628.2709677419352"/>
    <n v="594.1"/>
    <n v="298.29999999999995"/>
    <n v="289.57096774193565"/>
    <n v="2014.4"/>
    <x v="230"/>
    <n v="144.78548387096782"/>
    <n v="143.8857142857143"/>
  </r>
  <r>
    <x v="1"/>
    <x v="6"/>
    <x v="8"/>
    <s v="Sep-19"/>
    <d v="2019-09-01T00:00:00"/>
    <x v="0"/>
    <n v="142.69999999999999"/>
    <n v="158.69999999999999"/>
    <n v="141.6"/>
    <n v="144.9"/>
    <n v="120.8"/>
    <n v="149.80000000000001"/>
    <x v="211"/>
    <n v="130.30000000000001"/>
    <n v="114"/>
    <n v="143.80000000000001"/>
    <n v="130"/>
    <n v="156.4"/>
    <n v="149.5"/>
    <n v="168.6"/>
    <n v="145.30000000000001"/>
    <n v="132.19999999999999"/>
    <n v="143.30000000000001"/>
    <n v="152.19999999999999"/>
    <n v="126.6"/>
    <n v="138.30000000000001"/>
    <n v="141.9"/>
    <n v="121.2"/>
    <n v="135.9"/>
    <n v="151.6"/>
    <n v="139"/>
    <n v="135.69999999999999"/>
    <n v="144.69999999999999"/>
    <n v="3563.4000000000005"/>
    <n v="562.19999999999993"/>
    <n v="277.5"/>
    <n v="290.5"/>
    <n v="2043.5"/>
    <x v="231"/>
    <n v="145.25"/>
    <n v="145.96428571428572"/>
  </r>
  <r>
    <x v="2"/>
    <x v="6"/>
    <x v="8"/>
    <s v="Sep-19"/>
    <d v="2019-09-01T00:00:00"/>
    <x v="0"/>
    <n v="140.9"/>
    <n v="160.80000000000001"/>
    <n v="139.6"/>
    <n v="145.4"/>
    <n v="123.5"/>
    <n v="146.6"/>
    <x v="157"/>
    <n v="131.6"/>
    <n v="113.2"/>
    <n v="144.1"/>
    <n v="135"/>
    <n v="156.80000000000001"/>
    <n v="147"/>
    <n v="166.5"/>
    <n v="149.19999999999999"/>
    <n v="140.6"/>
    <n v="147.9"/>
    <n v="152.19999999999999"/>
    <n v="139.19999999999999"/>
    <n v="144.6"/>
    <n v="149"/>
    <n v="126.1"/>
    <n v="141.30000000000001"/>
    <n v="155.19999999999999"/>
    <n v="139.69999999999999"/>
    <n v="140.69999999999999"/>
    <n v="145.80000000000001"/>
    <n v="3601.9999999999995"/>
    <n v="576.9"/>
    <n v="289.79999999999995"/>
    <n v="296.79999999999995"/>
    <n v="2024.1999999999998"/>
    <x v="232"/>
    <n v="148.39999999999998"/>
    <n v="144.58571428571426"/>
  </r>
  <r>
    <x v="0"/>
    <x v="6"/>
    <x v="9"/>
    <s v="Oct-19"/>
    <d v="2019-10-01T00:00:00"/>
    <x v="0"/>
    <n v="141"/>
    <n v="161.6"/>
    <n v="141.19999999999999"/>
    <n v="146.5"/>
    <n v="125.6"/>
    <n v="145.69999999999999"/>
    <x v="212"/>
    <n v="133.1"/>
    <n v="113.6"/>
    <n v="145.5"/>
    <n v="138.6"/>
    <n v="157.4"/>
    <n v="148.30000000000001"/>
    <n v="166.3"/>
    <n v="151.69999999999999"/>
    <n v="146.69999999999999"/>
    <n v="151"/>
    <n v="139.27096774193564"/>
    <n v="147.69999999999999"/>
    <n v="150.6"/>
    <n v="153.69999999999999"/>
    <n v="131.69999999999999"/>
    <n v="148.69999999999999"/>
    <n v="160.69999999999999"/>
    <n v="140.30000000000001"/>
    <n v="145.69999999999999"/>
    <n v="148.30000000000001"/>
    <n v="3659.9709677419355"/>
    <n v="595.4"/>
    <n v="298.39999999999998"/>
    <n v="289.8709677419356"/>
    <n v="2043.1999999999996"/>
    <x v="233"/>
    <n v="144.9354838709678"/>
    <n v="145.94285714285712"/>
  </r>
  <r>
    <x v="1"/>
    <x v="6"/>
    <x v="9"/>
    <s v="Oct-19"/>
    <d v="2019-10-01T00:00:00"/>
    <x v="0"/>
    <n v="143.5"/>
    <n v="159.80000000000001"/>
    <n v="144.69999999999999"/>
    <n v="145.6"/>
    <n v="121.1"/>
    <n v="150.6"/>
    <x v="213"/>
    <n v="131.19999999999999"/>
    <n v="114.8"/>
    <n v="145.19999999999999"/>
    <n v="130.19999999999999"/>
    <n v="156.80000000000001"/>
    <n v="151.9"/>
    <n v="169.3"/>
    <n v="145.9"/>
    <n v="132.4"/>
    <n v="143.9"/>
    <n v="153"/>
    <n v="128.9"/>
    <n v="138.69999999999999"/>
    <n v="142.4"/>
    <n v="121.5"/>
    <n v="136.19999999999999"/>
    <n v="151.69999999999999"/>
    <n v="139.5"/>
    <n v="136"/>
    <n v="146"/>
    <n v="3598.1"/>
    <n v="563.4"/>
    <n v="278.3"/>
    <n v="291.7"/>
    <n v="2071.9"/>
    <x v="234"/>
    <n v="145.85"/>
    <n v="147.99285714285716"/>
  </r>
  <r>
    <x v="2"/>
    <x v="6"/>
    <x v="9"/>
    <s v="Oct-19"/>
    <d v="2019-10-01T00:00:00"/>
    <x v="0"/>
    <n v="141.80000000000001"/>
    <n v="161"/>
    <n v="142.6"/>
    <n v="146.19999999999999"/>
    <n v="123.9"/>
    <n v="148"/>
    <x v="214"/>
    <n v="132.5"/>
    <n v="114"/>
    <n v="145.4"/>
    <n v="135.1"/>
    <n v="157.1"/>
    <n v="149.6"/>
    <n v="167.1"/>
    <n v="149.4"/>
    <n v="140.80000000000001"/>
    <n v="148.19999999999999"/>
    <n v="153"/>
    <n v="140.6"/>
    <n v="145"/>
    <n v="149.4"/>
    <n v="126.3"/>
    <n v="141.69999999999999"/>
    <n v="155.4"/>
    <n v="140"/>
    <n v="141"/>
    <n v="147.19999999999999"/>
    <n v="3635.3"/>
    <n v="578.09999999999991"/>
    <n v="290.20000000000005"/>
    <n v="298"/>
    <n v="2052.6999999999998"/>
    <x v="235"/>
    <n v="149"/>
    <n v="146.62142857142857"/>
  </r>
  <r>
    <x v="0"/>
    <x v="6"/>
    <x v="11"/>
    <s v="Nov-19"/>
    <d v="2019-11-01T00:00:00"/>
    <x v="0"/>
    <n v="141.80000000000001"/>
    <n v="163.69999999999999"/>
    <n v="143.80000000000001"/>
    <n v="147.1"/>
    <n v="126"/>
    <n v="146.19999999999999"/>
    <x v="215"/>
    <n v="136.19999999999999"/>
    <n v="113.8"/>
    <n v="147.30000000000001"/>
    <n v="138.69999999999999"/>
    <n v="157.69999999999999"/>
    <n v="150.9"/>
    <n v="167.2"/>
    <n v="152.30000000000001"/>
    <n v="147"/>
    <n v="151.5"/>
    <n v="139.27096774193564"/>
    <n v="148.4"/>
    <n v="150.9"/>
    <n v="154.30000000000001"/>
    <n v="132.1"/>
    <n v="149.1"/>
    <n v="160.80000000000001"/>
    <n v="140.6"/>
    <n v="146.1"/>
    <n v="149.9"/>
    <n v="3692.6709677419353"/>
    <n v="596.6"/>
    <n v="299.3"/>
    <n v="290.17096774193567"/>
    <n v="2071.8000000000002"/>
    <x v="236"/>
    <n v="145.08548387096783"/>
    <n v="147.98571428571429"/>
  </r>
  <r>
    <x v="1"/>
    <x v="6"/>
    <x v="11"/>
    <s v="Nov-19"/>
    <d v="2019-11-01T00:00:00"/>
    <x v="0"/>
    <n v="144.1"/>
    <n v="162.4"/>
    <n v="148.4"/>
    <n v="145.9"/>
    <n v="121.5"/>
    <n v="148.80000000000001"/>
    <x v="216"/>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n v="3626.7"/>
    <n v="564.6"/>
    <n v="278.89999999999998"/>
    <n v="292.60000000000002"/>
    <n v="2093.8999999999996"/>
    <x v="237"/>
    <n v="146.30000000000001"/>
    <n v="149.56428571428569"/>
  </r>
  <r>
    <x v="2"/>
    <x v="6"/>
    <x v="11"/>
    <s v="Nov-19"/>
    <d v="2019-11-01T00:00:00"/>
    <x v="0"/>
    <n v="142.5"/>
    <n v="163.19999999999999"/>
    <n v="145.6"/>
    <n v="146.69999999999999"/>
    <n v="124.3"/>
    <n v="147.4"/>
    <x v="217"/>
    <n v="135.69999999999999"/>
    <n v="114.2"/>
    <n v="147"/>
    <n v="135.30000000000001"/>
    <n v="157.5"/>
    <n v="151.9"/>
    <n v="167.9"/>
    <n v="149.9"/>
    <n v="141"/>
    <n v="148.6"/>
    <n v="153.5"/>
    <n v="142.30000000000001"/>
    <n v="145.30000000000001"/>
    <n v="149.9"/>
    <n v="126.6"/>
    <n v="142.1"/>
    <n v="155.5"/>
    <n v="140.30000000000001"/>
    <n v="141.30000000000001"/>
    <n v="148.6"/>
    <n v="3666.5"/>
    <n v="579.20000000000005"/>
    <n v="290.89999999999998"/>
    <n v="298.8"/>
    <n v="2078.8000000000002"/>
    <x v="238"/>
    <n v="149.4"/>
    <n v="148.48571428571429"/>
  </r>
  <r>
    <x v="0"/>
    <x v="6"/>
    <x v="12"/>
    <s v="Dec-19"/>
    <d v="2019-12-01T00:00:00"/>
    <x v="0"/>
    <n v="142.80000000000001"/>
    <n v="165.3"/>
    <n v="149.5"/>
    <n v="148.69999999999999"/>
    <n v="127.5"/>
    <n v="144.30000000000001"/>
    <x v="218"/>
    <n v="138.80000000000001"/>
    <n v="113.6"/>
    <n v="149.1"/>
    <n v="139.30000000000001"/>
    <n v="158.30000000000001"/>
    <n v="154.30000000000001"/>
    <n v="167.8"/>
    <n v="152.6"/>
    <n v="147.30000000000001"/>
    <n v="151.9"/>
    <n v="139.27096774193564"/>
    <n v="149.9"/>
    <n v="151.19999999999999"/>
    <n v="154.80000000000001"/>
    <n v="135"/>
    <n v="149.5"/>
    <n v="161.1"/>
    <n v="140.6"/>
    <n v="147.1"/>
    <n v="152.30000000000001"/>
    <n v="3737.1709677419362"/>
    <n v="598.29999999999995"/>
    <n v="299.89999999999998"/>
    <n v="290.47096774193562"/>
    <n v="2108.7999999999997"/>
    <x v="239"/>
    <n v="145.23548387096781"/>
    <n v="150.62857142857141"/>
  </r>
  <r>
    <x v="1"/>
    <x v="6"/>
    <x v="12"/>
    <s v="Dec-19"/>
    <d v="2019-12-01T00:00:00"/>
    <x v="0"/>
    <n v="144.9"/>
    <n v="164.5"/>
    <n v="153.69999999999999"/>
    <n v="147.5"/>
    <n v="122.7"/>
    <n v="147.19999999999999"/>
    <x v="219"/>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n v="3667.9000000000005"/>
    <n v="566.59999999999991"/>
    <n v="279.60000000000002"/>
    <n v="292.60000000000002"/>
    <n v="2127.1"/>
    <x v="240"/>
    <n v="146.30000000000001"/>
    <n v="151.93571428571428"/>
  </r>
  <r>
    <x v="2"/>
    <x v="6"/>
    <x v="12"/>
    <s v="Dec-19"/>
    <d v="2019-12-01T00:00:00"/>
    <x v="0"/>
    <n v="143.5"/>
    <n v="165"/>
    <n v="151.1"/>
    <n v="148.30000000000001"/>
    <n v="125.7"/>
    <n v="145.69999999999999"/>
    <x v="220"/>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n v="3709.6000000000004"/>
    <n v="580.9"/>
    <n v="291.60000000000002"/>
    <n v="298.60000000000002"/>
    <n v="2114.6000000000004"/>
    <x v="241"/>
    <n v="149.30000000000001"/>
    <n v="151.04285714285717"/>
  </r>
  <r>
    <x v="0"/>
    <x v="7"/>
    <x v="0"/>
    <s v="Jan-20"/>
    <d v="2020-01-01T00:00:00"/>
    <x v="0"/>
    <n v="143.69999999999999"/>
    <n v="167.3"/>
    <n v="153.5"/>
    <n v="150.5"/>
    <n v="132"/>
    <n v="142.19999999999999"/>
    <x v="221"/>
    <n v="141.1"/>
    <n v="113.8"/>
    <n v="151.6"/>
    <n v="139.69999999999999"/>
    <n v="158.69999999999999"/>
    <n v="153"/>
    <n v="168.6"/>
    <n v="152.80000000000001"/>
    <n v="147.4"/>
    <n v="152.1"/>
    <n v="139.27096774193564"/>
    <n v="150.4"/>
    <n v="151.69999999999999"/>
    <n v="155.69999999999999"/>
    <n v="136.30000000000001"/>
    <n v="150.1"/>
    <n v="161.69999999999999"/>
    <n v="142.5"/>
    <n v="148.1"/>
    <n v="151.9"/>
    <n v="3743.1709677419349"/>
    <n v="602.4"/>
    <n v="300.20000000000005"/>
    <n v="290.97096774193562"/>
    <n v="2107.1999999999998"/>
    <x v="242"/>
    <n v="145.48548387096781"/>
    <n v="150.51428571428571"/>
  </r>
  <r>
    <x v="1"/>
    <x v="7"/>
    <x v="0"/>
    <s v="Jan-20"/>
    <d v="2020-01-01T00:00:00"/>
    <x v="0"/>
    <n v="145.6"/>
    <n v="167.6"/>
    <n v="157"/>
    <n v="149.30000000000001"/>
    <n v="126.3"/>
    <n v="144.4"/>
    <x v="222"/>
    <n v="139.1"/>
    <n v="114.8"/>
    <n v="149.5"/>
    <n v="131.1"/>
    <n v="158.5"/>
    <n v="154.4"/>
    <n v="170.8"/>
    <n v="147"/>
    <n v="133.19999999999999"/>
    <n v="144.9"/>
    <n v="153.9"/>
    <n v="135.1"/>
    <n v="140.1"/>
    <n v="143.80000000000001"/>
    <n v="126.1"/>
    <n v="137.19999999999999"/>
    <n v="152.1"/>
    <n v="142.1"/>
    <n v="138.4"/>
    <n v="148.19999999999999"/>
    <n v="3665.2000000000003"/>
    <n v="569.79999999999995"/>
    <n v="280.2"/>
    <n v="294"/>
    <n v="2116.1999999999998"/>
    <x v="243"/>
    <n v="147"/>
    <n v="151.15714285714284"/>
  </r>
  <r>
    <x v="2"/>
    <x v="7"/>
    <x v="0"/>
    <s v="Jan-20"/>
    <d v="2020-01-01T00:00:00"/>
    <x v="0"/>
    <n v="144.30000000000001"/>
    <n v="167.4"/>
    <n v="154.9"/>
    <n v="150.1"/>
    <n v="129.9"/>
    <n v="143.19999999999999"/>
    <x v="223"/>
    <n v="140.4"/>
    <n v="114.1"/>
    <n v="150.9"/>
    <n v="136.1"/>
    <n v="158.6"/>
    <n v="153.5"/>
    <n v="169.2"/>
    <n v="150.5"/>
    <n v="141.5"/>
    <n v="149.19999999999999"/>
    <n v="153.9"/>
    <n v="144.6"/>
    <n v="146.19999999999999"/>
    <n v="151.19999999999999"/>
    <n v="130.9"/>
    <n v="142.80000000000001"/>
    <n v="156.1"/>
    <n v="142.30000000000001"/>
    <n v="143.4"/>
    <n v="150.19999999999999"/>
    <n v="3712.9999999999995"/>
    <n v="584.60000000000014"/>
    <n v="292"/>
    <n v="300.10000000000002"/>
    <n v="2109.6"/>
    <x v="244"/>
    <n v="150.05000000000001"/>
    <n v="150.68571428571428"/>
  </r>
  <r>
    <x v="0"/>
    <x v="7"/>
    <x v="1"/>
    <s v="Feb-20"/>
    <d v="2020-02-01T00:00:00"/>
    <x v="0"/>
    <n v="144.19999999999999"/>
    <n v="167.5"/>
    <n v="150.9"/>
    <n v="150.9"/>
    <n v="133.69999999999999"/>
    <n v="140.69999999999999"/>
    <x v="224"/>
    <n v="141.80000000000001"/>
    <n v="113.1"/>
    <n v="152.80000000000001"/>
    <n v="140.1"/>
    <n v="159.19999999999999"/>
    <n v="149.80000000000001"/>
    <n v="169.4"/>
    <n v="153"/>
    <n v="147.5"/>
    <n v="152.30000000000001"/>
    <n v="139.27096774193564"/>
    <n v="152.30000000000001"/>
    <n v="151.80000000000001"/>
    <n v="156.19999999999999"/>
    <n v="136"/>
    <n v="150.4"/>
    <n v="161.9"/>
    <n v="143.4"/>
    <n v="148.4"/>
    <n v="150.4"/>
    <n v="3719.3709677419361"/>
    <n v="604.1"/>
    <n v="300.5"/>
    <n v="291.07096774193565"/>
    <n v="2079.1999999999998"/>
    <x v="245"/>
    <n v="145.53548387096782"/>
    <n v="148.51428571428571"/>
  </r>
  <r>
    <x v="1"/>
    <x v="7"/>
    <x v="1"/>
    <s v="Feb-20"/>
    <d v="2020-02-01T00:00:00"/>
    <x v="0"/>
    <n v="146.19999999999999"/>
    <n v="167.6"/>
    <n v="153.1"/>
    <n v="150.69999999999999"/>
    <n v="127.4"/>
    <n v="143.1"/>
    <x v="225"/>
    <n v="139.6"/>
    <n v="114.6"/>
    <n v="150.4"/>
    <n v="131.5"/>
    <n v="159"/>
    <n v="151.69999999999999"/>
    <n v="172"/>
    <n v="147.30000000000001"/>
    <n v="133.5"/>
    <n v="145.19999999999999"/>
    <n v="154.80000000000001"/>
    <n v="138.9"/>
    <n v="140.4"/>
    <n v="144.4"/>
    <n v="125.2"/>
    <n v="137.69999999999999"/>
    <n v="152.19999999999999"/>
    <n v="143.5"/>
    <n v="138.4"/>
    <n v="147.69999999999999"/>
    <n v="3644.9"/>
    <n v="571.79999999999995"/>
    <n v="280.8"/>
    <n v="295.20000000000005"/>
    <n v="2088.6"/>
    <x v="246"/>
    <n v="147.60000000000002"/>
    <n v="149.18571428571428"/>
  </r>
  <r>
    <x v="2"/>
    <x v="7"/>
    <x v="1"/>
    <s v="Feb-20"/>
    <d v="2020-02-01T00:00:00"/>
    <x v="0"/>
    <n v="144.80000000000001"/>
    <n v="167.5"/>
    <n v="151.80000000000001"/>
    <n v="150.80000000000001"/>
    <n v="131.4"/>
    <n v="141.80000000000001"/>
    <x v="226"/>
    <n v="141.1"/>
    <n v="113.6"/>
    <n v="152"/>
    <n v="136.5"/>
    <n v="159.1"/>
    <n v="150.5"/>
    <n v="170.1"/>
    <n v="150.80000000000001"/>
    <n v="141.69999999999999"/>
    <n v="149.5"/>
    <n v="154.80000000000001"/>
    <n v="147.19999999999999"/>
    <n v="146.4"/>
    <n v="151.69999999999999"/>
    <n v="130.30000000000001"/>
    <n v="143.19999999999999"/>
    <n v="156.19999999999999"/>
    <n v="143.4"/>
    <n v="143.6"/>
    <n v="149.1"/>
    <n v="3690.9999999999995"/>
    <n v="586.4"/>
    <n v="292.5"/>
    <n v="301.20000000000005"/>
    <n v="2081.6999999999998"/>
    <x v="247"/>
    <n v="150.60000000000002"/>
    <n v="148.69285714285712"/>
  </r>
  <r>
    <x v="0"/>
    <x v="7"/>
    <x v="2"/>
    <s v="Mar-20"/>
    <d v="2020-03-01T00:00:00"/>
    <x v="0"/>
    <n v="144.4"/>
    <n v="166.8"/>
    <n v="147.6"/>
    <n v="151.69999999999999"/>
    <n v="133.30000000000001"/>
    <n v="141.80000000000001"/>
    <x v="227"/>
    <n v="141.80000000000001"/>
    <n v="112.6"/>
    <n v="154"/>
    <n v="140.1"/>
    <n v="160"/>
    <n v="148.19999999999999"/>
    <n v="170.5"/>
    <n v="153.4"/>
    <n v="147.6"/>
    <n v="152.5"/>
    <n v="139.27096774193564"/>
    <n v="153.4"/>
    <n v="151.5"/>
    <n v="156.69999999999999"/>
    <n v="135.80000000000001"/>
    <n v="151.19999999999999"/>
    <n v="161.19999999999999"/>
    <n v="145.1"/>
    <n v="148.6"/>
    <n v="149.80000000000001"/>
    <n v="3708.8709677419356"/>
    <n v="606.09999999999991"/>
    <n v="301"/>
    <n v="290.77096774193564"/>
    <n v="2065.0999999999995"/>
    <x v="248"/>
    <n v="145.38548387096782"/>
    <n v="147.50714285714281"/>
  </r>
  <r>
    <x v="1"/>
    <x v="7"/>
    <x v="2"/>
    <s v="Mar-20"/>
    <d v="2020-03-01T00:00:00"/>
    <x v="0"/>
    <n v="146.5"/>
    <n v="167.5"/>
    <n v="148.9"/>
    <n v="151.1"/>
    <n v="127.5"/>
    <n v="143.30000000000001"/>
    <x v="228"/>
    <n v="139.69999999999999"/>
    <n v="114.4"/>
    <n v="151.5"/>
    <n v="131.9"/>
    <n v="159.1"/>
    <n v="150.1"/>
    <n v="173.3"/>
    <n v="147.69999999999999"/>
    <n v="133.80000000000001"/>
    <n v="145.6"/>
    <n v="154.5"/>
    <n v="141.4"/>
    <n v="140.80000000000001"/>
    <n v="145"/>
    <n v="124.6"/>
    <n v="137.9"/>
    <n v="152.5"/>
    <n v="145.30000000000001"/>
    <n v="138.69999999999999"/>
    <n v="147.30000000000001"/>
    <n v="3634"/>
    <n v="574.4"/>
    <n v="281.5"/>
    <n v="295.3"/>
    <n v="2071.8000000000002"/>
    <x v="229"/>
    <n v="147.65"/>
    <n v="147.98571428571429"/>
  </r>
  <r>
    <x v="2"/>
    <x v="7"/>
    <x v="2"/>
    <s v="Mar-20"/>
    <d v="2020-03-01T00:00:00"/>
    <x v="0"/>
    <n v="145.1"/>
    <n v="167"/>
    <n v="148.1"/>
    <n v="151.5"/>
    <n v="131.19999999999999"/>
    <n v="142.5"/>
    <x v="183"/>
    <n v="141.1"/>
    <n v="113.2"/>
    <n v="153.19999999999999"/>
    <n v="136.69999999999999"/>
    <n v="159.6"/>
    <n v="148.9"/>
    <n v="171.2"/>
    <n v="151.19999999999999"/>
    <n v="141.9"/>
    <n v="149.80000000000001"/>
    <n v="154.5"/>
    <n v="148.9"/>
    <n v="146.4"/>
    <n v="152.30000000000001"/>
    <n v="129.9"/>
    <n v="143.69999999999999"/>
    <n v="156.1"/>
    <n v="145.19999999999999"/>
    <n v="143.80000000000001"/>
    <n v="148.6"/>
    <n v="3680.4999999999986"/>
    <n v="588.79999999999995"/>
    <n v="293.10000000000002"/>
    <n v="300.89999999999998"/>
    <n v="2066.6"/>
    <x v="249"/>
    <n v="150.44999999999999"/>
    <n v="147.6142857142857"/>
  </r>
  <r>
    <x v="0"/>
    <x v="7"/>
    <x v="3"/>
    <s v="Apr-20"/>
    <d v="2020-04-01T00:00:00"/>
    <x v="1"/>
    <n v="147.19999999999999"/>
    <m/>
    <n v="146.9"/>
    <n v="155.6"/>
    <n v="137.1"/>
    <n v="147.30000000000001"/>
    <x v="229"/>
    <n v="150.19999999999999"/>
    <n v="119.8"/>
    <n v="158.69999999999999"/>
    <n v="139.19999999999999"/>
    <m/>
    <n v="150.1"/>
    <m/>
    <m/>
    <m/>
    <m/>
    <n v="139.27096774193564"/>
    <n v="148.4"/>
    <m/>
    <n v="154.30000000000001"/>
    <m/>
    <m/>
    <m/>
    <m/>
    <m/>
    <m/>
    <n v="2056.7709677419357"/>
    <n v="0"/>
    <n v="0"/>
    <n v="139.27096774193564"/>
    <n v="1614.8000000000002"/>
    <x v="250"/>
    <n v="139.27096774193564"/>
    <n v="146.80000000000001"/>
  </r>
  <r>
    <x v="1"/>
    <x v="7"/>
    <x v="3"/>
    <s v="Apr-20"/>
    <d v="2020-04-01T00:00:00"/>
    <x v="1"/>
    <n v="151.80000000000001"/>
    <m/>
    <n v="151.9"/>
    <n v="155.5"/>
    <n v="131.6"/>
    <n v="152.9"/>
    <x v="230"/>
    <n v="150.80000000000001"/>
    <n v="121.2"/>
    <n v="154"/>
    <n v="133.5"/>
    <m/>
    <n v="153.5"/>
    <m/>
    <m/>
    <m/>
    <m/>
    <n v="155.6"/>
    <n v="137.1"/>
    <m/>
    <n v="144.80000000000001"/>
    <m/>
    <m/>
    <m/>
    <m/>
    <m/>
    <m/>
    <n v="2074.1999999999998"/>
    <n v="0"/>
    <n v="0"/>
    <n v="155.6"/>
    <n v="1636.7"/>
    <x v="250"/>
    <n v="155.6"/>
    <n v="148.79090909090908"/>
  </r>
  <r>
    <x v="2"/>
    <x v="7"/>
    <x v="3"/>
    <s v="Apr-20"/>
    <d v="2020-04-01T00:00:00"/>
    <x v="1"/>
    <n v="148.69999999999999"/>
    <m/>
    <n v="148.80000000000001"/>
    <n v="155.6"/>
    <n v="135.1"/>
    <n v="149.9"/>
    <x v="58"/>
    <n v="150.4"/>
    <n v="120.3"/>
    <n v="157.1"/>
    <n v="136.80000000000001"/>
    <m/>
    <n v="151.4"/>
    <m/>
    <m/>
    <m/>
    <m/>
    <n v="155.6"/>
    <n v="144.1"/>
    <m/>
    <n v="150.69999999999999"/>
    <m/>
    <m/>
    <m/>
    <m/>
    <m/>
    <m/>
    <n v="2073.1"/>
    <n v="0"/>
    <n v="0"/>
    <n v="155.6"/>
    <n v="1622.7"/>
    <x v="250"/>
    <n v="155.6"/>
    <n v="147.51818181818183"/>
  </r>
  <r>
    <x v="0"/>
    <x v="7"/>
    <x v="4"/>
    <s v="May-20"/>
    <d v="2020-05-01T00:00:00"/>
    <x v="1"/>
    <m/>
    <m/>
    <m/>
    <m/>
    <m/>
    <m/>
    <x v="231"/>
    <m/>
    <m/>
    <m/>
    <m/>
    <m/>
    <m/>
    <m/>
    <m/>
    <m/>
    <m/>
    <n v="139.27096774193564"/>
    <m/>
    <m/>
    <m/>
    <m/>
    <m/>
    <m/>
    <m/>
    <m/>
    <m/>
    <n v="139.27096774193564"/>
    <n v="0"/>
    <n v="0"/>
    <n v="139.27096774193564"/>
    <n v="0"/>
    <x v="250"/>
    <n v="139.27096774193564"/>
    <m/>
  </r>
  <r>
    <x v="1"/>
    <x v="7"/>
    <x v="4"/>
    <s v="May-20"/>
    <d v="2020-05-01T00:00:00"/>
    <x v="1"/>
    <m/>
    <m/>
    <m/>
    <m/>
    <m/>
    <m/>
    <x v="231"/>
    <m/>
    <m/>
    <m/>
    <m/>
    <m/>
    <m/>
    <m/>
    <m/>
    <m/>
    <m/>
    <n v="139.27096774193564"/>
    <m/>
    <m/>
    <m/>
    <m/>
    <m/>
    <m/>
    <m/>
    <m/>
    <m/>
    <n v="139.27096774193564"/>
    <n v="0"/>
    <n v="0"/>
    <n v="139.27096774193564"/>
    <n v="0"/>
    <x v="250"/>
    <n v="139.27096774193564"/>
    <m/>
  </r>
  <r>
    <x v="2"/>
    <x v="7"/>
    <x v="4"/>
    <s v="May-20"/>
    <d v="2020-05-01T00:00:00"/>
    <x v="1"/>
    <m/>
    <m/>
    <m/>
    <m/>
    <m/>
    <m/>
    <x v="231"/>
    <m/>
    <m/>
    <m/>
    <m/>
    <m/>
    <m/>
    <m/>
    <m/>
    <m/>
    <m/>
    <n v="139.27096774193564"/>
    <m/>
    <m/>
    <m/>
    <m/>
    <m/>
    <m/>
    <m/>
    <m/>
    <m/>
    <n v="139.27096774193564"/>
    <n v="0"/>
    <n v="0"/>
    <n v="139.27096774193564"/>
    <n v="0"/>
    <x v="250"/>
    <n v="139.27096774193564"/>
    <m/>
  </r>
  <r>
    <x v="0"/>
    <x v="7"/>
    <x v="5"/>
    <s v="Jun-20"/>
    <d v="2020-06-01T00:00:00"/>
    <x v="1"/>
    <n v="148.19999999999999"/>
    <n v="190.3"/>
    <n v="149.4"/>
    <n v="153.30000000000001"/>
    <n v="138.19999999999999"/>
    <n v="143.19999999999999"/>
    <x v="232"/>
    <n v="150.30000000000001"/>
    <n v="113.2"/>
    <n v="159.80000000000001"/>
    <n v="142.1"/>
    <n v="161.80000000000001"/>
    <n v="152.30000000000001"/>
    <n v="182.4"/>
    <n v="154.69999999999999"/>
    <n v="150"/>
    <n v="154.1"/>
    <n v="139.27096774193564"/>
    <n v="144.9"/>
    <n v="151.69999999999999"/>
    <n v="158.19999999999999"/>
    <n v="141.4"/>
    <n v="153.19999999999999"/>
    <n v="161.80000000000001"/>
    <n v="151.19999999999999"/>
    <n v="151.69999999999999"/>
    <n v="152.69999999999999"/>
    <n v="3791.470967741936"/>
    <n v="617.9"/>
    <n v="304.7"/>
    <n v="290.97096774193562"/>
    <n v="2133.4"/>
    <x v="251"/>
    <n v="145.48548387096781"/>
    <n v="152.3857142857143"/>
  </r>
  <r>
    <x v="1"/>
    <x v="7"/>
    <x v="5"/>
    <s v="Jun-20"/>
    <d v="2020-06-01T00:00:00"/>
    <x v="1"/>
    <n v="152.69999999999999"/>
    <n v="197"/>
    <n v="154.6"/>
    <n v="153.4"/>
    <n v="132.9"/>
    <n v="151.80000000000001"/>
    <x v="27"/>
    <n v="152"/>
    <n v="116.3"/>
    <n v="158.80000000000001"/>
    <n v="135.6"/>
    <n v="161.69999999999999"/>
    <n v="157"/>
    <n v="186.7"/>
    <n v="149.1"/>
    <n v="136.6"/>
    <n v="147.19999999999999"/>
    <n v="154.69999999999999"/>
    <n v="137.1"/>
    <n v="140.4"/>
    <n v="148.1"/>
    <n v="129.30000000000001"/>
    <n v="144.5"/>
    <n v="152.5"/>
    <n v="152.19999999999999"/>
    <n v="142"/>
    <n v="150.80000000000001"/>
    <n v="3768.2"/>
    <n v="591.20000000000005"/>
    <n v="285.7"/>
    <n v="295.10000000000002"/>
    <n v="2181.6999999999998"/>
    <x v="252"/>
    <n v="147.55000000000001"/>
    <n v="155.83571428571426"/>
  </r>
  <r>
    <x v="2"/>
    <x v="7"/>
    <x v="5"/>
    <s v="Jun-20"/>
    <d v="2020-06-01T00:00:00"/>
    <x v="1"/>
    <n v="149.6"/>
    <n v="192.7"/>
    <n v="151.4"/>
    <n v="153.30000000000001"/>
    <n v="136.30000000000001"/>
    <n v="147.19999999999999"/>
    <x v="233"/>
    <n v="150.9"/>
    <n v="114.2"/>
    <n v="159.5"/>
    <n v="139.4"/>
    <n v="161.80000000000001"/>
    <n v="154"/>
    <n v="183.5"/>
    <n v="152.5"/>
    <n v="144.4"/>
    <n v="151.4"/>
    <n v="154.69999999999999"/>
    <n v="141.9"/>
    <n v="146.4"/>
    <n v="154.4"/>
    <n v="135"/>
    <n v="148.30000000000001"/>
    <n v="156.4"/>
    <n v="151.6"/>
    <n v="147"/>
    <n v="151.80000000000001"/>
    <n v="3782.9"/>
    <n v="603.29999999999995"/>
    <n v="296.89999999999998"/>
    <n v="301.10000000000002"/>
    <n v="2150.3000000000002"/>
    <x v="253"/>
    <n v="150.55000000000001"/>
    <n v="153.59285714285716"/>
  </r>
  <r>
    <x v="0"/>
    <x v="7"/>
    <x v="6"/>
    <s v="Jul-20"/>
    <d v="2020-07-01T00:00:00"/>
    <x v="1"/>
    <n v="148.19999999999999"/>
    <n v="190.3"/>
    <n v="149.4"/>
    <n v="153.30000000000001"/>
    <n v="138.19999999999999"/>
    <n v="143.19999999999999"/>
    <x v="232"/>
    <n v="150.30000000000001"/>
    <n v="113.2"/>
    <n v="159.80000000000001"/>
    <n v="142.1"/>
    <n v="161.80000000000001"/>
    <n v="152.30000000000001"/>
    <n v="182.4"/>
    <n v="154.69999999999999"/>
    <n v="150"/>
    <n v="154.1"/>
    <n v="139.27096774193564"/>
    <n v="144.9"/>
    <n v="151.69999999999999"/>
    <n v="158.19999999999999"/>
    <n v="141.4"/>
    <n v="153.19999999999999"/>
    <n v="161.80000000000001"/>
    <n v="151.19999999999999"/>
    <n v="151.69999999999999"/>
    <n v="152.69999999999999"/>
    <n v="3791.470967741936"/>
    <n v="617.9"/>
    <n v="304.7"/>
    <n v="290.97096774193562"/>
    <n v="2133.4"/>
    <x v="251"/>
    <n v="145.48548387096781"/>
    <n v="152.3857142857143"/>
  </r>
  <r>
    <x v="1"/>
    <x v="7"/>
    <x v="6"/>
    <s v="Jul-20"/>
    <d v="2020-07-01T00:00:00"/>
    <x v="1"/>
    <n v="152.69999999999999"/>
    <n v="197"/>
    <n v="154.6"/>
    <n v="153.4"/>
    <n v="132.9"/>
    <n v="151.80000000000001"/>
    <x v="27"/>
    <n v="152"/>
    <n v="116.3"/>
    <n v="158.80000000000001"/>
    <n v="135.6"/>
    <n v="161.69999999999999"/>
    <n v="157"/>
    <n v="186.7"/>
    <n v="149.1"/>
    <n v="136.6"/>
    <n v="147.19999999999999"/>
    <n v="154.69999999999999"/>
    <n v="137.1"/>
    <n v="140.4"/>
    <n v="148.1"/>
    <n v="129.30000000000001"/>
    <n v="144.5"/>
    <n v="152.5"/>
    <n v="152.19999999999999"/>
    <n v="142"/>
    <n v="150.80000000000001"/>
    <n v="3768.2"/>
    <n v="591.20000000000005"/>
    <n v="285.7"/>
    <n v="295.10000000000002"/>
    <n v="2181.6999999999998"/>
    <x v="252"/>
    <n v="147.55000000000001"/>
    <n v="155.83571428571426"/>
  </r>
  <r>
    <x v="2"/>
    <x v="7"/>
    <x v="6"/>
    <s v="Jul-20"/>
    <d v="2020-07-01T00:00:00"/>
    <x v="1"/>
    <n v="149.6"/>
    <n v="192.7"/>
    <n v="151.4"/>
    <n v="153.30000000000001"/>
    <n v="136.30000000000001"/>
    <n v="147.19999999999999"/>
    <x v="233"/>
    <n v="150.9"/>
    <n v="114.2"/>
    <n v="159.5"/>
    <n v="139.4"/>
    <n v="161.80000000000001"/>
    <n v="154"/>
    <n v="183.5"/>
    <n v="152.5"/>
    <n v="144.4"/>
    <n v="151.4"/>
    <n v="154.69999999999999"/>
    <n v="141.9"/>
    <n v="146.4"/>
    <n v="154.4"/>
    <n v="135"/>
    <n v="148.30000000000001"/>
    <n v="156.4"/>
    <n v="151.6"/>
    <n v="147"/>
    <n v="151.80000000000001"/>
    <n v="3782.9"/>
    <n v="603.29999999999995"/>
    <n v="296.89999999999998"/>
    <n v="301.10000000000002"/>
    <n v="2150.3000000000002"/>
    <x v="253"/>
    <n v="150.55000000000001"/>
    <n v="153.59285714285716"/>
  </r>
  <r>
    <x v="0"/>
    <x v="7"/>
    <x v="7"/>
    <s v="Aug-20"/>
    <d v="2020-08-01T00:00:00"/>
    <x v="1"/>
    <n v="147.6"/>
    <n v="187.2"/>
    <n v="148.4"/>
    <n v="153.30000000000001"/>
    <n v="139.80000000000001"/>
    <n v="146.9"/>
    <x v="234"/>
    <n v="149.9"/>
    <n v="114.2"/>
    <n v="160"/>
    <n v="143.5"/>
    <n v="161.5"/>
    <n v="155.30000000000001"/>
    <n v="180.9"/>
    <n v="155.1"/>
    <n v="149.30000000000001"/>
    <n v="154.30000000000001"/>
    <n v="139.27096774193564"/>
    <n v="145.80000000000001"/>
    <n v="151.9"/>
    <n v="158.80000000000001"/>
    <n v="143.6"/>
    <n v="152.19999999999999"/>
    <n v="162.69999999999999"/>
    <n v="153.6"/>
    <n v="153"/>
    <n v="154.69999999999999"/>
    <n v="3824.7709677419361"/>
    <n v="621.5"/>
    <n v="304.39999999999998"/>
    <n v="291.17096774193567"/>
    <n v="2159.5"/>
    <x v="254"/>
    <n v="145.58548387096783"/>
    <n v="154.25"/>
  </r>
  <r>
    <x v="1"/>
    <x v="7"/>
    <x v="7"/>
    <s v="Aug-20"/>
    <d v="2020-08-01T00:00:00"/>
    <x v="1"/>
    <n v="151.6"/>
    <n v="197.8"/>
    <n v="154.5"/>
    <n v="153.4"/>
    <n v="133.4"/>
    <n v="154.5"/>
    <x v="235"/>
    <n v="151.30000000000001"/>
    <n v="116.8"/>
    <n v="160"/>
    <n v="136.5"/>
    <n v="163.30000000000001"/>
    <n v="159.9"/>
    <n v="187.2"/>
    <n v="150"/>
    <n v="135.19999999999999"/>
    <n v="147.80000000000001"/>
    <n v="155.5"/>
    <n v="138.30000000000001"/>
    <n v="144.5"/>
    <n v="148.69999999999999"/>
    <n v="133.9"/>
    <n v="141.19999999999999"/>
    <n v="155.5"/>
    <n v="155.19999999999999"/>
    <n v="144.80000000000001"/>
    <n v="152.9"/>
    <n v="3814.9"/>
    <n v="596.70000000000005"/>
    <n v="285.2"/>
    <n v="300"/>
    <n v="2212.1"/>
    <x v="255"/>
    <n v="150"/>
    <n v="158.00714285714284"/>
  </r>
  <r>
    <x v="2"/>
    <x v="7"/>
    <x v="7"/>
    <s v="Aug-20"/>
    <d v="2020-08-01T00:00:00"/>
    <x v="1"/>
    <n v="148.9"/>
    <n v="190.9"/>
    <n v="150.80000000000001"/>
    <n v="153.30000000000001"/>
    <n v="137.4"/>
    <n v="150.4"/>
    <x v="28"/>
    <n v="150.4"/>
    <n v="115.1"/>
    <n v="160"/>
    <n v="140.6"/>
    <n v="162.30000000000001"/>
    <n v="157"/>
    <n v="182.6"/>
    <n v="153.1"/>
    <n v="143.4"/>
    <n v="151.69999999999999"/>
    <n v="155.5"/>
    <n v="143"/>
    <n v="148.4"/>
    <n v="155"/>
    <n v="138.5"/>
    <n v="146"/>
    <n v="158.5"/>
    <n v="154.30000000000001"/>
    <n v="149"/>
    <n v="153.9"/>
    <n v="3822.5"/>
    <n v="607.79999999999995"/>
    <n v="296.5"/>
    <n v="303.89999999999998"/>
    <n v="2177.7999999999997"/>
    <x v="256"/>
    <n v="151.94999999999999"/>
    <n v="155.55714285714285"/>
  </r>
  <r>
    <x v="0"/>
    <x v="7"/>
    <x v="8"/>
    <s v="Sep-20"/>
    <d v="2020-09-01T00:00:00"/>
    <x v="1"/>
    <n v="146.9"/>
    <n v="183.9"/>
    <n v="149.5"/>
    <n v="153.4"/>
    <n v="140.4"/>
    <n v="147"/>
    <x v="212"/>
    <n v="149.30000000000001"/>
    <n v="115.1"/>
    <n v="160"/>
    <n v="145.4"/>
    <n v="161.6"/>
    <n v="156.1"/>
    <n v="182.9"/>
    <n v="155.4"/>
    <n v="149.9"/>
    <n v="154.6"/>
    <n v="139.27096774193564"/>
    <n v="146.4"/>
    <n v="151.6"/>
    <n v="159.1"/>
    <n v="144.6"/>
    <n v="152.80000000000001"/>
    <n v="161.1"/>
    <n v="157.4"/>
    <n v="153.69999999999999"/>
    <n v="155.4"/>
    <n v="3841.5709677419363"/>
    <n v="625"/>
    <n v="305.3"/>
    <n v="290.8709677419356"/>
    <n v="2170.2999999999997"/>
    <x v="257"/>
    <n v="145.4354838709678"/>
    <n v="155.02142857142854"/>
  </r>
  <r>
    <x v="1"/>
    <x v="7"/>
    <x v="8"/>
    <s v="Sep-20"/>
    <d v="2020-09-01T00:00:00"/>
    <x v="1"/>
    <n v="151.5"/>
    <n v="193.1"/>
    <n v="157.30000000000001"/>
    <n v="153.9"/>
    <n v="134.4"/>
    <n v="155.4"/>
    <x v="236"/>
    <n v="150.80000000000001"/>
    <n v="118.9"/>
    <n v="160.9"/>
    <n v="137.69999999999999"/>
    <n v="164.4"/>
    <n v="161.30000000000001"/>
    <n v="188.7"/>
    <n v="150.19999999999999"/>
    <n v="136.30000000000001"/>
    <n v="148.1"/>
    <n v="156.30000000000001"/>
    <n v="137.19999999999999"/>
    <n v="145.4"/>
    <n v="150"/>
    <n v="135.1"/>
    <n v="141.80000000000001"/>
    <n v="154.9"/>
    <n v="159.80000000000001"/>
    <n v="146"/>
    <n v="154"/>
    <n v="3843.3"/>
    <n v="602.5"/>
    <n v="286.5"/>
    <n v="301.70000000000005"/>
    <n v="2230.3000000000002"/>
    <x v="258"/>
    <n v="150.85000000000002"/>
    <n v="159.30714285714288"/>
  </r>
  <r>
    <x v="2"/>
    <x v="7"/>
    <x v="8"/>
    <s v="Sep-20"/>
    <d v="2020-09-01T00:00:00"/>
    <x v="1"/>
    <n v="148.4"/>
    <n v="187.1"/>
    <n v="152.5"/>
    <n v="153.6"/>
    <n v="138.19999999999999"/>
    <n v="150.9"/>
    <x v="237"/>
    <n v="149.80000000000001"/>
    <n v="116.4"/>
    <n v="160.30000000000001"/>
    <n v="142.19999999999999"/>
    <n v="162.9"/>
    <n v="158"/>
    <n v="184.4"/>
    <n v="153.4"/>
    <n v="144.30000000000001"/>
    <n v="152"/>
    <n v="156.30000000000001"/>
    <n v="142.9"/>
    <n v="148.69999999999999"/>
    <n v="155.6"/>
    <n v="139.6"/>
    <n v="146.6"/>
    <n v="157.5"/>
    <n v="158.4"/>
    <n v="150"/>
    <n v="154.69999999999999"/>
    <n v="3844.7000000000007"/>
    <n v="612.5"/>
    <n v="297.70000000000005"/>
    <n v="305"/>
    <n v="2191.4"/>
    <x v="259"/>
    <n v="152.5"/>
    <n v="156.52857142857144"/>
  </r>
  <r>
    <x v="0"/>
    <x v="7"/>
    <x v="9"/>
    <s v="Oct-20"/>
    <d v="2020-10-01T00:00:00"/>
    <x v="1"/>
    <n v="146"/>
    <n v="186.3"/>
    <n v="159.19999999999999"/>
    <n v="153.6"/>
    <n v="142.6"/>
    <n v="147.19999999999999"/>
    <x v="238"/>
    <n v="150.30000000000001"/>
    <n v="115.3"/>
    <n v="160.9"/>
    <n v="147.4"/>
    <n v="161.9"/>
    <n v="159.6"/>
    <n v="182.7"/>
    <n v="155.69999999999999"/>
    <n v="150.6"/>
    <n v="155"/>
    <n v="139.27096774193564"/>
    <n v="146.80000000000001"/>
    <n v="152"/>
    <n v="159.5"/>
    <n v="146.4"/>
    <n v="152.4"/>
    <n v="162.5"/>
    <n v="156.19999999999999"/>
    <n v="154.30000000000001"/>
    <n v="157.5"/>
    <n v="3889.2709677419352"/>
    <n v="625.4"/>
    <n v="306.29999999999995"/>
    <n v="291.27096774193564"/>
    <n v="2213.6"/>
    <x v="260"/>
    <n v="145.63548387096782"/>
    <n v="158.1142857142857"/>
  </r>
  <r>
    <x v="1"/>
    <x v="7"/>
    <x v="9"/>
    <s v="Oct-20"/>
    <d v="2020-10-01T00:00:00"/>
    <x v="1"/>
    <n v="150.6"/>
    <n v="193.7"/>
    <n v="164.8"/>
    <n v="153.69999999999999"/>
    <n v="135.69999999999999"/>
    <n v="155.69999999999999"/>
    <x v="239"/>
    <n v="152.19999999999999"/>
    <n v="118.1"/>
    <n v="161.30000000000001"/>
    <n v="139.19999999999999"/>
    <n v="164.8"/>
    <n v="164.4"/>
    <n v="188.7"/>
    <n v="150.5"/>
    <n v="136.1"/>
    <n v="148.30000000000001"/>
    <n v="156.5"/>
    <n v="137.1"/>
    <n v="145.1"/>
    <n v="151"/>
    <n v="135.4"/>
    <n v="142"/>
    <n v="155.69999999999999"/>
    <n v="158.1"/>
    <n v="146.19999999999999"/>
    <n v="155.19999999999999"/>
    <n v="3882.5999999999995"/>
    <n v="602"/>
    <n v="286.60000000000002"/>
    <n v="301.60000000000002"/>
    <n v="2268.8999999999996"/>
    <x v="261"/>
    <n v="150.80000000000001"/>
    <n v="162.06428571428569"/>
  </r>
  <r>
    <x v="2"/>
    <x v="7"/>
    <x v="9"/>
    <s v="Oct-20"/>
    <d v="2020-10-01T00:00:00"/>
    <x v="1"/>
    <n v="147.5"/>
    <n v="188.9"/>
    <n v="161.4"/>
    <n v="153.6"/>
    <n v="140.1"/>
    <n v="151.19999999999999"/>
    <x v="240"/>
    <n v="150.9"/>
    <n v="116.2"/>
    <n v="161"/>
    <n v="144"/>
    <n v="163.19999999999999"/>
    <n v="161.4"/>
    <n v="184.3"/>
    <n v="153.69999999999999"/>
    <n v="144.6"/>
    <n v="152.30000000000001"/>
    <n v="156.5"/>
    <n v="143.1"/>
    <n v="148.69999999999999"/>
    <n v="156.30000000000001"/>
    <n v="140.6"/>
    <n v="146.5"/>
    <n v="158.5"/>
    <n v="157"/>
    <n v="150.4"/>
    <n v="156.4"/>
    <n v="3888.7999999999997"/>
    <n v="612.4"/>
    <n v="298.29999999999995"/>
    <n v="305.2"/>
    <n v="2232.9000000000005"/>
    <x v="262"/>
    <n v="152.6"/>
    <n v="159.49285714285719"/>
  </r>
  <r>
    <x v="0"/>
    <x v="7"/>
    <x v="11"/>
    <s v="Nov-20"/>
    <d v="2020-11-01T00:00:00"/>
    <x v="1"/>
    <n v="145.4"/>
    <n v="188.6"/>
    <n v="171.6"/>
    <n v="153.80000000000001"/>
    <n v="145.4"/>
    <n v="146.5"/>
    <x v="241"/>
    <n v="155.9"/>
    <n v="114.9"/>
    <n v="162"/>
    <n v="150"/>
    <n v="162.69999999999999"/>
    <n v="163.4"/>
    <n v="183.4"/>
    <n v="156.30000000000001"/>
    <n v="151"/>
    <n v="155.5"/>
    <n v="139.27096774193564"/>
    <n v="147.5"/>
    <n v="152.80000000000001"/>
    <n v="160.4"/>
    <n v="146.1"/>
    <n v="153.6"/>
    <n v="161.6"/>
    <n v="156.19999999999999"/>
    <n v="154.5"/>
    <n v="159.80000000000001"/>
    <n v="3945.0709677419359"/>
    <n v="625.9"/>
    <n v="307.3"/>
    <n v="292.07096774193565"/>
    <n v="2265.8000000000002"/>
    <x v="263"/>
    <n v="146.03548387096782"/>
    <n v="161.84285714285716"/>
  </r>
  <r>
    <x v="1"/>
    <x v="7"/>
    <x v="11"/>
    <s v="Nov-20"/>
    <d v="2020-11-01T00:00:00"/>
    <x v="1"/>
    <n v="149.69999999999999"/>
    <n v="195.5"/>
    <n v="176.9"/>
    <n v="153.9"/>
    <n v="138"/>
    <n v="150.5"/>
    <x v="242"/>
    <n v="158.69999999999999"/>
    <n v="117.2"/>
    <n v="161.4"/>
    <n v="141.5"/>
    <n v="165.1"/>
    <n v="167"/>
    <n v="188.8"/>
    <n v="151.1"/>
    <n v="136.4"/>
    <n v="148.80000000000001"/>
    <n v="158"/>
    <n v="137.30000000000001"/>
    <n v="145.1"/>
    <n v="152"/>
    <n v="135.19999999999999"/>
    <n v="144.4"/>
    <n v="156.4"/>
    <n v="157.9"/>
    <n v="146.6"/>
    <n v="156.69999999999999"/>
    <n v="3929.9"/>
    <n v="605.29999999999995"/>
    <n v="287.5"/>
    <n v="303.10000000000002"/>
    <n v="2309.5"/>
    <x v="264"/>
    <n v="151.55000000000001"/>
    <n v="164.96428571428572"/>
  </r>
  <r>
    <x v="2"/>
    <x v="7"/>
    <x v="11"/>
    <s v="Nov-20"/>
    <d v="2020-11-01T00:00:00"/>
    <x v="1"/>
    <n v="146.80000000000001"/>
    <n v="191"/>
    <n v="173.6"/>
    <n v="153.80000000000001"/>
    <n v="142.69999999999999"/>
    <n v="148.4"/>
    <x v="243"/>
    <n v="156.80000000000001"/>
    <n v="115.7"/>
    <n v="161.80000000000001"/>
    <n v="146.5"/>
    <n v="163.80000000000001"/>
    <n v="164.7"/>
    <n v="184.8"/>
    <n v="154.30000000000001"/>
    <n v="144.9"/>
    <n v="152.80000000000001"/>
    <n v="158"/>
    <n v="143.6"/>
    <n v="149.19999999999999"/>
    <n v="157.19999999999999"/>
    <n v="140.4"/>
    <n v="148.4"/>
    <n v="158.6"/>
    <n v="156.9"/>
    <n v="150.69999999999999"/>
    <n v="158.4"/>
    <n v="3942.6000000000004"/>
    <n v="614.6"/>
    <n v="299.20000000000005"/>
    <n v="307.2"/>
    <n v="2280.4"/>
    <x v="265"/>
    <n v="153.6"/>
    <n v="162.8857142857143"/>
  </r>
  <r>
    <x v="0"/>
    <x v="7"/>
    <x v="12"/>
    <s v="Dec-20"/>
    <d v="2020-12-01T00:00:00"/>
    <x v="1"/>
    <n v="144.6"/>
    <n v="188.5"/>
    <n v="173.4"/>
    <n v="154"/>
    <n v="150"/>
    <n v="145.9"/>
    <x v="244"/>
    <n v="159.5"/>
    <n v="114.4"/>
    <n v="163.5"/>
    <n v="153.4"/>
    <n v="163.6"/>
    <n v="164.5"/>
    <n v="183.6"/>
    <n v="157"/>
    <n v="151.6"/>
    <n v="156.30000000000001"/>
    <n v="139.27096774193564"/>
    <n v="148.69999999999999"/>
    <n v="153.4"/>
    <n v="161.6"/>
    <n v="146.4"/>
    <n v="153.9"/>
    <n v="162.9"/>
    <n v="156.6"/>
    <n v="155.19999999999999"/>
    <n v="160.69999999999999"/>
    <n v="3970.6709677419353"/>
    <n v="628.59999999999991"/>
    <n v="308.60000000000002"/>
    <n v="292.67096774193567"/>
    <n v="2284.1"/>
    <x v="266"/>
    <n v="146.33548387096783"/>
    <n v="163.15"/>
  </r>
  <r>
    <x v="1"/>
    <x v="7"/>
    <x v="12"/>
    <s v="Dec-20"/>
    <d v="2020-12-01T00:00:00"/>
    <x v="1"/>
    <n v="149"/>
    <n v="195.7"/>
    <n v="178.3"/>
    <n v="154.19999999999999"/>
    <n v="140.69999999999999"/>
    <n v="149.69999999999999"/>
    <x v="245"/>
    <n v="161.5"/>
    <n v="117.1"/>
    <n v="161.9"/>
    <n v="143.30000000000001"/>
    <n v="166.1"/>
    <n v="167"/>
    <n v="190.2"/>
    <n v="151.9"/>
    <n v="136.69999999999999"/>
    <n v="149.6"/>
    <n v="158.4"/>
    <n v="137.9"/>
    <n v="145.5"/>
    <n v="152.9"/>
    <n v="135.5"/>
    <n v="144.30000000000001"/>
    <n v="156.9"/>
    <n v="157.9"/>
    <n v="146.9"/>
    <n v="156.9"/>
    <n v="3940.4"/>
    <n v="606"/>
    <n v="288.60000000000002"/>
    <n v="303.89999999999998"/>
    <n v="2315.6"/>
    <x v="267"/>
    <n v="151.94999999999999"/>
    <n v="165.4"/>
  </r>
  <r>
    <x v="2"/>
    <x v="7"/>
    <x v="12"/>
    <s v="Dec-20"/>
    <d v="2020-12-01T00:00:00"/>
    <x v="1"/>
    <n v="146"/>
    <n v="191"/>
    <n v="175.3"/>
    <n v="154.1"/>
    <n v="146.6"/>
    <n v="147.69999999999999"/>
    <x v="246"/>
    <n v="160.19999999999999"/>
    <n v="115.3"/>
    <n v="163"/>
    <n v="149.19999999999999"/>
    <n v="164.8"/>
    <n v="165.4"/>
    <n v="185.4"/>
    <n v="155"/>
    <n v="145.4"/>
    <n v="153.6"/>
    <n v="158.4"/>
    <n v="144.6"/>
    <n v="149.69999999999999"/>
    <n v="158.30000000000001"/>
    <n v="140.69999999999999"/>
    <n v="148.5"/>
    <n v="159.4"/>
    <n v="157.1"/>
    <n v="151.19999999999999"/>
    <n v="158.9"/>
    <n v="3962.8"/>
    <n v="616.19999999999993"/>
    <n v="300.39999999999998"/>
    <n v="308.10000000000002"/>
    <n v="2294.5"/>
    <x v="268"/>
    <n v="154.05000000000001"/>
    <n v="163.89285714285714"/>
  </r>
  <r>
    <x v="0"/>
    <x v="8"/>
    <x v="0"/>
    <s v="Jan-21"/>
    <d v="2021-01-01T00:00:00"/>
    <x v="1"/>
    <n v="143.4"/>
    <n v="187.5"/>
    <n v="173.4"/>
    <n v="154"/>
    <n v="154.80000000000001"/>
    <n v="147"/>
    <x v="247"/>
    <n v="159.5"/>
    <n v="113.8"/>
    <n v="164.5"/>
    <n v="156.1"/>
    <n v="164.3"/>
    <n v="159.6"/>
    <n v="184.6"/>
    <n v="157.5"/>
    <n v="152.4"/>
    <n v="156.80000000000001"/>
    <n v="139.27096774193564"/>
    <n v="150.9"/>
    <n v="153.9"/>
    <n v="162.5"/>
    <n v="147.5"/>
    <n v="155.1"/>
    <n v="163.5"/>
    <n v="156.19999999999999"/>
    <n v="155.9"/>
    <n v="158.5"/>
    <n v="3944.9709677419364"/>
    <n v="630.70000000000005"/>
    <n v="309.89999999999998"/>
    <n v="293.17096774193567"/>
    <n v="2250.2999999999997"/>
    <x v="269"/>
    <n v="146.58548387096783"/>
    <n v="160.73571428571427"/>
  </r>
  <r>
    <x v="1"/>
    <x v="8"/>
    <x v="0"/>
    <s v="Jan-21"/>
    <d v="2021-01-01T00:00:00"/>
    <x v="1"/>
    <n v="148"/>
    <n v="194.8"/>
    <n v="178.4"/>
    <n v="154.4"/>
    <n v="144.1"/>
    <n v="152.6"/>
    <x v="248"/>
    <n v="162.1"/>
    <n v="116.3"/>
    <n v="163"/>
    <n v="145.9"/>
    <n v="167.2"/>
    <n v="163.4"/>
    <n v="191.8"/>
    <n v="152.5"/>
    <n v="137.30000000000001"/>
    <n v="150.19999999999999"/>
    <n v="157.69999999999999"/>
    <n v="142.9"/>
    <n v="145.69999999999999"/>
    <n v="154.1"/>
    <n v="136.9"/>
    <n v="145.4"/>
    <n v="156.1"/>
    <n v="157.69999999999999"/>
    <n v="147.6"/>
    <n v="156"/>
    <n v="3922.7000000000007"/>
    <n v="606.79999999999995"/>
    <n v="289.8"/>
    <n v="303.39999999999998"/>
    <n v="2288.8000000000002"/>
    <x v="270"/>
    <n v="151.69999999999999"/>
    <n v="163.48571428571429"/>
  </r>
  <r>
    <x v="2"/>
    <x v="8"/>
    <x v="0"/>
    <s v="Jan-21"/>
    <d v="2021-01-01T00:00:00"/>
    <x v="1"/>
    <n v="144.9"/>
    <n v="190.1"/>
    <n v="175.3"/>
    <n v="154.1"/>
    <n v="150.9"/>
    <n v="149.6"/>
    <x v="249"/>
    <n v="160.4"/>
    <n v="114.6"/>
    <n v="164"/>
    <n v="151.80000000000001"/>
    <n v="165.6"/>
    <n v="161"/>
    <n v="186.5"/>
    <n v="155.5"/>
    <n v="146.1"/>
    <n v="154.19999999999999"/>
    <n v="157.69999999999999"/>
    <n v="147.9"/>
    <n v="150"/>
    <n v="159.30000000000001"/>
    <n v="141.9"/>
    <n v="149.6"/>
    <n v="159.19999999999999"/>
    <n v="156.80000000000001"/>
    <n v="151.9"/>
    <n v="157.30000000000001"/>
    <n v="3938.8999999999996"/>
    <n v="617.5"/>
    <n v="301.60000000000002"/>
    <n v="307.7"/>
    <n v="2263"/>
    <x v="271"/>
    <n v="153.85"/>
    <n v="161.64285714285714"/>
  </r>
  <r>
    <x v="0"/>
    <x v="8"/>
    <x v="1"/>
    <s v="Feb-21"/>
    <d v="2021-02-01T00:00:00"/>
    <x v="1"/>
    <n v="142.80000000000001"/>
    <n v="184"/>
    <n v="168"/>
    <n v="154.4"/>
    <n v="163"/>
    <n v="147.80000000000001"/>
    <x v="250"/>
    <n v="158.30000000000001"/>
    <n v="111.8"/>
    <n v="165"/>
    <n v="160"/>
    <n v="165.8"/>
    <n v="154.69999999999999"/>
    <n v="186.5"/>
    <n v="159.1"/>
    <n v="153.9"/>
    <n v="158.4"/>
    <n v="139.27096774193564"/>
    <n v="154.4"/>
    <n v="154.80000000000001"/>
    <n v="164.3"/>
    <n v="150.19999999999999"/>
    <n v="157"/>
    <n v="163.6"/>
    <n v="155.19999999999999"/>
    <n v="157.19999999999999"/>
    <n v="156.69999999999999"/>
    <n v="3920.7709677419361"/>
    <n v="633"/>
    <n v="313"/>
    <n v="294.07096774193565"/>
    <n v="2211.8000000000002"/>
    <x v="272"/>
    <n v="147.03548387096782"/>
    <n v="157.98571428571429"/>
  </r>
  <r>
    <x v="1"/>
    <x v="8"/>
    <x v="1"/>
    <s v="Feb-21"/>
    <d v="2021-02-01T00:00:00"/>
    <x v="1"/>
    <n v="147.6"/>
    <n v="191.2"/>
    <n v="169.9"/>
    <n v="155.1"/>
    <n v="151.4"/>
    <n v="154"/>
    <x v="251"/>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n v="3913.7999999999997"/>
    <n v="609.90000000000009"/>
    <n v="292.39999999999998"/>
    <n v="306.3"/>
    <n v="2259.3000000000002"/>
    <x v="273"/>
    <n v="153.15"/>
    <n v="161.37857142857143"/>
  </r>
  <r>
    <x v="2"/>
    <x v="8"/>
    <x v="1"/>
    <s v="Feb-21"/>
    <d v="2021-02-01T00:00:00"/>
    <x v="1"/>
    <n v="144.30000000000001"/>
    <n v="186.5"/>
    <n v="168.7"/>
    <n v="154.69999999999999"/>
    <n v="158.69999999999999"/>
    <n v="150.69999999999999"/>
    <x v="252"/>
    <n v="158.80000000000001"/>
    <n v="112.8"/>
    <n v="164.2"/>
    <n v="155.5"/>
    <n v="167.5"/>
    <n v="156.9"/>
    <n v="188.3"/>
    <n v="157.19999999999999"/>
    <n v="147.4"/>
    <n v="155.80000000000001"/>
    <n v="159.80000000000001"/>
    <n v="152.4"/>
    <n v="150.9"/>
    <n v="161.30000000000001"/>
    <n v="145.1"/>
    <n v="151.5"/>
    <n v="159.5"/>
    <n v="155.80000000000001"/>
    <n v="153.4"/>
    <n v="156.6"/>
    <n v="3921.9"/>
    <n v="620.20000000000005"/>
    <n v="304.60000000000002"/>
    <n v="310.70000000000005"/>
    <n v="2227.6000000000004"/>
    <x v="274"/>
    <n v="155.35000000000002"/>
    <n v="159.11428571428573"/>
  </r>
  <r>
    <x v="0"/>
    <x v="8"/>
    <x v="2"/>
    <s v="Mar-21"/>
    <d v="2021-03-01T00:00:00"/>
    <x v="1"/>
    <n v="142.5"/>
    <n v="189.4"/>
    <n v="163.19999999999999"/>
    <n v="154.5"/>
    <n v="168.2"/>
    <n v="150.5"/>
    <x v="67"/>
    <n v="159.19999999999999"/>
    <n v="111.7"/>
    <n v="164"/>
    <n v="160.6"/>
    <n v="166.4"/>
    <n v="154.5"/>
    <n v="186.1"/>
    <n v="159.6"/>
    <n v="154.4"/>
    <n v="158.9"/>
    <n v="139.27096774193564"/>
    <n v="156"/>
    <n v="154.80000000000001"/>
    <n v="164.6"/>
    <n v="151.30000000000001"/>
    <n v="157.80000000000001"/>
    <n v="163.80000000000001"/>
    <n v="153.1"/>
    <n v="157.30000000000001"/>
    <n v="156.69999999999999"/>
    <n v="3923.7709677419352"/>
    <n v="632"/>
    <n v="314"/>
    <n v="294.07096774193565"/>
    <n v="2211.8000000000002"/>
    <x v="275"/>
    <n v="147.03548387096782"/>
    <n v="157.98571428571429"/>
  </r>
  <r>
    <x v="1"/>
    <x v="8"/>
    <x v="2"/>
    <s v="Mar-21"/>
    <d v="2021-03-01T00:00:00"/>
    <x v="1"/>
    <n v="147.5"/>
    <n v="197.5"/>
    <n v="164.7"/>
    <n v="155.6"/>
    <n v="156.4"/>
    <n v="157.30000000000001"/>
    <x v="253"/>
    <n v="161.1"/>
    <n v="114.3"/>
    <n v="162.6"/>
    <n v="150.69999999999999"/>
    <n v="170.3"/>
    <n v="160.4"/>
    <n v="193.5"/>
    <n v="155.1"/>
    <n v="138.69999999999999"/>
    <n v="152.6"/>
    <n v="159.9"/>
    <n v="154.80000000000001"/>
    <n v="147.19999999999999"/>
    <n v="156.9"/>
    <n v="141.69999999999999"/>
    <n v="148.6"/>
    <n v="157.6"/>
    <n v="154.9"/>
    <n v="150"/>
    <n v="156.9"/>
    <n v="3923.4"/>
    <n v="611.1"/>
    <n v="293.79999999999995"/>
    <n v="307.10000000000002"/>
    <n v="2257.9999999999995"/>
    <x v="276"/>
    <n v="153.55000000000001"/>
    <n v="161.28571428571425"/>
  </r>
  <r>
    <x v="2"/>
    <x v="8"/>
    <x v="2"/>
    <s v="Mar-21"/>
    <d v="2021-03-01T00:00:00"/>
    <x v="1"/>
    <n v="144.1"/>
    <n v="192.2"/>
    <n v="163.80000000000001"/>
    <n v="154.9"/>
    <n v="163.9"/>
    <n v="153.69999999999999"/>
    <x v="123"/>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n v="3928.0999999999995"/>
    <n v="620.4"/>
    <n v="305.70000000000005"/>
    <n v="311.10000000000002"/>
    <n v="2227.5"/>
    <x v="277"/>
    <n v="155.55000000000001"/>
    <n v="159.10714285714286"/>
  </r>
  <r>
    <x v="0"/>
    <x v="8"/>
    <x v="3"/>
    <s v="Apr-21"/>
    <d v="2021-04-01T00:00:00"/>
    <x v="1"/>
    <n v="142.69999999999999"/>
    <n v="195.5"/>
    <n v="163.4"/>
    <n v="155"/>
    <n v="175.2"/>
    <n v="160.6"/>
    <x v="172"/>
    <n v="161.1"/>
    <n v="112.2"/>
    <n v="164.4"/>
    <n v="161.9"/>
    <n v="166.8"/>
    <n v="155.6"/>
    <n v="186.8"/>
    <n v="160.69999999999999"/>
    <n v="155.1"/>
    <n v="159.9"/>
    <n v="139.27096774193564"/>
    <n v="156"/>
    <n v="155.5"/>
    <n v="165.3"/>
    <n v="151.69999999999999"/>
    <n v="158.6"/>
    <n v="164.1"/>
    <n v="154.6"/>
    <n v="158"/>
    <n v="157.6"/>
    <n v="3955.1709677419353"/>
    <n v="635.30000000000007"/>
    <n v="315.79999999999995"/>
    <n v="294.77096774193564"/>
    <n v="2236.3000000000002"/>
    <x v="278"/>
    <n v="147.38548387096782"/>
    <n v="159.73571428571429"/>
  </r>
  <r>
    <x v="1"/>
    <x v="8"/>
    <x v="3"/>
    <s v="Apr-21"/>
    <d v="2021-04-01T00:00:00"/>
    <x v="1"/>
    <n v="147.6"/>
    <n v="202.5"/>
    <n v="166.4"/>
    <n v="156"/>
    <n v="161.4"/>
    <n v="168.8"/>
    <x v="201"/>
    <n v="162.80000000000001"/>
    <n v="114.8"/>
    <n v="162.80000000000001"/>
    <n v="151.5"/>
    <n v="171.4"/>
    <n v="162"/>
    <n v="194.4"/>
    <n v="155.9"/>
    <n v="139.30000000000001"/>
    <n v="153.4"/>
    <n v="161.4"/>
    <n v="154.9"/>
    <n v="147.6"/>
    <n v="157.5"/>
    <n v="142.1"/>
    <n v="149.1"/>
    <n v="157.6"/>
    <n v="156.6"/>
    <n v="150.5"/>
    <n v="158"/>
    <n v="3956.5000000000014"/>
    <n v="613.80000000000007"/>
    <n v="295.20000000000005"/>
    <n v="309"/>
    <n v="2284"/>
    <x v="279"/>
    <n v="154.5"/>
    <n v="163.14285714285714"/>
  </r>
  <r>
    <x v="2"/>
    <x v="8"/>
    <x v="3"/>
    <s v="Apr-21"/>
    <d v="2021-04-01T00:00:00"/>
    <x v="1"/>
    <n v="144.30000000000001"/>
    <n v="198"/>
    <n v="164.6"/>
    <n v="155.4"/>
    <n v="170.1"/>
    <n v="164.4"/>
    <x v="103"/>
    <n v="161.69999999999999"/>
    <n v="113.1"/>
    <n v="163.9"/>
    <n v="157.6"/>
    <n v="168.9"/>
    <n v="158"/>
    <n v="188.8"/>
    <n v="158.80000000000001"/>
    <n v="148.5"/>
    <n v="157.30000000000001"/>
    <n v="161.4"/>
    <n v="155.6"/>
    <n v="151.80000000000001"/>
    <n v="162.30000000000001"/>
    <n v="146.6"/>
    <n v="153.19999999999999"/>
    <n v="160.30000000000001"/>
    <n v="155.4"/>
    <n v="154.4"/>
    <n v="157.80000000000001"/>
    <n v="3961.2000000000003"/>
    <n v="623.29999999999995"/>
    <n v="307.3"/>
    <n v="313.20000000000005"/>
    <n v="2252.9"/>
    <x v="280"/>
    <n v="156.60000000000002"/>
    <n v="160.92142857142858"/>
  </r>
  <r>
    <x v="0"/>
    <x v="8"/>
    <x v="4"/>
    <s v="May-21"/>
    <d v="2021-05-01T00:00:00"/>
    <x v="1"/>
    <n v="145.1"/>
    <n v="198.5"/>
    <n v="168.6"/>
    <n v="155.80000000000001"/>
    <n v="184.4"/>
    <n v="162.30000000000001"/>
    <x v="254"/>
    <n v="165.1"/>
    <n v="114.3"/>
    <n v="169.7"/>
    <n v="164.6"/>
    <n v="169.8"/>
    <n v="158.69999999999999"/>
    <n v="189.6"/>
    <n v="165.3"/>
    <n v="160.6"/>
    <n v="164.5"/>
    <n v="139.27096774193564"/>
    <n v="161.69999999999999"/>
    <n v="158.80000000000001"/>
    <n v="169.1"/>
    <n v="153.19999999999999"/>
    <n v="160"/>
    <n v="167.6"/>
    <n v="159.30000000000001"/>
    <n v="161.1"/>
    <n v="161.1"/>
    <n v="4040.8709677419356"/>
    <n v="648"/>
    <n v="325.89999999999998"/>
    <n v="298.07096774193565"/>
    <n v="2284.8999999999996"/>
    <x v="281"/>
    <n v="149.03548387096782"/>
    <n v="163.20714285714283"/>
  </r>
  <r>
    <x v="1"/>
    <x v="8"/>
    <x v="4"/>
    <s v="May-21"/>
    <d v="2021-05-01T00:00:00"/>
    <x v="1"/>
    <n v="148.80000000000001"/>
    <n v="204.3"/>
    <n v="173"/>
    <n v="156.5"/>
    <n v="168.8"/>
    <n v="172.5"/>
    <x v="255"/>
    <n v="165.9"/>
    <n v="115.9"/>
    <n v="165.2"/>
    <n v="152"/>
    <n v="171.1"/>
    <n v="164.2"/>
    <n v="198.2"/>
    <n v="156.5"/>
    <n v="140.19999999999999"/>
    <n v="154.1"/>
    <n v="161.6"/>
    <n v="155.5"/>
    <n v="150.1"/>
    <n v="160.4"/>
    <n v="145"/>
    <n v="152.6"/>
    <n v="156.6"/>
    <n v="157.5"/>
    <n v="152.30000000000001"/>
    <n v="159.5"/>
    <n v="4011.1999999999994"/>
    <n v="619"/>
    <n v="296.7"/>
    <n v="311.7"/>
    <n v="2322.9"/>
    <x v="282"/>
    <n v="155.85"/>
    <n v="165.92142857142858"/>
  </r>
  <r>
    <x v="2"/>
    <x v="8"/>
    <x v="4"/>
    <s v="May-21"/>
    <d v="2021-05-01T00:00:00"/>
    <x v="1"/>
    <n v="146.30000000000001"/>
    <n v="200.5"/>
    <n v="170.3"/>
    <n v="156.1"/>
    <n v="178.7"/>
    <n v="167.1"/>
    <x v="256"/>
    <n v="165.4"/>
    <n v="114.8"/>
    <n v="168.2"/>
    <n v="159.30000000000001"/>
    <n v="170.4"/>
    <n v="160.69999999999999"/>
    <n v="191.9"/>
    <n v="161.80000000000001"/>
    <n v="152.1"/>
    <n v="160.4"/>
    <n v="161.6"/>
    <n v="159.4"/>
    <n v="154.69999999999999"/>
    <n v="165.8"/>
    <n v="148.9"/>
    <n v="155.80000000000001"/>
    <n v="161.19999999999999"/>
    <n v="158.6"/>
    <n v="156.80000000000001"/>
    <n v="160.4"/>
    <n v="4034.3"/>
    <n v="632.4"/>
    <n v="313.89999999999998"/>
    <n v="316.29999999999995"/>
    <n v="2297.6000000000004"/>
    <x v="283"/>
    <n v="158.14999999999998"/>
    <n v="164.11428571428573"/>
  </r>
  <r>
    <x v="0"/>
    <x v="8"/>
    <x v="5"/>
    <s v="Jun-21"/>
    <d v="2021-06-01T00:00:00"/>
    <x v="1"/>
    <n v="145.6"/>
    <n v="200.1"/>
    <n v="179.3"/>
    <n v="156.1"/>
    <n v="190.4"/>
    <n v="158.6"/>
    <x v="257"/>
    <n v="165.5"/>
    <n v="114.6"/>
    <n v="170"/>
    <n v="165.5"/>
    <n v="171.7"/>
    <n v="160.5"/>
    <n v="189.1"/>
    <n v="165.3"/>
    <n v="159.9"/>
    <n v="164.6"/>
    <n v="139.27096774193564"/>
    <n v="162.1"/>
    <n v="159.19999999999999"/>
    <n v="169.7"/>
    <n v="154.19999999999999"/>
    <n v="160.4"/>
    <n v="166.8"/>
    <n v="159.4"/>
    <n v="161.5"/>
    <n v="162.1"/>
    <n v="4069.4709677419351"/>
    <n v="648.1"/>
    <n v="325.20000000000005"/>
    <n v="298.47096774193562"/>
    <n v="2311.6999999999998"/>
    <x v="284"/>
    <n v="149.23548387096781"/>
    <n v="165.12142857142857"/>
  </r>
  <r>
    <x v="1"/>
    <x v="8"/>
    <x v="5"/>
    <s v="Jun-21"/>
    <d v="2021-06-01T00:00:00"/>
    <x v="1"/>
    <n v="149.19999999999999"/>
    <n v="205.5"/>
    <n v="182.8"/>
    <n v="156.5"/>
    <n v="172.2"/>
    <n v="171.5"/>
    <x v="258"/>
    <n v="166.9"/>
    <n v="116.1"/>
    <n v="165.5"/>
    <n v="152.30000000000001"/>
    <n v="173.3"/>
    <n v="166.2"/>
    <n v="195.6"/>
    <n v="157.30000000000001"/>
    <n v="140.5"/>
    <n v="154.80000000000001"/>
    <n v="160.5"/>
    <n v="156.1"/>
    <n v="149.80000000000001"/>
    <n v="160.80000000000001"/>
    <n v="147.5"/>
    <n v="150.69999999999999"/>
    <n v="158.1"/>
    <n v="158"/>
    <n v="153.4"/>
    <n v="160.4"/>
    <n v="4042.5"/>
    <n v="620.20000000000005"/>
    <n v="297.8"/>
    <n v="310.3"/>
    <n v="2349.7999999999997"/>
    <x v="274"/>
    <n v="155.15"/>
    <n v="167.84285714285713"/>
  </r>
  <r>
    <x v="2"/>
    <x v="8"/>
    <x v="5"/>
    <s v="Jun-21"/>
    <d v="2021-06-01T00:00:00"/>
    <x v="1"/>
    <n v="146.69999999999999"/>
    <n v="202"/>
    <n v="180.7"/>
    <n v="156.19999999999999"/>
    <n v="183.7"/>
    <n v="164.6"/>
    <x v="259"/>
    <n v="166"/>
    <n v="115.1"/>
    <n v="168.5"/>
    <n v="160"/>
    <n v="172.4"/>
    <n v="162.6"/>
    <n v="190.8"/>
    <n v="162.19999999999999"/>
    <n v="151.80000000000001"/>
    <n v="160.69999999999999"/>
    <n v="160.5"/>
    <n v="159.80000000000001"/>
    <n v="154.80000000000001"/>
    <n v="166.3"/>
    <n v="150.69999999999999"/>
    <n v="154.9"/>
    <n v="161.69999999999999"/>
    <n v="158.80000000000001"/>
    <n v="157.6"/>
    <n v="161.30000000000001"/>
    <n v="4063.7999999999997"/>
    <n v="633"/>
    <n v="314"/>
    <n v="315.3"/>
    <n v="2324.7000000000003"/>
    <x v="272"/>
    <n v="157.65"/>
    <n v="166.05"/>
  </r>
  <r>
    <x v="0"/>
    <x v="8"/>
    <x v="6"/>
    <s v="Jul-21"/>
    <d v="2021-07-01T00:00:00"/>
    <x v="1"/>
    <n v="145.1"/>
    <n v="204.5"/>
    <n v="180.4"/>
    <n v="157.1"/>
    <n v="188.7"/>
    <n v="157.69999999999999"/>
    <x v="260"/>
    <n v="163.6"/>
    <n v="113.9"/>
    <n v="169.7"/>
    <n v="166.2"/>
    <n v="171"/>
    <n v="161.69999999999999"/>
    <n v="189.7"/>
    <n v="166"/>
    <n v="161.1"/>
    <n v="165.3"/>
    <n v="139.27096774193564"/>
    <n v="162.5"/>
    <n v="160.30000000000001"/>
    <n v="170.4"/>
    <n v="157.1"/>
    <n v="160.69999999999999"/>
    <n v="167.2"/>
    <n v="160.4"/>
    <n v="162.80000000000001"/>
    <n v="163.19999999999999"/>
    <n v="4089.8709677419347"/>
    <n v="651.1"/>
    <n v="327.10000000000002"/>
    <n v="299.57096774193565"/>
    <n v="2322.1"/>
    <x v="285"/>
    <n v="149.78548387096782"/>
    <n v="165.8642857142857"/>
  </r>
  <r>
    <x v="1"/>
    <x v="8"/>
    <x v="6"/>
    <s v="Jul-21"/>
    <d v="2021-07-01T00:00:00"/>
    <x v="1"/>
    <n v="149.1"/>
    <n v="210.9"/>
    <n v="185"/>
    <n v="158.19999999999999"/>
    <n v="170.6"/>
    <n v="170.9"/>
    <x v="261"/>
    <n v="164.7"/>
    <n v="115.7"/>
    <n v="165.5"/>
    <n v="153.4"/>
    <n v="173.5"/>
    <n v="167.9"/>
    <n v="195.5"/>
    <n v="157.9"/>
    <n v="141.9"/>
    <n v="155.5"/>
    <n v="161.5"/>
    <n v="157.69999999999999"/>
    <n v="150.69999999999999"/>
    <n v="161.5"/>
    <n v="149.5"/>
    <n v="151.19999999999999"/>
    <n v="160.30000000000001"/>
    <n v="159.6"/>
    <n v="155"/>
    <n v="161.80000000000001"/>
    <n v="4074.1"/>
    <n v="626.1"/>
    <n v="299.8"/>
    <n v="312.2"/>
    <n v="2367.3000000000002"/>
    <x v="286"/>
    <n v="156.1"/>
    <n v="169.09285714285716"/>
  </r>
  <r>
    <x v="2"/>
    <x v="8"/>
    <x v="6"/>
    <s v="Jul-21"/>
    <d v="2021-07-01T00:00:00"/>
    <x v="1"/>
    <n v="146.4"/>
    <n v="206.8"/>
    <n v="182.2"/>
    <n v="157.5"/>
    <n v="182.1"/>
    <n v="163.9"/>
    <x v="262"/>
    <n v="164"/>
    <n v="114.5"/>
    <n v="168.3"/>
    <n v="160.9"/>
    <n v="172.2"/>
    <n v="164"/>
    <n v="191.2"/>
    <n v="162.80000000000001"/>
    <n v="153.1"/>
    <n v="161.4"/>
    <n v="161.5"/>
    <n v="160.69999999999999"/>
    <n v="155.80000000000001"/>
    <n v="167"/>
    <n v="153.1"/>
    <n v="155.30000000000001"/>
    <n v="163.19999999999999"/>
    <n v="160.1"/>
    <n v="159"/>
    <n v="162.5"/>
    <n v="4089.8"/>
    <n v="637.6"/>
    <n v="315.89999999999998"/>
    <n v="317.3"/>
    <n v="2338.1999999999998"/>
    <x v="287"/>
    <n v="158.65"/>
    <n v="167.01428571428571"/>
  </r>
  <r>
    <x v="0"/>
    <x v="8"/>
    <x v="7"/>
    <s v="Aug-21"/>
    <d v="2021-08-01T00:00:00"/>
    <x v="1"/>
    <n v="144.9"/>
    <n v="202.3"/>
    <n v="176.5"/>
    <n v="157.5"/>
    <n v="190.9"/>
    <n v="155.69999999999999"/>
    <x v="263"/>
    <n v="162.80000000000001"/>
    <n v="115.2"/>
    <n v="169.8"/>
    <n v="167.6"/>
    <n v="171.9"/>
    <n v="161.80000000000001"/>
    <n v="190.2"/>
    <n v="167"/>
    <n v="162.6"/>
    <n v="166.3"/>
    <n v="139.27096774193564"/>
    <n v="163.1"/>
    <n v="160.9"/>
    <n v="171.1"/>
    <n v="157.69999999999999"/>
    <n v="161.1"/>
    <n v="167.5"/>
    <n v="160.30000000000001"/>
    <n v="163.30000000000001"/>
    <n v="163.6"/>
    <n v="4094.8709677419361"/>
    <n v="652.20000000000005"/>
    <n v="329.6"/>
    <n v="300.17096774193567"/>
    <n v="2321"/>
    <x v="288"/>
    <n v="150.08548387096783"/>
    <n v="165.78571428571428"/>
  </r>
  <r>
    <x v="1"/>
    <x v="8"/>
    <x v="7"/>
    <s v="Aug-21"/>
    <d v="2021-08-01T00:00:00"/>
    <x v="1"/>
    <n v="149.30000000000001"/>
    <n v="207.4"/>
    <n v="174.1"/>
    <n v="159.19999999999999"/>
    <n v="175"/>
    <n v="161.30000000000001"/>
    <x v="264"/>
    <n v="164.5"/>
    <n v="120.4"/>
    <n v="166.2"/>
    <n v="154.80000000000001"/>
    <n v="175.1"/>
    <n v="167.3"/>
    <n v="196.5"/>
    <n v="159.80000000000001"/>
    <n v="143.6"/>
    <n v="157.30000000000001"/>
    <n v="162.1"/>
    <n v="160.69999999999999"/>
    <n v="153.19999999999999"/>
    <n v="162.80000000000001"/>
    <n v="150.4"/>
    <n v="153.69999999999999"/>
    <n v="160.4"/>
    <n v="159.6"/>
    <n v="156"/>
    <n v="162.30000000000001"/>
    <n v="4076.7000000000003"/>
    <n v="629.70000000000005"/>
    <n v="303.39999999999998"/>
    <n v="315.29999999999995"/>
    <n v="2354.4"/>
    <x v="289"/>
    <n v="157.64999999999998"/>
    <n v="168.17142857142858"/>
  </r>
  <r>
    <x v="2"/>
    <x v="8"/>
    <x v="7"/>
    <s v="Aug-21"/>
    <d v="2021-08-01T00:00:00"/>
    <x v="1"/>
    <n v="146.6"/>
    <n v="204"/>
    <n v="172.8"/>
    <n v="158.4"/>
    <n v="188"/>
    <n v="156.80000000000001"/>
    <x v="94"/>
    <n v="164.1"/>
    <n v="119.7"/>
    <n v="168.8"/>
    <n v="162.69999999999999"/>
    <n v="173.9"/>
    <n v="164"/>
    <n v="192.1"/>
    <n v="164.5"/>
    <n v="155.30000000000001"/>
    <n v="163.19999999999999"/>
    <n v="162.1"/>
    <n v="162.6"/>
    <n v="157.5"/>
    <n v="168.4"/>
    <n v="154"/>
    <n v="157.6"/>
    <n v="163.80000000000001"/>
    <n v="160"/>
    <n v="160"/>
    <n v="163.19999999999999"/>
    <n v="4099.8999999999996"/>
    <n v="641.4"/>
    <n v="319.8"/>
    <n v="319.60000000000002"/>
    <n v="2334.1"/>
    <x v="290"/>
    <n v="159.80000000000001"/>
    <n v="166.72142857142856"/>
  </r>
  <r>
    <x v="0"/>
    <x v="8"/>
    <x v="8"/>
    <s v="Sep-21"/>
    <d v="2021-09-01T00:00:00"/>
    <x v="1"/>
    <n v="145.4"/>
    <n v="202.1"/>
    <n v="172"/>
    <n v="158"/>
    <n v="195.5"/>
    <n v="152.69999999999999"/>
    <x v="113"/>
    <n v="163.9"/>
    <n v="119.3"/>
    <n v="170.1"/>
    <n v="168.3"/>
    <n v="172.8"/>
    <n v="162.1"/>
    <n v="190.5"/>
    <n v="167.7"/>
    <n v="163.6"/>
    <n v="167.1"/>
    <n v="139.27096774193564"/>
    <n v="163.69999999999999"/>
    <n v="161.30000000000001"/>
    <n v="171.9"/>
    <n v="157.80000000000001"/>
    <n v="162.69999999999999"/>
    <n v="168.5"/>
    <n v="160.19999999999999"/>
    <n v="163.80000000000001"/>
    <n v="164"/>
    <n v="4104.5709677419363"/>
    <n v="655.20000000000005"/>
    <n v="331.29999999999995"/>
    <n v="300.57096774193565"/>
    <n v="2324.1"/>
    <x v="291"/>
    <n v="150.28548387096782"/>
    <n v="166.00714285714284"/>
  </r>
  <r>
    <x v="1"/>
    <x v="8"/>
    <x v="8"/>
    <s v="Sep-21"/>
    <d v="2021-09-01T00:00:00"/>
    <x v="1"/>
    <n v="149.30000000000001"/>
    <n v="207.4"/>
    <n v="174.1"/>
    <n v="159.1"/>
    <n v="175"/>
    <n v="161.19999999999999"/>
    <x v="26"/>
    <n v="164.5"/>
    <n v="120.4"/>
    <n v="166.2"/>
    <n v="154.80000000000001"/>
    <n v="175.1"/>
    <n v="167.3"/>
    <n v="196.5"/>
    <n v="159.80000000000001"/>
    <n v="143.6"/>
    <n v="157.4"/>
    <n v="162.1"/>
    <n v="160.80000000000001"/>
    <n v="153.30000000000001"/>
    <n v="162.80000000000001"/>
    <n v="150.5"/>
    <n v="153.9"/>
    <n v="160.30000000000001"/>
    <n v="159.6"/>
    <n v="156"/>
    <n v="162.30000000000001"/>
    <n v="4077.1"/>
    <n v="629.80000000000007"/>
    <n v="303.39999999999998"/>
    <n v="315.39999999999998"/>
    <n v="2354.4"/>
    <x v="292"/>
    <n v="157.69999999999999"/>
    <n v="168.17142857142858"/>
  </r>
  <r>
    <x v="2"/>
    <x v="8"/>
    <x v="8"/>
    <s v="Sep-21"/>
    <d v="2021-09-01T00:00:00"/>
    <x v="1"/>
    <n v="146.6"/>
    <n v="204"/>
    <n v="172.8"/>
    <n v="158.4"/>
    <n v="188"/>
    <n v="156.69999999999999"/>
    <x v="265"/>
    <n v="164.1"/>
    <n v="119.7"/>
    <n v="168.8"/>
    <n v="162.69999999999999"/>
    <n v="173.9"/>
    <n v="164"/>
    <n v="192.1"/>
    <n v="164.6"/>
    <n v="155.30000000000001"/>
    <n v="163.30000000000001"/>
    <n v="162.1"/>
    <n v="162.6"/>
    <n v="157.5"/>
    <n v="168.4"/>
    <n v="154"/>
    <n v="157.69999999999999"/>
    <n v="163.69999999999999"/>
    <n v="160"/>
    <n v="160"/>
    <n v="163.19999999999999"/>
    <n v="4099.9999999999991"/>
    <n v="641.4"/>
    <n v="319.89999999999998"/>
    <n v="319.60000000000002"/>
    <n v="2334.1"/>
    <x v="290"/>
    <n v="159.80000000000001"/>
    <n v="166.72142857142856"/>
  </r>
  <r>
    <x v="0"/>
    <x v="8"/>
    <x v="9"/>
    <s v="Oct-21"/>
    <d v="2021-10-01T00:00:00"/>
    <x v="1"/>
    <n v="146.1"/>
    <n v="202.5"/>
    <n v="170.1"/>
    <n v="158.4"/>
    <n v="198.8"/>
    <n v="152.6"/>
    <x v="266"/>
    <n v="165.2"/>
    <n v="121.6"/>
    <n v="170.6"/>
    <n v="168.8"/>
    <n v="173.6"/>
    <n v="165.5"/>
    <n v="191.2"/>
    <n v="168.9"/>
    <n v="164.8"/>
    <n v="168.3"/>
    <n v="139.27096774193564"/>
    <n v="165.5"/>
    <n v="162"/>
    <n v="172.5"/>
    <n v="159.5"/>
    <n v="163.19999999999999"/>
    <n v="169"/>
    <n v="161.1"/>
    <n v="164.7"/>
    <n v="166.3"/>
    <n v="4145.8709677419356"/>
    <n v="658"/>
    <n v="333.70000000000005"/>
    <n v="301.27096774193564"/>
    <n v="2355.3999999999996"/>
    <x v="293"/>
    <n v="150.63548387096782"/>
    <n v="168.2428571428571"/>
  </r>
  <r>
    <x v="1"/>
    <x v="8"/>
    <x v="9"/>
    <s v="Oct-21"/>
    <d v="2021-10-01T00:00:00"/>
    <x v="1"/>
    <n v="150.1"/>
    <n v="208.4"/>
    <n v="173"/>
    <n v="159.19999999999999"/>
    <n v="176.6"/>
    <n v="159.30000000000001"/>
    <x v="267"/>
    <n v="165.3"/>
    <n v="122.5"/>
    <n v="166.8"/>
    <n v="155.4"/>
    <n v="175.9"/>
    <n v="171.5"/>
    <n v="197"/>
    <n v="160.80000000000001"/>
    <n v="144.4"/>
    <n v="158.30000000000001"/>
    <n v="163.6"/>
    <n v="162.19999999999999"/>
    <n v="154.30000000000001"/>
    <n v="163.5"/>
    <n v="152.19999999999999"/>
    <n v="155.1"/>
    <n v="160.30000000000001"/>
    <n v="160.30000000000001"/>
    <n v="157"/>
    <n v="164.6"/>
    <n v="4129.1000000000004"/>
    <n v="632.70000000000005"/>
    <n v="305.20000000000005"/>
    <n v="317.89999999999998"/>
    <n v="2395.4000000000005"/>
    <x v="294"/>
    <n v="158.94999999999999"/>
    <n v="171.10000000000005"/>
  </r>
  <r>
    <x v="2"/>
    <x v="8"/>
    <x v="9"/>
    <s v="Oct-21"/>
    <d v="2021-10-01T00:00:00"/>
    <x v="1"/>
    <n v="147.4"/>
    <n v="204.6"/>
    <n v="171.2"/>
    <n v="158.69999999999999"/>
    <n v="190.6"/>
    <n v="155.69999999999999"/>
    <x v="268"/>
    <n v="165.2"/>
    <n v="121.9"/>
    <n v="169.3"/>
    <n v="163.19999999999999"/>
    <n v="174.7"/>
    <n v="167.7"/>
    <n v="192.7"/>
    <n v="165.7"/>
    <n v="156.30000000000001"/>
    <n v="164.3"/>
    <n v="163.6"/>
    <n v="164.2"/>
    <n v="158.4"/>
    <n v="169.1"/>
    <n v="155.69999999999999"/>
    <n v="158.6"/>
    <n v="163.9"/>
    <n v="160.80000000000001"/>
    <n v="161"/>
    <n v="165.5"/>
    <n v="4145.4999999999991"/>
    <n v="644.30000000000007"/>
    <n v="322"/>
    <n v="322"/>
    <n v="2368.1999999999998"/>
    <x v="295"/>
    <n v="161"/>
    <n v="169.15714285714284"/>
  </r>
  <r>
    <x v="0"/>
    <x v="8"/>
    <x v="11"/>
    <s v="Nov-21"/>
    <d v="2021-11-01T00:00:00"/>
    <x v="1"/>
    <n v="146.9"/>
    <n v="199.8"/>
    <n v="171.5"/>
    <n v="159.1"/>
    <n v="198.4"/>
    <n v="153.19999999999999"/>
    <x v="269"/>
    <n v="165.4"/>
    <n v="122.1"/>
    <n v="170.8"/>
    <n v="169.1"/>
    <n v="174.3"/>
    <n v="167.5"/>
    <n v="191.4"/>
    <n v="170.4"/>
    <n v="166"/>
    <n v="169.8"/>
    <n v="139.27096774193564"/>
    <n v="165.3"/>
    <n v="162.9"/>
    <n v="173.4"/>
    <n v="158.9"/>
    <n v="163.80000000000001"/>
    <n v="169.3"/>
    <n v="162.4"/>
    <n v="165.2"/>
    <n v="167.6"/>
    <n v="4170.2709677419361"/>
    <n v="660.7"/>
    <n v="336.4"/>
    <n v="302.17096774193567"/>
    <n v="2373.4"/>
    <x v="296"/>
    <n v="151.08548387096783"/>
    <n v="169.52857142857144"/>
  </r>
  <r>
    <x v="1"/>
    <x v="8"/>
    <x v="11"/>
    <s v="Nov-21"/>
    <d v="2021-11-01T00:00:00"/>
    <x v="1"/>
    <n v="151"/>
    <n v="204.9"/>
    <n v="175.4"/>
    <n v="159.6"/>
    <n v="175.8"/>
    <n v="160.30000000000001"/>
    <x v="270"/>
    <n v="165.1"/>
    <n v="123.1"/>
    <n v="167.2"/>
    <n v="156.1"/>
    <n v="176.8"/>
    <n v="173.5"/>
    <n v="197"/>
    <n v="162.30000000000001"/>
    <n v="145.30000000000001"/>
    <n v="159.69999999999999"/>
    <n v="164.2"/>
    <n v="161.6"/>
    <n v="155.19999999999999"/>
    <n v="164.2"/>
    <n v="151.19999999999999"/>
    <n v="156.69999999999999"/>
    <n v="160.80000000000001"/>
    <n v="161.80000000000001"/>
    <n v="157.30000000000001"/>
    <n v="165.6"/>
    <n v="4155.5"/>
    <n v="636.6"/>
    <n v="307.60000000000002"/>
    <n v="319.39999999999998"/>
    <n v="2414.8999999999996"/>
    <x v="297"/>
    <n v="159.69999999999999"/>
    <n v="172.4928571428571"/>
  </r>
  <r>
    <x v="2"/>
    <x v="8"/>
    <x v="11"/>
    <s v="Nov-21"/>
    <d v="2021-11-01T00:00:00"/>
    <x v="1"/>
    <n v="148.19999999999999"/>
    <n v="201.6"/>
    <n v="173"/>
    <n v="159.30000000000001"/>
    <n v="190.1"/>
    <n v="156.5"/>
    <x v="271"/>
    <n v="165.3"/>
    <n v="122.4"/>
    <n v="169.6"/>
    <n v="163.69999999999999"/>
    <n v="175.5"/>
    <n v="169.7"/>
    <n v="192.9"/>
    <n v="167.2"/>
    <n v="157.4"/>
    <n v="165.8"/>
    <n v="164.2"/>
    <n v="163.9"/>
    <n v="159.30000000000001"/>
    <n v="169.9"/>
    <n v="154.80000000000001"/>
    <n v="159.80000000000001"/>
    <n v="164.3"/>
    <n v="162.19999999999999"/>
    <n v="161.4"/>
    <n v="166.7"/>
    <n v="4171.3999999999996"/>
    <n v="647.70000000000005"/>
    <n v="324.60000000000002"/>
    <n v="323.5"/>
    <n v="2387"/>
    <x v="298"/>
    <n v="161.75"/>
    <n v="170.5"/>
  </r>
  <r>
    <x v="0"/>
    <x v="8"/>
    <x v="12"/>
    <s v="Dec-21"/>
    <d v="2021-12-01T00:00:00"/>
    <x v="1"/>
    <n v="147.4"/>
    <n v="197"/>
    <n v="176.5"/>
    <n v="159.80000000000001"/>
    <n v="195.8"/>
    <n v="152"/>
    <x v="272"/>
    <n v="164.5"/>
    <n v="120.6"/>
    <n v="171.7"/>
    <n v="169.7"/>
    <n v="175.1"/>
    <n v="165.8"/>
    <n v="190.8"/>
    <n v="171.8"/>
    <n v="167.3"/>
    <n v="171.2"/>
    <n v="139.27096774193564"/>
    <n v="165.6"/>
    <n v="163.9"/>
    <n v="174"/>
    <n v="160.1"/>
    <n v="164.5"/>
    <n v="169.7"/>
    <n v="162.80000000000001"/>
    <n v="166"/>
    <n v="167"/>
    <n v="4163.970967741936"/>
    <n v="663"/>
    <n v="339.1"/>
    <n v="303.17096774193567"/>
    <n v="2359"/>
    <x v="299"/>
    <n v="151.58548387096783"/>
    <n v="168.5"/>
  </r>
  <r>
    <x v="1"/>
    <x v="8"/>
    <x v="12"/>
    <s v="Dec-21"/>
    <d v="2021-12-01T00:00:00"/>
    <x v="1"/>
    <n v="151.6"/>
    <n v="202.2"/>
    <n v="180"/>
    <n v="160"/>
    <n v="173.5"/>
    <n v="158.30000000000001"/>
    <x v="273"/>
    <n v="164.2"/>
    <n v="121.9"/>
    <n v="168.2"/>
    <n v="156.5"/>
    <n v="178.2"/>
    <n v="172.2"/>
    <n v="196.8"/>
    <n v="163.30000000000001"/>
    <n v="146.69999999999999"/>
    <n v="160.69999999999999"/>
    <n v="163.4"/>
    <n v="161.69999999999999"/>
    <n v="156"/>
    <n v="165.1"/>
    <n v="151.80000000000001"/>
    <n v="157.6"/>
    <n v="160.6"/>
    <n v="162.4"/>
    <n v="157.80000000000001"/>
    <n v="165.2"/>
    <n v="4149.5"/>
    <n v="638.40000000000009"/>
    <n v="310"/>
    <n v="319.39999999999998"/>
    <n v="2403.1000000000004"/>
    <x v="300"/>
    <n v="159.69999999999999"/>
    <n v="171.65000000000003"/>
  </r>
  <r>
    <x v="2"/>
    <x v="8"/>
    <x v="12"/>
    <s v="Dec-21"/>
    <d v="2021-12-01T00:00:00"/>
    <x v="1"/>
    <n v="148.69999999999999"/>
    <n v="198.8"/>
    <n v="177.9"/>
    <n v="159.9"/>
    <n v="187.6"/>
    <n v="154.9"/>
    <x v="274"/>
    <n v="164.4"/>
    <n v="121"/>
    <n v="170.5"/>
    <n v="164.2"/>
    <n v="176.5"/>
    <n v="168.2"/>
    <n v="192.4"/>
    <n v="168.5"/>
    <n v="158.69999999999999"/>
    <n v="167"/>
    <n v="163.4"/>
    <n v="164.1"/>
    <n v="160.19999999999999"/>
    <n v="170.6"/>
    <n v="155.69999999999999"/>
    <n v="160.6"/>
    <n v="164.4"/>
    <n v="162.6"/>
    <n v="162"/>
    <n v="166.2"/>
    <n v="4164.1000000000004"/>
    <n v="649.6"/>
    <n v="327.2"/>
    <n v="323.60000000000002"/>
    <n v="2373.3000000000002"/>
    <x v="301"/>
    <n v="161.80000000000001"/>
    <n v="169.52142857142857"/>
  </r>
  <r>
    <x v="0"/>
    <x v="9"/>
    <x v="0"/>
    <s v="Jan-22"/>
    <d v="2022-01-01T00:00:00"/>
    <x v="1"/>
    <n v="148.30000000000001"/>
    <n v="196.9"/>
    <n v="178"/>
    <n v="160.5"/>
    <n v="192.6"/>
    <n v="151.19999999999999"/>
    <x v="180"/>
    <n v="164"/>
    <n v="119.3"/>
    <n v="173.3"/>
    <n v="169.8"/>
    <n v="175.8"/>
    <n v="164.1"/>
    <n v="190.7"/>
    <n v="173.2"/>
    <n v="169.3"/>
    <n v="172.7"/>
    <n v="139.27096774193564"/>
    <n v="165.8"/>
    <n v="164.9"/>
    <n v="174.7"/>
    <n v="160.80000000000001"/>
    <n v="164.9"/>
    <n v="169.9"/>
    <n v="163.19999999999999"/>
    <n v="166.6"/>
    <n v="166.4"/>
    <n v="4156.2709677419352"/>
    <n v="664.59999999999991"/>
    <n v="342.5"/>
    <n v="304.17096774193567"/>
    <n v="2343.6999999999998"/>
    <x v="302"/>
    <n v="152.08548387096783"/>
    <n v="167.40714285714284"/>
  </r>
  <r>
    <x v="1"/>
    <x v="9"/>
    <x v="0"/>
    <s v="Jan-22"/>
    <d v="2022-01-01T00:00:00"/>
    <x v="1"/>
    <n v="152.19999999999999"/>
    <n v="202.1"/>
    <n v="180.1"/>
    <n v="160.4"/>
    <n v="171"/>
    <n v="156.5"/>
    <x v="275"/>
    <n v="163.80000000000001"/>
    <n v="121.3"/>
    <n v="169.8"/>
    <n v="156.6"/>
    <n v="179"/>
    <n v="170.3"/>
    <n v="196.4"/>
    <n v="164.7"/>
    <n v="148.5"/>
    <n v="162.19999999999999"/>
    <n v="164.5"/>
    <n v="161.6"/>
    <n v="156.80000000000001"/>
    <n v="166.1"/>
    <n v="152.69999999999999"/>
    <n v="158.4"/>
    <n v="161"/>
    <n v="162.80000000000001"/>
    <n v="158.6"/>
    <n v="165"/>
    <n v="4138.8"/>
    <n v="640.79999999999995"/>
    <n v="313.2"/>
    <n v="321.3"/>
    <n v="2383.1"/>
    <x v="303"/>
    <n v="160.65"/>
    <n v="170.22142857142856"/>
  </r>
  <r>
    <x v="2"/>
    <x v="9"/>
    <x v="0"/>
    <s v="Jan-22"/>
    <d v="2022-01-01T00:00:00"/>
    <x v="1"/>
    <n v="149.5"/>
    <n v="198.7"/>
    <n v="178.8"/>
    <n v="160.5"/>
    <n v="184.7"/>
    <n v="153.69999999999999"/>
    <x v="24"/>
    <n v="163.9"/>
    <n v="120"/>
    <n v="172.1"/>
    <n v="164.3"/>
    <n v="177.3"/>
    <n v="166.4"/>
    <n v="192.2"/>
    <n v="169.9"/>
    <n v="160.69999999999999"/>
    <n v="168.5"/>
    <n v="164.5"/>
    <n v="164.2"/>
    <n v="161.1"/>
    <n v="171.4"/>
    <n v="156.5"/>
    <n v="161.19999999999999"/>
    <n v="164.7"/>
    <n v="163"/>
    <n v="162.69999999999999"/>
    <n v="165.7"/>
    <n v="4156.3"/>
    <n v="651.59999999999991"/>
    <n v="330.6"/>
    <n v="325.60000000000002"/>
    <n v="2356.3999999999996"/>
    <x v="304"/>
    <n v="162.80000000000001"/>
    <n v="168.31428571428569"/>
  </r>
  <r>
    <x v="0"/>
    <x v="9"/>
    <x v="1"/>
    <s v="Feb-22"/>
    <d v="2022-02-01T00:00:00"/>
    <x v="1"/>
    <n v="148.80000000000001"/>
    <n v="198.1"/>
    <n v="175.5"/>
    <n v="160.69999999999999"/>
    <n v="192.6"/>
    <n v="151.4"/>
    <x v="97"/>
    <n v="163.9"/>
    <n v="118.1"/>
    <n v="175.4"/>
    <n v="170.5"/>
    <n v="176.3"/>
    <n v="163.9"/>
    <n v="191.5"/>
    <n v="174.1"/>
    <n v="171"/>
    <n v="173.7"/>
    <n v="139.27096774193564"/>
    <n v="167.4"/>
    <n v="165.7"/>
    <n v="175.3"/>
    <n v="161.19999999999999"/>
    <n v="165.5"/>
    <n v="170.3"/>
    <n v="164.5"/>
    <n v="167.3"/>
    <n v="166.7"/>
    <n v="4163.470967741936"/>
    <n v="667.6"/>
    <n v="345.1"/>
    <n v="304.97096774193562"/>
    <n v="2341.9"/>
    <x v="305"/>
    <n v="152.48548387096781"/>
    <n v="167.27857142857144"/>
  </r>
  <r>
    <x v="1"/>
    <x v="9"/>
    <x v="1"/>
    <s v="Feb-22"/>
    <d v="2022-02-01T00:00:00"/>
    <x v="1"/>
    <n v="152.5"/>
    <n v="205.2"/>
    <n v="176.4"/>
    <n v="160.6"/>
    <n v="171.5"/>
    <n v="156.4"/>
    <x v="276"/>
    <n v="163.19999999999999"/>
    <n v="120.6"/>
    <n v="172.2"/>
    <n v="156.69999999999999"/>
    <n v="180"/>
    <n v="170.2"/>
    <n v="196.5"/>
    <n v="165.7"/>
    <n v="150.4"/>
    <n v="163.4"/>
    <n v="165.5"/>
    <n v="163"/>
    <n v="157.4"/>
    <n v="167.2"/>
    <n v="153.1"/>
    <n v="159.5"/>
    <n v="162"/>
    <n v="164.2"/>
    <n v="159.4"/>
    <n v="165.5"/>
    <n v="4147.3999999999987"/>
    <n v="645.1"/>
    <n v="316.10000000000002"/>
    <n v="322.89999999999998"/>
    <n v="2380"/>
    <x v="306"/>
    <n v="161.44999999999999"/>
    <n v="170"/>
  </r>
  <r>
    <x v="2"/>
    <x v="9"/>
    <x v="1"/>
    <s v="Feb-22"/>
    <d v="2022-02-01T00:00:00"/>
    <x v="1"/>
    <n v="150"/>
    <n v="200.6"/>
    <n v="175.8"/>
    <n v="160.69999999999999"/>
    <n v="184.9"/>
    <n v="153.69999999999999"/>
    <x v="277"/>
    <n v="163.69999999999999"/>
    <n v="118.9"/>
    <n v="174.3"/>
    <n v="164.7"/>
    <n v="178"/>
    <n v="166.2"/>
    <n v="192.8"/>
    <n v="170.8"/>
    <n v="162.4"/>
    <n v="169.6"/>
    <n v="165.5"/>
    <n v="165.7"/>
    <n v="161.80000000000001"/>
    <n v="172.2"/>
    <n v="156.9"/>
    <n v="162.1"/>
    <n v="165.4"/>
    <n v="164.4"/>
    <n v="163.5"/>
    <n v="166.1"/>
    <n v="4164.7"/>
    <n v="655.4"/>
    <n v="333.20000000000005"/>
    <n v="327.3"/>
    <n v="2354.0000000000005"/>
    <x v="307"/>
    <n v="163.65"/>
    <n v="168.14285714285717"/>
  </r>
  <r>
    <x v="0"/>
    <x v="9"/>
    <x v="2"/>
    <s v="Mar-22"/>
    <d v="2022-03-01T00:00:00"/>
    <x v="1"/>
    <n v="150.19999999999999"/>
    <n v="208"/>
    <n v="167.9"/>
    <n v="162"/>
    <n v="203.1"/>
    <n v="155.9"/>
    <x v="278"/>
    <n v="164.2"/>
    <n v="118.1"/>
    <n v="178.7"/>
    <n v="171.2"/>
    <n v="177.4"/>
    <n v="166.6"/>
    <n v="192.3"/>
    <n v="175.4"/>
    <n v="173.2"/>
    <n v="175.1"/>
    <n v="139.27096774193564"/>
    <n v="168.9"/>
    <n v="166.5"/>
    <n v="176"/>
    <n v="162"/>
    <n v="166.6"/>
    <n v="170.6"/>
    <n v="167.4"/>
    <n v="168.3"/>
    <n v="168.7"/>
    <n v="4205.5709677419354"/>
    <n v="672.90000000000009"/>
    <n v="348.6"/>
    <n v="305.77096774193564"/>
    <n v="2371.4000000000005"/>
    <x v="308"/>
    <n v="152.88548387096782"/>
    <n v="169.38571428571433"/>
  </r>
  <r>
    <x v="1"/>
    <x v="9"/>
    <x v="2"/>
    <s v="Mar-22"/>
    <d v="2022-03-01T00:00:00"/>
    <x v="1"/>
    <n v="153.69999999999999"/>
    <n v="215.8"/>
    <n v="167.7"/>
    <n v="162.6"/>
    <n v="180"/>
    <n v="159.6"/>
    <x v="214"/>
    <n v="163.4"/>
    <n v="120.3"/>
    <n v="174.7"/>
    <n v="157.1"/>
    <n v="181.5"/>
    <n v="171.5"/>
    <n v="197.5"/>
    <n v="167.1"/>
    <n v="152.6"/>
    <n v="164.9"/>
    <n v="165.3"/>
    <n v="164.5"/>
    <n v="158.6"/>
    <n v="168.2"/>
    <n v="154.19999999999999"/>
    <n v="160.80000000000001"/>
    <n v="162.69999999999999"/>
    <n v="166.8"/>
    <n v="160.6"/>
    <n v="166.5"/>
    <n v="4175.2"/>
    <n v="650.9"/>
    <n v="319.7"/>
    <n v="323.89999999999998"/>
    <n v="2393.8000000000002"/>
    <x v="309"/>
    <n v="161.94999999999999"/>
    <n v="170.98571428571429"/>
  </r>
  <r>
    <x v="2"/>
    <x v="9"/>
    <x v="2"/>
    <s v="Mar-22"/>
    <d v="2022-03-01T00:00:00"/>
    <x v="1"/>
    <n v="151.30000000000001"/>
    <n v="210.7"/>
    <n v="167.8"/>
    <n v="162.19999999999999"/>
    <n v="194.6"/>
    <n v="157.6"/>
    <x v="279"/>
    <n v="163.9"/>
    <n v="118.8"/>
    <n v="177.4"/>
    <n v="165.3"/>
    <n v="179.3"/>
    <n v="168.4"/>
    <n v="193.7"/>
    <n v="172.1"/>
    <n v="164.6"/>
    <n v="171.1"/>
    <n v="165.3"/>
    <n v="167.2"/>
    <n v="162.80000000000001"/>
    <n v="173"/>
    <n v="157.9"/>
    <n v="163.30000000000001"/>
    <n v="166"/>
    <n v="167.2"/>
    <n v="164.6"/>
    <n v="167.7"/>
    <n v="4201.9000000000005"/>
    <n v="661.09999999999991"/>
    <n v="336.7"/>
    <n v="328.1"/>
    <n v="2377.9"/>
    <x v="310"/>
    <n v="164.05"/>
    <n v="169.85"/>
  </r>
  <r>
    <x v="0"/>
    <x v="9"/>
    <x v="3"/>
    <s v="Apr-22"/>
    <d v="2022-04-01T00:00:00"/>
    <x v="1"/>
    <n v="151.80000000000001"/>
    <n v="209.7"/>
    <n v="164.5"/>
    <n v="163.80000000000001"/>
    <n v="207.4"/>
    <n v="169.7"/>
    <x v="89"/>
    <n v="165.1"/>
    <n v="118.2"/>
    <n v="182.9"/>
    <n v="172.4"/>
    <n v="178.9"/>
    <n v="168.6"/>
    <n v="192.8"/>
    <n v="177.5"/>
    <n v="175.1"/>
    <n v="177.1"/>
    <n v="139.27096774193564"/>
    <n v="173.3"/>
    <n v="167.7"/>
    <n v="177"/>
    <n v="166.2"/>
    <n v="167.2"/>
    <n v="170.9"/>
    <n v="169"/>
    <n v="170.2"/>
    <n v="170.8"/>
    <n v="4252.7709677419361"/>
    <n v="677.3"/>
    <n v="352.6"/>
    <n v="306.97096774193562"/>
    <n v="2399.4"/>
    <x v="311"/>
    <n v="153.48548387096781"/>
    <n v="171.3857142857143"/>
  </r>
  <r>
    <x v="1"/>
    <x v="9"/>
    <x v="3"/>
    <s v="Apr-22"/>
    <d v="2022-04-01T00:00:00"/>
    <x v="1"/>
    <n v="155.4"/>
    <n v="215.8"/>
    <n v="164.6"/>
    <n v="164.2"/>
    <n v="186"/>
    <n v="175.9"/>
    <x v="280"/>
    <n v="164"/>
    <n v="120.5"/>
    <n v="178"/>
    <n v="157.5"/>
    <n v="183.3"/>
    <n v="174.5"/>
    <n v="197.1"/>
    <n v="168.4"/>
    <n v="154.5"/>
    <n v="166.3"/>
    <n v="167"/>
    <n v="170.5"/>
    <n v="159.80000000000001"/>
    <n v="169"/>
    <n v="159.30000000000001"/>
    <n v="162.19999999999999"/>
    <n v="164"/>
    <n v="168.4"/>
    <n v="163.1"/>
    <n v="169.2"/>
    <n v="4233.7"/>
    <n v="657.7"/>
    <n v="322.89999999999998"/>
    <n v="326.8"/>
    <n v="2427.5"/>
    <x v="312"/>
    <n v="163.4"/>
    <n v="173.39285714285714"/>
  </r>
  <r>
    <x v="2"/>
    <x v="9"/>
    <x v="3"/>
    <s v="Apr-22"/>
    <d v="2022-04-01T00:00:00"/>
    <x v="1"/>
    <n v="152.9"/>
    <n v="211.8"/>
    <n v="164.5"/>
    <n v="163.9"/>
    <n v="199.5"/>
    <n v="172.6"/>
    <x v="281"/>
    <n v="164.7"/>
    <n v="119"/>
    <n v="181.3"/>
    <n v="166.2"/>
    <n v="180.9"/>
    <n v="170.8"/>
    <n v="193.9"/>
    <n v="173.9"/>
    <n v="166.5"/>
    <n v="172.8"/>
    <n v="167"/>
    <n v="172.2"/>
    <n v="164"/>
    <n v="174"/>
    <n v="162.6"/>
    <n v="164.4"/>
    <n v="166.9"/>
    <n v="168.8"/>
    <n v="166.8"/>
    <n v="170.1"/>
    <n v="4255.3"/>
    <n v="666.9"/>
    <n v="340.4"/>
    <n v="331"/>
    <n v="2408.2000000000003"/>
    <x v="313"/>
    <n v="165.5"/>
    <n v="172.01428571428573"/>
  </r>
  <r>
    <x v="0"/>
    <x v="9"/>
    <x v="4"/>
    <s v="May-22"/>
    <d v="2022-05-01T00:00:00"/>
    <x v="1"/>
    <n v="152.9"/>
    <n v="214.7"/>
    <n v="161.4"/>
    <n v="164.6"/>
    <n v="209.9"/>
    <n v="168"/>
    <x v="96"/>
    <n v="165"/>
    <n v="118.9"/>
    <n v="186.6"/>
    <n v="173.2"/>
    <n v="180.4"/>
    <n v="170.8"/>
    <n v="192.9"/>
    <n v="179.3"/>
    <n v="177.2"/>
    <n v="179"/>
    <n v="139.27096774193564"/>
    <n v="175.3"/>
    <n v="168.9"/>
    <n v="177.7"/>
    <n v="167.1"/>
    <n v="167.6"/>
    <n v="171.8"/>
    <n v="168.5"/>
    <n v="170.9"/>
    <n v="172.5"/>
    <n v="4283.2709677419361"/>
    <n v="678.8"/>
    <n v="356.5"/>
    <n v="308.17096774193567"/>
    <n v="2419.7000000000003"/>
    <x v="314"/>
    <n v="154.08548387096783"/>
    <n v="172.83571428571432"/>
  </r>
  <r>
    <x v="1"/>
    <x v="9"/>
    <x v="4"/>
    <s v="May-22"/>
    <d v="2022-05-01T00:00:00"/>
    <x v="1"/>
    <n v="156.69999999999999"/>
    <n v="221.2"/>
    <n v="164.1"/>
    <n v="165.4"/>
    <n v="189.5"/>
    <n v="174.5"/>
    <x v="282"/>
    <n v="164.1"/>
    <n v="121.2"/>
    <n v="181.4"/>
    <n v="158.5"/>
    <n v="184.9"/>
    <n v="177.5"/>
    <n v="197.5"/>
    <n v="170"/>
    <n v="155.9"/>
    <n v="167.8"/>
    <n v="167.5"/>
    <n v="173.5"/>
    <n v="161.1"/>
    <n v="170.1"/>
    <n v="159.4"/>
    <n v="163.19999999999999"/>
    <n v="165.2"/>
    <n v="168.2"/>
    <n v="163.80000000000001"/>
    <n v="170.8"/>
    <n v="4277.5999999999995"/>
    <n v="660.4"/>
    <n v="325.89999999999998"/>
    <n v="328.6"/>
    <n v="2459.7000000000003"/>
    <x v="315"/>
    <n v="164.3"/>
    <n v="175.69285714285715"/>
  </r>
  <r>
    <x v="2"/>
    <x v="9"/>
    <x v="4"/>
    <s v="May-22"/>
    <d v="2022-05-01T00:00:00"/>
    <x v="1"/>
    <n v="154.1"/>
    <n v="217"/>
    <n v="162.4"/>
    <n v="164.9"/>
    <n v="202.4"/>
    <n v="171"/>
    <x v="283"/>
    <n v="164.7"/>
    <n v="119.7"/>
    <n v="184.9"/>
    <n v="167.1"/>
    <n v="182.5"/>
    <n v="173.3"/>
    <n v="194.1"/>
    <n v="175.6"/>
    <n v="168.4"/>
    <n v="174.6"/>
    <n v="167.5"/>
    <n v="174.6"/>
    <n v="165.2"/>
    <n v="174.8"/>
    <n v="163"/>
    <n v="165.1"/>
    <n v="167.9"/>
    <n v="168.4"/>
    <n v="167.5"/>
    <n v="171.7"/>
    <n v="4291"/>
    <n v="668.9"/>
    <n v="344"/>
    <n v="332.7"/>
    <n v="2433.0000000000005"/>
    <x v="316"/>
    <n v="166.35"/>
    <n v="173.78571428571431"/>
  </r>
  <r>
    <x v="0"/>
    <x v="9"/>
    <x v="5"/>
    <s v="Jun-22"/>
    <d v="2022-06-01T00:00:00"/>
    <x v="1"/>
    <n v="153.80000000000001"/>
    <n v="217.2"/>
    <n v="169.6"/>
    <n v="165.4"/>
    <n v="208.1"/>
    <n v="165.8"/>
    <x v="284"/>
    <n v="164.6"/>
    <n v="119.1"/>
    <n v="188.9"/>
    <n v="174.2"/>
    <n v="181.9"/>
    <n v="172.4"/>
    <n v="192.9"/>
    <n v="180.7"/>
    <n v="178.7"/>
    <n v="180.4"/>
    <n v="139.27096774193564"/>
    <n v="176.7"/>
    <n v="170.3"/>
    <n v="178.2"/>
    <n v="165.5"/>
    <n v="168"/>
    <n v="172.6"/>
    <n v="169.5"/>
    <n v="171"/>
    <n v="173.6"/>
    <n v="4311.6709677419358"/>
    <n v="681.1"/>
    <n v="359.4"/>
    <n v="309.57096774193565"/>
    <n v="2441.2000000000003"/>
    <x v="317"/>
    <n v="154.78548387096782"/>
    <n v="174.37142857142859"/>
  </r>
  <r>
    <x v="1"/>
    <x v="9"/>
    <x v="5"/>
    <s v="Jun-22"/>
    <d v="2022-06-01T00:00:00"/>
    <x v="1"/>
    <n v="157.5"/>
    <n v="223.4"/>
    <n v="172.8"/>
    <n v="166.4"/>
    <n v="188.6"/>
    <n v="174.1"/>
    <x v="285"/>
    <n v="163.6"/>
    <n v="121.4"/>
    <n v="183.5"/>
    <n v="159.1"/>
    <n v="186.3"/>
    <n v="179.3"/>
    <n v="198.3"/>
    <n v="171.6"/>
    <n v="157.4"/>
    <n v="169.4"/>
    <n v="166.8"/>
    <n v="174.9"/>
    <n v="162.1"/>
    <n v="170.9"/>
    <n v="157.19999999999999"/>
    <n v="164.1"/>
    <n v="166.5"/>
    <n v="169.2"/>
    <n v="163.80000000000001"/>
    <n v="171.4"/>
    <n v="4310.3"/>
    <n v="663.6"/>
    <n v="329"/>
    <n v="328.9"/>
    <n v="2485.8000000000002"/>
    <x v="318"/>
    <n v="164.45"/>
    <n v="177.55714285714288"/>
  </r>
  <r>
    <x v="2"/>
    <x v="9"/>
    <x v="5"/>
    <s v="Jun-22"/>
    <d v="2022-06-01T00:00:00"/>
    <x v="1"/>
    <n v="155"/>
    <n v="219.4"/>
    <n v="170.8"/>
    <n v="165.8"/>
    <n v="200.9"/>
    <n v="169.7"/>
    <x v="286"/>
    <n v="164.3"/>
    <n v="119.9"/>
    <n v="187.1"/>
    <n v="167.9"/>
    <n v="183.9"/>
    <n v="174.9"/>
    <n v="194.3"/>
    <n v="177.1"/>
    <n v="169.9"/>
    <n v="176"/>
    <n v="166.8"/>
    <n v="176"/>
    <n v="166.4"/>
    <n v="175.4"/>
    <n v="161.1"/>
    <n v="165.8"/>
    <n v="169"/>
    <n v="169.4"/>
    <n v="167.5"/>
    <n v="172.6"/>
    <n v="4320.6000000000013"/>
    <n v="671.7"/>
    <n v="347"/>
    <n v="333.20000000000005"/>
    <n v="2456.2000000000003"/>
    <x v="319"/>
    <n v="166.60000000000002"/>
    <n v="175.44285714285715"/>
  </r>
  <r>
    <x v="0"/>
    <x v="9"/>
    <x v="6"/>
    <s v="Jul-22"/>
    <d v="2022-07-01T00:00:00"/>
    <x v="1"/>
    <n v="155.19999999999999"/>
    <n v="210.8"/>
    <n v="174.3"/>
    <n v="166.3"/>
    <n v="202.2"/>
    <n v="169.6"/>
    <x v="58"/>
    <n v="164.4"/>
    <n v="119.2"/>
    <n v="191.8"/>
    <n v="174.5"/>
    <n v="183.1"/>
    <n v="172.5"/>
    <n v="193.2"/>
    <n v="182"/>
    <n v="180.3"/>
    <n v="181.7"/>
    <n v="139.27096774193564"/>
    <n v="179.6"/>
    <n v="171.3"/>
    <n v="178.8"/>
    <n v="166.3"/>
    <n v="168.6"/>
    <n v="174.7"/>
    <n v="169.7"/>
    <n v="171.8"/>
    <n v="174.3"/>
    <n v="4328.0709677419354"/>
    <n v="684.80000000000007"/>
    <n v="362.3"/>
    <n v="310.57096774193565"/>
    <n v="2445.6999999999998"/>
    <x v="320"/>
    <n v="155.28548387096782"/>
    <n v="174.69285714285712"/>
  </r>
  <r>
    <x v="1"/>
    <x v="9"/>
    <x v="6"/>
    <s v="Jul-22"/>
    <d v="2022-07-01T00:00:00"/>
    <x v="1"/>
    <n v="159.30000000000001"/>
    <n v="217.1"/>
    <n v="176.6"/>
    <n v="167.1"/>
    <n v="184.8"/>
    <n v="179.5"/>
    <x v="287"/>
    <n v="164"/>
    <n v="121.5"/>
    <n v="186.3"/>
    <n v="159.80000000000001"/>
    <n v="187.7"/>
    <n v="179.4"/>
    <n v="198.6"/>
    <n v="172.7"/>
    <n v="158.69999999999999"/>
    <n v="170.6"/>
    <n v="167.8"/>
    <n v="179.5"/>
    <n v="163.1"/>
    <n v="171.7"/>
    <n v="157.4"/>
    <n v="164.6"/>
    <n v="169.1"/>
    <n v="169.8"/>
    <n v="164.7"/>
    <n v="172.3"/>
    <n v="4329.3"/>
    <n v="668.2"/>
    <n v="331.4"/>
    <n v="330.9"/>
    <n v="2490.1999999999998"/>
    <x v="321"/>
    <n v="165.45"/>
    <n v="177.87142857142857"/>
  </r>
  <r>
    <x v="2"/>
    <x v="9"/>
    <x v="6"/>
    <s v="Jul-22"/>
    <d v="2022-07-01T00:00:00"/>
    <x v="1"/>
    <n v="156.5"/>
    <n v="213"/>
    <n v="175.2"/>
    <n v="166.6"/>
    <n v="195.8"/>
    <n v="174.2"/>
    <x v="288"/>
    <n v="164.3"/>
    <n v="120"/>
    <n v="190"/>
    <n v="168.4"/>
    <n v="185.2"/>
    <n v="175"/>
    <n v="194.6"/>
    <n v="178.3"/>
    <n v="171.3"/>
    <n v="177.3"/>
    <n v="167.8"/>
    <n v="179.6"/>
    <n v="167.4"/>
    <n v="176.1"/>
    <n v="161.6"/>
    <n v="166.3"/>
    <n v="171.4"/>
    <n v="169.7"/>
    <n v="168.4"/>
    <n v="173.4"/>
    <n v="4338.8"/>
    <n v="675.8"/>
    <n v="349.6"/>
    <n v="335.20000000000005"/>
    <n v="2460.9"/>
    <x v="322"/>
    <n v="167.60000000000002"/>
    <n v="175.77857142857144"/>
  </r>
  <r>
    <x v="0"/>
    <x v="9"/>
    <x v="7"/>
    <s v="Aug-22"/>
    <d v="2022-08-01T00:00:00"/>
    <x v="1"/>
    <n v="159.5"/>
    <n v="204.1"/>
    <n v="168.3"/>
    <n v="167.9"/>
    <n v="198.1"/>
    <n v="169.2"/>
    <x v="289"/>
    <n v="167.1"/>
    <n v="120.2"/>
    <n v="195.6"/>
    <n v="174.8"/>
    <n v="184"/>
    <n v="173.9"/>
    <n v="193.7"/>
    <n v="183.2"/>
    <n v="181.7"/>
    <n v="183"/>
    <n v="139.27096774193564"/>
    <n v="179.1"/>
    <n v="172.3"/>
    <n v="179.4"/>
    <n v="166.6"/>
    <n v="169.3"/>
    <n v="175.7"/>
    <n v="171.1"/>
    <n v="172.6"/>
    <n v="175.3"/>
    <n v="4339.7709677419352"/>
    <n v="688.7"/>
    <n v="364.9"/>
    <n v="311.57096774193565"/>
    <n v="2449.4999999999995"/>
    <x v="323"/>
    <n v="155.78548387096782"/>
    <n v="174.96428571428569"/>
  </r>
  <r>
    <x v="1"/>
    <x v="9"/>
    <x v="7"/>
    <s v="Aug-22"/>
    <d v="2022-08-01T00:00:00"/>
    <x v="1"/>
    <n v="162.1"/>
    <n v="210.9"/>
    <n v="170.6"/>
    <n v="168.4"/>
    <n v="182.5"/>
    <n v="177.1"/>
    <x v="290"/>
    <n v="167.3"/>
    <n v="122.2"/>
    <n v="189.7"/>
    <n v="160.5"/>
    <n v="188.9"/>
    <n v="180.4"/>
    <n v="198.7"/>
    <n v="173.7"/>
    <n v="160"/>
    <n v="171.6"/>
    <n v="169"/>
    <n v="178.4"/>
    <n v="164.2"/>
    <n v="172.6"/>
    <n v="157.69999999999999"/>
    <n v="165.1"/>
    <n v="169.9"/>
    <n v="171.4"/>
    <n v="165.4"/>
    <n v="173.1"/>
    <n v="4339.8"/>
    <n v="671.80000000000007"/>
    <n v="333.7"/>
    <n v="333.2"/>
    <n v="2492.3999999999996"/>
    <x v="324"/>
    <n v="166.6"/>
    <n v="178.02857142857141"/>
  </r>
  <r>
    <x v="2"/>
    <x v="9"/>
    <x v="7"/>
    <s v="Aug-22"/>
    <d v="2022-08-01T00:00:00"/>
    <x v="1"/>
    <n v="160.30000000000001"/>
    <n v="206.5"/>
    <n v="169.2"/>
    <n v="168.1"/>
    <n v="192.4"/>
    <n v="172.9"/>
    <x v="237"/>
    <n v="167.2"/>
    <n v="120.9"/>
    <n v="193.6"/>
    <n v="168.8"/>
    <n v="186.3"/>
    <n v="176.3"/>
    <n v="195"/>
    <n v="179.5"/>
    <n v="172.7"/>
    <n v="178.5"/>
    <n v="169"/>
    <n v="178.8"/>
    <n v="168.5"/>
    <n v="176.8"/>
    <n v="161.9"/>
    <n v="166.9"/>
    <n v="172.3"/>
    <n v="171.2"/>
    <n v="169.1"/>
    <n v="174.3"/>
    <n v="4350.8999999999996"/>
    <n v="679.49999999999989"/>
    <n v="352.2"/>
    <n v="337.5"/>
    <n v="2464.2000000000003"/>
    <x v="325"/>
    <n v="168.75"/>
    <n v="176.01428571428573"/>
  </r>
  <r>
    <x v="0"/>
    <x v="9"/>
    <x v="8"/>
    <s v="Sep-22"/>
    <d v="2022-09-01T00:00:00"/>
    <x v="1"/>
    <n v="162.9"/>
    <n v="206.7"/>
    <n v="169"/>
    <n v="169.5"/>
    <n v="194.1"/>
    <n v="164.1"/>
    <x v="291"/>
    <n v="169"/>
    <n v="120.8"/>
    <n v="199.1"/>
    <n v="175.4"/>
    <n v="184.8"/>
    <n v="175.5"/>
    <n v="194.5"/>
    <n v="184.7"/>
    <n v="183.3"/>
    <n v="184.5"/>
    <n v="139.27096774193564"/>
    <n v="179.7"/>
    <n v="173.6"/>
    <n v="180.2"/>
    <n v="166.9"/>
    <n v="170"/>
    <n v="176.2"/>
    <n v="170.8"/>
    <n v="173.1"/>
    <n v="176.4"/>
    <n v="4360.0709677419363"/>
    <n v="690.09999999999991"/>
    <n v="368"/>
    <n v="312.8709677419356"/>
    <n v="2462.3000000000002"/>
    <x v="326"/>
    <n v="156.4354838709678"/>
    <n v="175.87857142857143"/>
  </r>
  <r>
    <x v="1"/>
    <x v="9"/>
    <x v="8"/>
    <s v="Sep-22"/>
    <d v="2022-09-01T00:00:00"/>
    <x v="1"/>
    <n v="164.9"/>
    <n v="213.7"/>
    <n v="170.9"/>
    <n v="170.1"/>
    <n v="179.3"/>
    <n v="167.5"/>
    <x v="292"/>
    <n v="169.2"/>
    <n v="123.1"/>
    <n v="193.6"/>
    <n v="161.1"/>
    <n v="190.4"/>
    <n v="181.8"/>
    <n v="199.7"/>
    <n v="175"/>
    <n v="161.69999999999999"/>
    <n v="173"/>
    <n v="169.5"/>
    <n v="179.2"/>
    <n v="165"/>
    <n v="173.8"/>
    <n v="158.19999999999999"/>
    <n v="165.8"/>
    <n v="170.9"/>
    <n v="171.1"/>
    <n v="166.1"/>
    <n v="174.1"/>
    <n v="4362.3999999999996"/>
    <n v="673.90000000000009"/>
    <n v="336.7"/>
    <n v="334.5"/>
    <n v="2506.1"/>
    <x v="327"/>
    <n v="167.25"/>
    <n v="179.00714285714284"/>
  </r>
  <r>
    <x v="2"/>
    <x v="9"/>
    <x v="8"/>
    <s v="Sep-22"/>
    <d v="2022-09-01T00:00:00"/>
    <x v="1"/>
    <n v="163.5"/>
    <n v="209.2"/>
    <n v="169.7"/>
    <n v="169.7"/>
    <n v="188.7"/>
    <n v="165.7"/>
    <x v="293"/>
    <n v="169.1"/>
    <n v="121.6"/>
    <n v="197.3"/>
    <n v="169.4"/>
    <n v="187.4"/>
    <n v="177.8"/>
    <n v="195.9"/>
    <n v="180.9"/>
    <n v="174.3"/>
    <n v="179.9"/>
    <n v="169.5"/>
    <n v="179.5"/>
    <n v="169.5"/>
    <n v="177.8"/>
    <n v="162.30000000000001"/>
    <n v="167.6"/>
    <n v="173.1"/>
    <n v="170.9"/>
    <n v="169.7"/>
    <n v="175.3"/>
    <n v="4371.8999999999996"/>
    <n v="681.30000000000007"/>
    <n v="355.20000000000005"/>
    <n v="339"/>
    <n v="2476.8000000000002"/>
    <x v="328"/>
    <n v="169.5"/>
    <n v="176.91428571428574"/>
  </r>
  <r>
    <x v="0"/>
    <x v="9"/>
    <x v="9"/>
    <s v="Oct-22"/>
    <d v="2022-10-01T00:00:00"/>
    <x v="1"/>
    <n v="164.7"/>
    <n v="208.8"/>
    <n v="170.3"/>
    <n v="170.9"/>
    <n v="191.6"/>
    <n v="162.19999999999999"/>
    <x v="294"/>
    <n v="169.7"/>
    <n v="121.1"/>
    <n v="201.6"/>
    <n v="175.8"/>
    <n v="185.6"/>
    <n v="177.4"/>
    <n v="194.9"/>
    <n v="186.1"/>
    <n v="184.4"/>
    <n v="185.9"/>
    <n v="139.27096774193564"/>
    <n v="180.8"/>
    <n v="174.4"/>
    <n v="181.2"/>
    <n v="167.4"/>
    <n v="170.6"/>
    <n v="176.5"/>
    <n v="172"/>
    <n v="173.9"/>
    <n v="177.9"/>
    <n v="4385.9709677419351"/>
    <n v="693"/>
    <n v="370.5"/>
    <n v="313.67096774193567"/>
    <n v="2479.4"/>
    <x v="329"/>
    <n v="156.83548387096783"/>
    <n v="177.1"/>
  </r>
  <r>
    <x v="1"/>
    <x v="9"/>
    <x v="9"/>
    <s v="Oct-22"/>
    <d v="2022-10-01T00:00:00"/>
    <x v="1"/>
    <n v="166.4"/>
    <n v="214.9"/>
    <n v="171.9"/>
    <n v="171"/>
    <n v="177.7"/>
    <n v="165.7"/>
    <x v="295"/>
    <n v="169.9"/>
    <n v="123.4"/>
    <n v="196.4"/>
    <n v="161.6"/>
    <n v="191.5"/>
    <n v="183.3"/>
    <n v="200.1"/>
    <n v="175.5"/>
    <n v="162.6"/>
    <n v="173.6"/>
    <n v="171.2"/>
    <n v="180"/>
    <n v="166"/>
    <n v="174.7"/>
    <n v="158.80000000000001"/>
    <n v="166.3"/>
    <n v="171.2"/>
    <n v="172.3"/>
    <n v="166.8"/>
    <n v="175.3"/>
    <n v="4387.8"/>
    <n v="676.6"/>
    <n v="338.1"/>
    <n v="337.2"/>
    <n v="2522.4"/>
    <x v="330"/>
    <n v="168.6"/>
    <n v="180.17142857142858"/>
  </r>
  <r>
    <x v="2"/>
    <x v="9"/>
    <x v="9"/>
    <s v="Oct-22"/>
    <d v="2022-10-01T00:00:00"/>
    <x v="1"/>
    <n v="165.2"/>
    <n v="210.9"/>
    <n v="170.9"/>
    <n v="170.9"/>
    <n v="186.5"/>
    <n v="163.80000000000001"/>
    <x v="296"/>
    <n v="169.8"/>
    <n v="121.9"/>
    <n v="199.9"/>
    <n v="169.9"/>
    <n v="188.3"/>
    <n v="179.6"/>
    <n v="196.3"/>
    <n v="181.9"/>
    <n v="175.3"/>
    <n v="181"/>
    <n v="171.2"/>
    <n v="180.5"/>
    <n v="170.4"/>
    <n v="178.7"/>
    <n v="162.9"/>
    <n v="168.2"/>
    <n v="173.4"/>
    <n v="172.1"/>
    <n v="170.5"/>
    <n v="176.7"/>
    <n v="4398.7000000000007"/>
    <n v="684.2"/>
    <n v="357.20000000000005"/>
    <n v="341.6"/>
    <n v="2493.6000000000004"/>
    <x v="331"/>
    <n v="170.8"/>
    <n v="178.11428571428573"/>
  </r>
  <r>
    <x v="0"/>
    <x v="9"/>
    <x v="11"/>
    <s v="Nov-22"/>
    <d v="2022-11-01T00:00:00"/>
    <x v="1"/>
    <n v="166.9"/>
    <n v="207.2"/>
    <n v="180.2"/>
    <n v="172.3"/>
    <n v="194"/>
    <n v="159.1"/>
    <x v="297"/>
    <n v="170.2"/>
    <n v="121.5"/>
    <n v="204.8"/>
    <n v="176.4"/>
    <n v="186.9"/>
    <n v="176.6"/>
    <n v="195.5"/>
    <n v="187.2"/>
    <n v="185.2"/>
    <n v="186.9"/>
    <n v="139.27096774193564"/>
    <n v="181.9"/>
    <n v="175.5"/>
    <n v="182.3"/>
    <n v="167.5"/>
    <n v="170.8"/>
    <n v="176.9"/>
    <n v="173.4"/>
    <n v="174.6"/>
    <n v="177.8"/>
    <n v="4397.7709677419361"/>
    <n v="695.7"/>
    <n v="372.4"/>
    <n v="314.77096774193564"/>
    <n v="2483.1999999999998"/>
    <x v="332"/>
    <n v="157.38548387096782"/>
    <n v="177.37142857142857"/>
  </r>
  <r>
    <x v="1"/>
    <x v="9"/>
    <x v="11"/>
    <s v="Nov-22"/>
    <d v="2022-11-01T00:00:00"/>
    <x v="1"/>
    <n v="168.4"/>
    <n v="213.4"/>
    <n v="183.2"/>
    <n v="172.3"/>
    <n v="180"/>
    <n v="162.6"/>
    <x v="298"/>
    <n v="171"/>
    <n v="123.4"/>
    <n v="198.8"/>
    <n v="162.1"/>
    <n v="192.4"/>
    <n v="181.3"/>
    <n v="200.6"/>
    <n v="176.7"/>
    <n v="163.5"/>
    <n v="174.7"/>
    <n v="171.8"/>
    <n v="180.3"/>
    <n v="166.9"/>
    <n v="175.8"/>
    <n v="158.9"/>
    <n v="166.7"/>
    <n v="171.5"/>
    <n v="173.8"/>
    <n v="167.4"/>
    <n v="174.1"/>
    <n v="4388.3"/>
    <n v="679.40000000000009"/>
    <n v="340.2"/>
    <n v="338.70000000000005"/>
    <n v="2515"/>
    <x v="333"/>
    <n v="169.35000000000002"/>
    <n v="179.64285714285714"/>
  </r>
  <r>
    <x v="2"/>
    <x v="9"/>
    <x v="11"/>
    <s v="Nov-22"/>
    <d v="2022-11-01T00:00:00"/>
    <x v="1"/>
    <n v="167.4"/>
    <n v="209.4"/>
    <n v="181.4"/>
    <n v="172.3"/>
    <n v="188.9"/>
    <n v="160.69999999999999"/>
    <x v="30"/>
    <n v="170.5"/>
    <n v="122.1"/>
    <n v="202.8"/>
    <n v="170.4"/>
    <n v="189.5"/>
    <n v="178.3"/>
    <n v="196.9"/>
    <n v="183.1"/>
    <n v="176.2"/>
    <n v="182.1"/>
    <n v="171.8"/>
    <n v="181.3"/>
    <n v="171.4"/>
    <n v="179.8"/>
    <n v="163"/>
    <n v="168.5"/>
    <n v="173.7"/>
    <n v="173.6"/>
    <n v="171.1"/>
    <n v="176.5"/>
    <n v="4407.2000000000007"/>
    <n v="686.9"/>
    <n v="359.29999999999995"/>
    <n v="343.20000000000005"/>
    <n v="2493.7000000000003"/>
    <x v="334"/>
    <n v="171.60000000000002"/>
    <n v="178.12142857142859"/>
  </r>
  <r>
    <x v="0"/>
    <x v="9"/>
    <x v="12"/>
    <s v="Dec-22"/>
    <d v="2022-12-01T00:00:00"/>
    <x v="1"/>
    <n v="168.8"/>
    <n v="206.9"/>
    <n v="189.1"/>
    <n v="173.4"/>
    <n v="193.9"/>
    <n v="156.69999999999999"/>
    <x v="299"/>
    <n v="170.5"/>
    <n v="121.2"/>
    <n v="207.5"/>
    <n v="176.8"/>
    <n v="187.7"/>
    <n v="174.4"/>
    <n v="195.9"/>
    <n v="188.1"/>
    <n v="185.9"/>
    <n v="187.8"/>
    <n v="139.27096774193564"/>
    <n v="182.8"/>
    <n v="176.4"/>
    <n v="183.5"/>
    <n v="167.8"/>
    <n v="171.2"/>
    <n v="177.3"/>
    <n v="175.7"/>
    <n v="175.5"/>
    <n v="177.1"/>
    <n v="4396.4709677419351"/>
    <n v="699.7"/>
    <n v="374"/>
    <n v="315.67096774193567"/>
    <n v="2473"/>
    <x v="335"/>
    <n v="157.83548387096783"/>
    <n v="176.64285714285714"/>
  </r>
  <r>
    <x v="1"/>
    <x v="9"/>
    <x v="12"/>
    <s v="Dec-22"/>
    <d v="2022-12-01T00:00:00"/>
    <x v="1"/>
    <n v="170.2"/>
    <n v="212.9"/>
    <n v="191.9"/>
    <n v="173.9"/>
    <n v="179.1"/>
    <n v="159.5"/>
    <x v="300"/>
    <n v="171.3"/>
    <n v="123.1"/>
    <n v="200.5"/>
    <n v="162.80000000000001"/>
    <n v="193.3"/>
    <n v="178.6"/>
    <n v="201.1"/>
    <n v="177.7"/>
    <n v="164.5"/>
    <n v="175.7"/>
    <n v="170.7"/>
    <n v="180.6"/>
    <n v="167.3"/>
    <n v="177.2"/>
    <n v="159.4"/>
    <n v="167.1"/>
    <n v="171.8"/>
    <n v="176"/>
    <n v="168.2"/>
    <n v="174.1"/>
    <n v="4377.4000000000005"/>
    <n v="683.1"/>
    <n v="342.2"/>
    <n v="338"/>
    <n v="2496.8999999999996"/>
    <x v="336"/>
    <n v="169"/>
    <n v="178.34999999999997"/>
  </r>
  <r>
    <x v="2"/>
    <x v="9"/>
    <x v="12"/>
    <s v="Dec-22"/>
    <d v="2022-12-01T00:00:00"/>
    <x v="1"/>
    <n v="169.2"/>
    <n v="209"/>
    <n v="190.2"/>
    <n v="173.6"/>
    <n v="188.5"/>
    <n v="158"/>
    <x v="301"/>
    <n v="170.8"/>
    <n v="121.8"/>
    <n v="205.2"/>
    <n v="171"/>
    <n v="190.3"/>
    <n v="175.9"/>
    <n v="197.3"/>
    <n v="184"/>
    <n v="177"/>
    <n v="183"/>
    <n v="170.7"/>
    <n v="182"/>
    <n v="172.1"/>
    <n v="181.1"/>
    <n v="163.4"/>
    <n v="168.9"/>
    <n v="174.1"/>
    <n v="175.8"/>
    <n v="172"/>
    <n v="175.7"/>
    <n v="4401.8000000000011"/>
    <n v="690.8"/>
    <n v="361"/>
    <n v="342.79999999999995"/>
    <n v="2480.7000000000003"/>
    <x v="337"/>
    <n v="171.39999999999998"/>
    <n v="177.19285714285715"/>
  </r>
  <r>
    <x v="0"/>
    <x v="10"/>
    <x v="0"/>
    <s v="Jan-23"/>
    <d v="2023-01-01T00:00:00"/>
    <x v="1"/>
    <n v="174"/>
    <n v="208.3"/>
    <n v="192.9"/>
    <n v="174.3"/>
    <n v="192.6"/>
    <n v="156.30000000000001"/>
    <x v="302"/>
    <n v="170.7"/>
    <n v="120.3"/>
    <n v="210.5"/>
    <n v="176.9"/>
    <n v="188.5"/>
    <n v="175"/>
    <n v="196.9"/>
    <n v="189"/>
    <n v="186.3"/>
    <n v="188.6"/>
    <n v="139.27096774193564"/>
    <n v="183.2"/>
    <n v="177.2"/>
    <n v="184.7"/>
    <n v="168.2"/>
    <n v="171.8"/>
    <n v="177.8"/>
    <n v="178.4"/>
    <n v="176.5"/>
    <n v="177.8"/>
    <n v="4412.4709677419369"/>
    <n v="704.5"/>
    <n v="375.3"/>
    <n v="316.47096774193562"/>
    <n v="2480.1000000000004"/>
    <x v="338"/>
    <n v="158.23548387096781"/>
    <n v="177.15000000000003"/>
  </r>
  <r>
    <x v="1"/>
    <x v="10"/>
    <x v="0"/>
    <s v="Jan-23"/>
    <d v="2023-01-01T00:00:00"/>
    <x v="1"/>
    <n v="173.3"/>
    <n v="215.2"/>
    <n v="197"/>
    <n v="175.2"/>
    <n v="178"/>
    <n v="160.5"/>
    <x v="303"/>
    <n v="171.2"/>
    <n v="122.7"/>
    <n v="204.3"/>
    <n v="163.69999999999999"/>
    <n v="194.3"/>
    <n v="179.5"/>
    <n v="201.6"/>
    <n v="178.7"/>
    <n v="165.3"/>
    <n v="176.6"/>
    <n v="172.1"/>
    <n v="180.1"/>
    <n v="168"/>
    <n v="178.5"/>
    <n v="159.5"/>
    <n v="167.8"/>
    <n v="171.8"/>
    <n v="178.8"/>
    <n v="168.9"/>
    <n v="174.9"/>
    <n v="4401.3"/>
    <n v="687.3"/>
    <n v="344"/>
    <n v="340.1"/>
    <n v="2511.8000000000002"/>
    <x v="339"/>
    <n v="170.05"/>
    <n v="179.41428571428574"/>
  </r>
  <r>
    <x v="2"/>
    <x v="10"/>
    <x v="0"/>
    <s v="Jan-23"/>
    <d v="2023-01-01T00:00:00"/>
    <x v="1"/>
    <n v="173.8"/>
    <n v="210.7"/>
    <n v="194.5"/>
    <n v="174.6"/>
    <n v="187.2"/>
    <n v="158.30000000000001"/>
    <x v="263"/>
    <n v="170.9"/>
    <n v="121.1"/>
    <n v="208.4"/>
    <n v="171.4"/>
    <n v="191.2"/>
    <n v="176.7"/>
    <n v="198.2"/>
    <n v="184.9"/>
    <n v="177.6"/>
    <n v="183.8"/>
    <n v="172.1"/>
    <n v="182"/>
    <n v="172.9"/>
    <n v="182.3"/>
    <n v="163.6"/>
    <n v="169.5"/>
    <n v="174.3"/>
    <n v="178.6"/>
    <n v="172.8"/>
    <n v="176.5"/>
    <n v="4421.5"/>
    <n v="695.2"/>
    <n v="362.5"/>
    <n v="345"/>
    <n v="2490.8999999999996"/>
    <x v="340"/>
    <n v="172.5"/>
    <n v="177.92142857142855"/>
  </r>
  <r>
    <x v="0"/>
    <x v="10"/>
    <x v="1"/>
    <s v="Feb-23"/>
    <d v="2023-02-01T00:00:00"/>
    <x v="1"/>
    <n v="174.2"/>
    <n v="205.2"/>
    <n v="173.9"/>
    <n v="177"/>
    <n v="183.4"/>
    <n v="167.2"/>
    <x v="304"/>
    <n v="170.4"/>
    <n v="119.1"/>
    <n v="212.1"/>
    <n v="177.6"/>
    <n v="189.9"/>
    <n v="174.8"/>
    <n v="198.3"/>
    <n v="190"/>
    <n v="187"/>
    <n v="189.6"/>
    <n v="139.27096774193564"/>
    <n v="181.6"/>
    <n v="178.6"/>
    <n v="186.6"/>
    <n v="169"/>
    <n v="172.8"/>
    <n v="178.5"/>
    <n v="180.7"/>
    <n v="177.9"/>
    <n v="178"/>
    <n v="4405.970967741936"/>
    <n v="709.90000000000009"/>
    <n v="377"/>
    <n v="317.8709677419356"/>
    <n v="2464"/>
    <x v="341"/>
    <n v="158.9354838709678"/>
    <n v="176"/>
  </r>
  <r>
    <x v="1"/>
    <x v="10"/>
    <x v="1"/>
    <s v="Feb-23"/>
    <d v="2023-02-01T00:00:00"/>
    <x v="1"/>
    <n v="174.7"/>
    <n v="212.2"/>
    <n v="177.2"/>
    <n v="177.9"/>
    <n v="172.2"/>
    <n v="172.1"/>
    <x v="305"/>
    <n v="172.2"/>
    <n v="121.9"/>
    <n v="204.8"/>
    <n v="164.9"/>
    <n v="196.6"/>
    <n v="180.7"/>
    <n v="202.7"/>
    <n v="180.3"/>
    <n v="167"/>
    <n v="178.2"/>
    <n v="173.5"/>
    <n v="182.8"/>
    <n v="169.2"/>
    <n v="180.8"/>
    <n v="159.80000000000001"/>
    <n v="168.4"/>
    <n v="172.5"/>
    <n v="181.4"/>
    <n v="170"/>
    <n v="176.3"/>
    <n v="4411.5999999999995"/>
    <n v="692.3"/>
    <n v="347.3"/>
    <n v="342.7"/>
    <n v="2505.8999999999996"/>
    <x v="342"/>
    <n v="171.35"/>
    <n v="178.9928571428571"/>
  </r>
  <r>
    <x v="2"/>
    <x v="10"/>
    <x v="1"/>
    <s v="Feb-23"/>
    <d v="2023-02-01T00:00:00"/>
    <x v="1"/>
    <n v="174.4"/>
    <n v="207.7"/>
    <n v="175.2"/>
    <n v="177.3"/>
    <n v="179.3"/>
    <n v="169.5"/>
    <x v="306"/>
    <n v="171"/>
    <n v="120"/>
    <n v="209.7"/>
    <n v="172.3"/>
    <n v="193"/>
    <n v="177"/>
    <n v="199.5"/>
    <n v="186.2"/>
    <n v="178.7"/>
    <n v="185.1"/>
    <n v="173.5"/>
    <n v="182.1"/>
    <n v="174.2"/>
    <n v="184.4"/>
    <n v="164.2"/>
    <n v="170.3"/>
    <n v="175"/>
    <n v="181"/>
    <n v="174.1"/>
    <n v="177.2"/>
    <n v="4422.3"/>
    <n v="700.40000000000009"/>
    <n v="364.9"/>
    <n v="347.7"/>
    <n v="2478.6"/>
    <x v="343"/>
    <n v="173.85"/>
    <n v="177.04285714285714"/>
  </r>
  <r>
    <x v="0"/>
    <x v="10"/>
    <x v="2"/>
    <s v="Mar-23"/>
    <d v="2023-03-01T00:00:00"/>
    <x v="1"/>
    <n v="174.3"/>
    <n v="205.2"/>
    <n v="173.9"/>
    <n v="177"/>
    <n v="183.3"/>
    <n v="167.2"/>
    <x v="304"/>
    <n v="170.5"/>
    <n v="119.1"/>
    <n v="212.1"/>
    <n v="177.6"/>
    <n v="189.9"/>
    <n v="174.8"/>
    <n v="198.4"/>
    <n v="190"/>
    <n v="187"/>
    <n v="189.6"/>
    <n v="139.27096774193564"/>
    <n v="181.4"/>
    <n v="178.6"/>
    <n v="186.6"/>
    <n v="169"/>
    <n v="172.8"/>
    <n v="178.5"/>
    <n v="180.7"/>
    <n v="177.9"/>
    <n v="178"/>
    <n v="4405.970967741936"/>
    <n v="709.90000000000009"/>
    <n v="377"/>
    <n v="317.8709677419356"/>
    <n v="2464.2000000000003"/>
    <x v="341"/>
    <n v="158.9354838709678"/>
    <n v="176.01428571428573"/>
  </r>
  <r>
    <x v="1"/>
    <x v="10"/>
    <x v="2"/>
    <s v="Mar-23"/>
    <d v="2023-03-01T00:00:00"/>
    <x v="1"/>
    <n v="174.7"/>
    <n v="212.2"/>
    <n v="177.2"/>
    <n v="177.9"/>
    <n v="172.2"/>
    <n v="172.1"/>
    <x v="307"/>
    <n v="172.2"/>
    <n v="121.9"/>
    <n v="204.8"/>
    <n v="164.9"/>
    <n v="196.6"/>
    <n v="180.8"/>
    <n v="202.7"/>
    <n v="180.2"/>
    <n v="167"/>
    <n v="178.2"/>
    <n v="173.5"/>
    <n v="182.6"/>
    <n v="169.2"/>
    <n v="180.8"/>
    <n v="159.80000000000001"/>
    <n v="168.4"/>
    <n v="172.5"/>
    <n v="181.5"/>
    <n v="170"/>
    <n v="176.3"/>
    <n v="4411.6000000000004"/>
    <n v="692.4"/>
    <n v="347.2"/>
    <n v="342.7"/>
    <n v="2506.1"/>
    <x v="344"/>
    <n v="171.35"/>
    <n v="179.00714285714284"/>
  </r>
  <r>
    <x v="2"/>
    <x v="10"/>
    <x v="2"/>
    <s v="Mar-23"/>
    <d v="2023-03-01T00:00:00"/>
    <x v="1"/>
    <n v="174.4"/>
    <n v="207.7"/>
    <n v="175.2"/>
    <n v="177.3"/>
    <n v="179.2"/>
    <n v="169.5"/>
    <x v="260"/>
    <n v="171.1"/>
    <n v="120"/>
    <n v="209.7"/>
    <n v="172.3"/>
    <n v="193"/>
    <n v="177"/>
    <n v="199.5"/>
    <n v="186.1"/>
    <n v="178.7"/>
    <n v="185.1"/>
    <n v="173.5"/>
    <n v="181.9"/>
    <n v="174.2"/>
    <n v="184.4"/>
    <n v="164.2"/>
    <n v="170.3"/>
    <n v="175"/>
    <n v="181"/>
    <n v="174.1"/>
    <n v="177.2"/>
    <n v="4422.0999999999995"/>
    <n v="700.40000000000009"/>
    <n v="364.79999999999995"/>
    <n v="347.7"/>
    <n v="2478.6999999999998"/>
    <x v="343"/>
    <n v="173.85"/>
    <n v="177.04999999999998"/>
  </r>
  <r>
    <x v="0"/>
    <x v="10"/>
    <x v="3"/>
    <s v="Apr-23"/>
    <d v="2023-04-01T00:00:00"/>
    <x v="1"/>
    <n v="173.3"/>
    <n v="206.9"/>
    <n v="167.9"/>
    <n v="178.2"/>
    <n v="178.5"/>
    <n v="173.7"/>
    <x v="308"/>
    <n v="172.8"/>
    <n v="120.4"/>
    <n v="215.5"/>
    <n v="178.2"/>
    <n v="190.5"/>
    <n v="175.5"/>
    <n v="199.5"/>
    <n v="190.7"/>
    <n v="187.3"/>
    <n v="190.2"/>
    <n v="139.27096774193564"/>
    <n v="181.5"/>
    <n v="179.1"/>
    <n v="187.2"/>
    <n v="169.4"/>
    <n v="173.2"/>
    <n v="179.4"/>
    <n v="183.8"/>
    <n v="178.9"/>
    <n v="178.8"/>
    <n v="4423.470967741936"/>
    <n v="715.3"/>
    <n v="378"/>
    <n v="318.3709677419356"/>
    <n v="2473.6999999999998"/>
    <x v="345"/>
    <n v="159.1854838709678"/>
    <n v="176.69285714285712"/>
  </r>
  <r>
    <x v="1"/>
    <x v="10"/>
    <x v="3"/>
    <s v="Apr-23"/>
    <d v="2023-04-01T00:00:00"/>
    <x v="1"/>
    <n v="174.8"/>
    <n v="213.7"/>
    <n v="172.4"/>
    <n v="178.8"/>
    <n v="168.7"/>
    <n v="179.2"/>
    <x v="309"/>
    <n v="174.7"/>
    <n v="123.1"/>
    <n v="207.8"/>
    <n v="165.5"/>
    <n v="197"/>
    <n v="182.1"/>
    <n v="203.5"/>
    <n v="181"/>
    <n v="167.7"/>
    <n v="178.9"/>
    <n v="175.2"/>
    <n v="182.1"/>
    <n v="169.6"/>
    <n v="181.5"/>
    <n v="160.1"/>
    <n v="168.8"/>
    <n v="174.2"/>
    <n v="184.4"/>
    <n v="170.9"/>
    <n v="177.4"/>
    <n v="4436.7"/>
    <n v="698.3"/>
    <n v="348.7"/>
    <n v="344.79999999999995"/>
    <n v="2521.2000000000003"/>
    <x v="346"/>
    <n v="172.39999999999998"/>
    <n v="180.08571428571432"/>
  </r>
  <r>
    <x v="2"/>
    <x v="10"/>
    <x v="3"/>
    <s v="Apr-23"/>
    <d v="2023-04-01T00:00:00"/>
    <x v="1"/>
    <n v="173.8"/>
    <n v="209.3"/>
    <n v="169.6"/>
    <n v="178.4"/>
    <n v="174.9"/>
    <n v="176.3"/>
    <x v="259"/>
    <n v="173.4"/>
    <n v="121.3"/>
    <n v="212.9"/>
    <n v="172.9"/>
    <n v="193.5"/>
    <n v="177.9"/>
    <n v="200.6"/>
    <n v="186.9"/>
    <n v="179.2"/>
    <n v="185.7"/>
    <n v="175.2"/>
    <n v="181.7"/>
    <n v="174.6"/>
    <n v="185"/>
    <n v="164.5"/>
    <n v="170.7"/>
    <n v="176.4"/>
    <n v="184"/>
    <n v="175"/>
    <n v="178.1"/>
    <n v="4443.4000000000005"/>
    <n v="706.09999999999991"/>
    <n v="366.1"/>
    <n v="349.79999999999995"/>
    <n v="2490.2000000000003"/>
    <x v="347"/>
    <n v="174.89999999999998"/>
    <n v="177.87142857142859"/>
  </r>
  <r>
    <x v="0"/>
    <x v="10"/>
    <x v="4"/>
    <s v="May-23"/>
    <d v="2023-05-01T00:00:00"/>
    <x v="1"/>
    <n v="173.2"/>
    <n v="211.5"/>
    <n v="171"/>
    <n v="179.6"/>
    <n v="173.3"/>
    <n v="169"/>
    <x v="310"/>
    <n v="174.9"/>
    <n v="121.9"/>
    <n v="221"/>
    <n v="178.7"/>
    <n v="191.1"/>
    <n v="176.8"/>
    <n v="199.9"/>
    <n v="191.2"/>
    <n v="187.9"/>
    <n v="190.8"/>
    <n v="139.27096774193564"/>
    <n v="182.5"/>
    <n v="179.8"/>
    <n v="187.8"/>
    <n v="169.7"/>
    <n v="173.8"/>
    <n v="180.3"/>
    <n v="184.9"/>
    <n v="179.5"/>
    <n v="179.8"/>
    <n v="4447.2709677419352"/>
    <n v="718.5"/>
    <n v="379.1"/>
    <n v="319.07096774193565"/>
    <n v="2490.6000000000008"/>
    <x v="348"/>
    <n v="159.53548387096782"/>
    <n v="177.90000000000006"/>
  </r>
  <r>
    <x v="1"/>
    <x v="10"/>
    <x v="4"/>
    <s v="May-23"/>
    <d v="2023-05-01T00:00:00"/>
    <x v="1"/>
    <n v="174.7"/>
    <n v="219.4"/>
    <n v="176.7"/>
    <n v="179.4"/>
    <n v="164.4"/>
    <n v="175.8"/>
    <x v="311"/>
    <n v="176.9"/>
    <n v="124.2"/>
    <n v="211.9"/>
    <n v="165.9"/>
    <n v="197.7"/>
    <n v="183.1"/>
    <n v="204.2"/>
    <n v="181.3"/>
    <n v="168.1"/>
    <n v="179.3"/>
    <n v="175.6"/>
    <n v="183.4"/>
    <n v="170.1"/>
    <n v="182.2"/>
    <n v="160.4"/>
    <n v="169.2"/>
    <n v="174.8"/>
    <n v="185.6"/>
    <n v="171.6"/>
    <n v="178.2"/>
    <n v="4461.6000000000004"/>
    <n v="701.2"/>
    <n v="349.4"/>
    <n v="345.7"/>
    <n v="2539.2999999999997"/>
    <x v="349"/>
    <n v="172.85"/>
    <n v="181.37857142857141"/>
  </r>
  <r>
    <x v="2"/>
    <x v="10"/>
    <x v="4"/>
    <s v="May-23"/>
    <d v="2023-05-01T00:00:00"/>
    <x v="1"/>
    <n v="173.7"/>
    <n v="214.3"/>
    <n v="173.2"/>
    <n v="179.5"/>
    <n v="170"/>
    <n v="172.2"/>
    <x v="162"/>
    <n v="175.6"/>
    <n v="122.7"/>
    <n v="218"/>
    <n v="173.4"/>
    <n v="194.2"/>
    <n v="179.1"/>
    <n v="201"/>
    <n v="187.3"/>
    <n v="179.7"/>
    <n v="186.2"/>
    <n v="175.6"/>
    <n v="182.8"/>
    <n v="175.2"/>
    <n v="185.7"/>
    <n v="164.8"/>
    <n v="171.2"/>
    <n v="177.1"/>
    <n v="185.2"/>
    <n v="175.7"/>
    <n v="179.1"/>
    <n v="4468.1999999999989"/>
    <n v="709.2"/>
    <n v="367"/>
    <n v="350.79999999999995"/>
    <n v="2507.9"/>
    <x v="350"/>
    <n v="175.39999999999998"/>
    <n v="179.13571428571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n v="2022"/>
    <s v="June"/>
    <x v="0"/>
    <d v="2022-06-01T00:00:00"/>
    <s v="Post covid"/>
    <n v="153.80000000000001"/>
    <m/>
    <n v="217.2"/>
    <m/>
    <n v="169.6"/>
    <m/>
    <n v="165.4"/>
    <m/>
    <n v="208.1"/>
    <m/>
    <n v="165.8"/>
    <m/>
    <n v="167.3"/>
    <m/>
    <n v="164.6"/>
    <m/>
    <n v="119.1"/>
    <m/>
    <n v="188.9"/>
    <m/>
    <n v="174.2"/>
    <m/>
    <n v="181.9"/>
    <m/>
    <n v="172.4"/>
    <m/>
    <n v="192.9"/>
    <m/>
    <n v="180.7"/>
    <n v="178.7"/>
    <n v="180.4"/>
    <n v="139.27096774193564"/>
    <n v="176.7"/>
    <n v="170.3"/>
    <n v="178.2"/>
    <n v="165.5"/>
    <n v="168"/>
    <n v="172.6"/>
    <n v="169.5"/>
    <n v="171"/>
    <n v="173.6"/>
    <n v="4311.6709677419358"/>
    <n v="681.1"/>
    <n v="359.4"/>
    <n v="309.57096774193565"/>
    <n v="2441.2000000000003"/>
    <n v="170.27500000000001"/>
    <n v="154.78548387096782"/>
    <n v="174.37142857142859"/>
    <m/>
  </r>
  <r>
    <x v="1"/>
    <n v="2022"/>
    <s v="June"/>
    <x v="0"/>
    <d v="2022-06-01T00:00:00"/>
    <s v="Post covid"/>
    <n v="157.5"/>
    <m/>
    <n v="223.4"/>
    <m/>
    <n v="172.8"/>
    <m/>
    <n v="166.4"/>
    <m/>
    <n v="188.6"/>
    <m/>
    <n v="174.1"/>
    <m/>
    <n v="211.5"/>
    <m/>
    <n v="163.6"/>
    <m/>
    <n v="121.4"/>
    <m/>
    <n v="183.5"/>
    <m/>
    <n v="159.1"/>
    <m/>
    <n v="186.3"/>
    <m/>
    <n v="179.3"/>
    <m/>
    <n v="198.3"/>
    <m/>
    <n v="171.6"/>
    <n v="157.4"/>
    <n v="169.4"/>
    <n v="166.8"/>
    <n v="174.9"/>
    <n v="162.1"/>
    <n v="170.9"/>
    <n v="157.19999999999999"/>
    <n v="164.1"/>
    <n v="166.5"/>
    <n v="169.2"/>
    <n v="163.80000000000001"/>
    <n v="171.4"/>
    <n v="4310.3"/>
    <n v="663.6"/>
    <n v="329"/>
    <n v="328.9"/>
    <n v="2485.8000000000002"/>
    <n v="165.9"/>
    <n v="164.45"/>
    <n v="177.55714285714288"/>
    <n v="1.826970342454529E-2"/>
  </r>
  <r>
    <x v="2"/>
    <n v="2022"/>
    <s v="June"/>
    <x v="0"/>
    <d v="2022-06-01T00:00:00"/>
    <s v="Post covid"/>
    <n v="155"/>
    <m/>
    <n v="219.4"/>
    <m/>
    <n v="170.8"/>
    <m/>
    <n v="165.8"/>
    <m/>
    <n v="200.9"/>
    <m/>
    <n v="169.7"/>
    <m/>
    <n v="182.3"/>
    <m/>
    <n v="164.3"/>
    <m/>
    <n v="119.9"/>
    <m/>
    <n v="187.1"/>
    <m/>
    <n v="167.9"/>
    <m/>
    <n v="183.9"/>
    <m/>
    <n v="174.9"/>
    <m/>
    <n v="194.3"/>
    <m/>
    <n v="177.1"/>
    <n v="169.9"/>
    <n v="176"/>
    <n v="166.8"/>
    <n v="176"/>
    <n v="166.4"/>
    <n v="175.4"/>
    <n v="161.1"/>
    <n v="165.8"/>
    <n v="169"/>
    <n v="169.4"/>
    <n v="167.5"/>
    <n v="172.6"/>
    <n v="4320.6000000000013"/>
    <n v="671.7"/>
    <n v="347"/>
    <n v="333.20000000000005"/>
    <n v="2456.2000000000003"/>
    <n v="167.92500000000001"/>
    <n v="166.60000000000002"/>
    <n v="175.44285714285715"/>
    <n v="-1.1907635368895402E-2"/>
  </r>
  <r>
    <x v="0"/>
    <n v="2022"/>
    <s v="July"/>
    <x v="1"/>
    <d v="2022-07-01T00:00:00"/>
    <s v="Post covid"/>
    <n v="155.19999999999999"/>
    <n v="9.102730819245626E-3"/>
    <n v="210.8"/>
    <n v="-2.9465930018416103E-2"/>
    <n v="174.3"/>
    <n v="2.7712264150943498E-2"/>
    <n v="166.3"/>
    <n v="5.4413542926239761E-3"/>
    <n v="202.2"/>
    <n v="-2.8351753964440202E-2"/>
    <n v="169.6"/>
    <n v="2.2919179734619918E-2"/>
    <n v="168.6"/>
    <n v="7.770472205618547E-3"/>
    <n v="164.4"/>
    <n v="-1.2150668286755081E-3"/>
    <n v="119.2"/>
    <n v="8.3963056255254855E-4"/>
    <n v="191.8"/>
    <n v="1.5352038115405005E-2"/>
    <n v="174.5"/>
    <n v="1.7221584385764144E-3"/>
    <n v="183.1"/>
    <n v="6.5970313358987825E-3"/>
    <n v="172.5"/>
    <n v="5.80046403712264E-4"/>
    <n v="193.2"/>
    <n v="1.5552099533436129E-3"/>
    <n v="182"/>
    <n v="180.3"/>
    <n v="181.7"/>
    <n v="139.27096774193564"/>
    <n v="179.6"/>
    <n v="171.3"/>
    <n v="178.8"/>
    <n v="166.3"/>
    <n v="168.6"/>
    <n v="174.7"/>
    <n v="169.7"/>
    <n v="171.8"/>
    <n v="174.3"/>
    <n v="4328.1115271071367"/>
    <n v="684.80000000000007"/>
    <n v="362.3"/>
    <n v="310.57096774193565"/>
    <n v="2445.7390041552471"/>
    <n v="171.20000000000002"/>
    <n v="155.28548387096782"/>
    <n v="174.69285714285712"/>
    <n v="-4.2748961810929065E-3"/>
  </r>
  <r>
    <x v="1"/>
    <n v="2022"/>
    <s v="July"/>
    <x v="1"/>
    <d v="2022-07-01T00:00:00"/>
    <s v="Post covid"/>
    <n v="159.30000000000001"/>
    <n v="1.1428571428571501E-2"/>
    <n v="217.1"/>
    <n v="-2.8200537153088682E-2"/>
    <n v="176.6"/>
    <n v="2.1990740740740641E-2"/>
    <n v="167.1"/>
    <n v="4.2067307692307005E-3"/>
    <n v="184.8"/>
    <n v="-2.014846235418867E-2"/>
    <n v="179.5"/>
    <n v="3.1016657093624389E-2"/>
    <n v="208.5"/>
    <n v="-1.4184397163120567E-2"/>
    <n v="164"/>
    <n v="2.4449877750611594E-3"/>
    <n v="121.5"/>
    <n v="8.2372322899501083E-4"/>
    <n v="186.3"/>
    <n v="1.5258855585831125E-2"/>
    <n v="159.80000000000001"/>
    <n v="4.3997485857952051E-3"/>
    <n v="187.7"/>
    <n v="7.514761137949421E-3"/>
    <n v="179.4"/>
    <n v="5.5772448410482047E-4"/>
    <n v="198.6"/>
    <n v="1.5128593040846341E-3"/>
    <n v="172.7"/>
    <n v="158.69999999999999"/>
    <n v="170.6"/>
    <n v="167.8"/>
    <n v="179.5"/>
    <n v="163.1"/>
    <n v="171.7"/>
    <n v="157.4"/>
    <n v="164.6"/>
    <n v="169.1"/>
    <n v="169.8"/>
    <n v="164.7"/>
    <n v="172.3"/>
    <n v="4329.3386219634631"/>
    <n v="668.2"/>
    <n v="331.4"/>
    <n v="330.9"/>
    <n v="2490.2371091041596"/>
    <n v="167.05"/>
    <n v="165.45"/>
    <n v="177.87142857142857"/>
    <n v="1.8195199738316323E-2"/>
  </r>
  <r>
    <x v="2"/>
    <n v="2022"/>
    <s v="July"/>
    <x v="1"/>
    <d v="2022-07-01T00:00:00"/>
    <s v="Post covid"/>
    <n v="156.5"/>
    <n v="9.6774193548387101E-3"/>
    <n v="213"/>
    <n v="-2.9170464904284436E-2"/>
    <n v="175.2"/>
    <n v="2.5761124121779725E-2"/>
    <n v="166.6"/>
    <n v="4.8250904704462173E-3"/>
    <n v="195.8"/>
    <n v="-2.5385764061722219E-2"/>
    <n v="174.2"/>
    <n v="2.6517383618149679E-2"/>
    <n v="182.1"/>
    <n v="-1.0970927043336097E-3"/>
    <n v="164.3"/>
    <n v="0"/>
    <n v="120"/>
    <n v="8.3402835696408937E-4"/>
    <n v="190"/>
    <n v="1.5499732763228252E-2"/>
    <n v="168.4"/>
    <n v="2.9779630732578916E-3"/>
    <n v="185.2"/>
    <n v="7.0690592713430287E-3"/>
    <n v="175"/>
    <n v="5.7175528873638828E-4"/>
    <n v="194.6"/>
    <n v="1.5440041173442251E-3"/>
    <n v="178.3"/>
    <n v="171.3"/>
    <n v="177.3"/>
    <n v="167.8"/>
    <n v="179.6"/>
    <n v="167.4"/>
    <n v="176.1"/>
    <n v="161.6"/>
    <n v="166.3"/>
    <n v="171.4"/>
    <n v="169.7"/>
    <n v="168.4"/>
    <n v="173.4"/>
    <n v="4338.8396242387662"/>
    <n v="675.8"/>
    <n v="349.6"/>
    <n v="335.20000000000005"/>
    <n v="2460.9380802346482"/>
    <n v="168.95"/>
    <n v="167.60000000000002"/>
    <n v="175.77857142857144"/>
    <n v="-1.1766123202955499E-2"/>
  </r>
  <r>
    <x v="0"/>
    <n v="2022"/>
    <s v="August"/>
    <x v="2"/>
    <d v="2022-08-01T00:00:00"/>
    <s v="Post covid"/>
    <n v="159.5"/>
    <n v="2.7706185567010384E-2"/>
    <n v="204.1"/>
    <n v="-3.1783681214421329E-2"/>
    <n v="168.3"/>
    <n v="-3.4423407917383818E-2"/>
    <n v="167.9"/>
    <n v="9.6211665664461474E-3"/>
    <n v="198.1"/>
    <n v="-2.0276953511374849E-2"/>
    <n v="169.2"/>
    <n v="-2.3584905660377696E-3"/>
    <n v="173.1"/>
    <n v="2.6690391459074734E-2"/>
    <n v="167.1"/>
    <n v="1.6423357664233508E-2"/>
    <n v="120.2"/>
    <n v="8.389261744966443E-3"/>
    <n v="195.6"/>
    <n v="1.981230448383724E-2"/>
    <n v="174.8"/>
    <n v="1.7191977077364547E-3"/>
    <n v="184"/>
    <n v="4.9153468050246079E-3"/>
    <n v="173.9"/>
    <n v="8.1159420289855407E-3"/>
    <n v="193.7"/>
    <n v="2.587991718426501E-3"/>
    <n v="183.2"/>
    <n v="181.7"/>
    <n v="183"/>
    <n v="139.27096774193564"/>
    <n v="179.1"/>
    <n v="172.3"/>
    <n v="179.4"/>
    <n v="166.6"/>
    <n v="169.3"/>
    <n v="175.7"/>
    <n v="171.1"/>
    <n v="172.6"/>
    <n v="175.3"/>
    <n v="4339.8081063544705"/>
    <n v="688.7"/>
    <n v="364.9"/>
    <n v="311.57096774193565"/>
    <n v="2449.5345506208178"/>
    <n v="172.17500000000001"/>
    <n v="155.78548387096782"/>
    <n v="174.96428571428569"/>
    <n v="-4.6324515421189124E-3"/>
  </r>
  <r>
    <x v="1"/>
    <n v="2022"/>
    <s v="August"/>
    <x v="2"/>
    <d v="2022-08-01T00:00:00"/>
    <s v="Post covid"/>
    <n v="162.1"/>
    <n v="1.7576898932831028E-2"/>
    <n v="210.9"/>
    <n v="-2.8558268079226113E-2"/>
    <n v="170.6"/>
    <n v="-3.3975084937712348E-2"/>
    <n v="168.4"/>
    <n v="7.7797725912627852E-3"/>
    <n v="182.5"/>
    <n v="-1.2445887445887507E-2"/>
    <n v="177.1"/>
    <n v="-1.3370473537604488E-2"/>
    <n v="213.1"/>
    <n v="2.206235011990405E-2"/>
    <n v="167.3"/>
    <n v="2.0121951219512265E-2"/>
    <n v="122.2"/>
    <n v="5.7613168724280073E-3"/>
    <n v="189.7"/>
    <n v="1.8250134192163054E-2"/>
    <n v="160.5"/>
    <n v="4.3804755944930451E-3"/>
    <n v="188.9"/>
    <n v="6.3931806073522493E-3"/>
    <n v="180.4"/>
    <n v="5.5741360089186171E-3"/>
    <n v="198.7"/>
    <n v="5.0352467270893412E-4"/>
    <n v="173.7"/>
    <n v="160"/>
    <n v="171.6"/>
    <n v="169"/>
    <n v="178.4"/>
    <n v="164.2"/>
    <n v="172.6"/>
    <n v="157.69999999999999"/>
    <n v="165.1"/>
    <n v="169.9"/>
    <n v="171.4"/>
    <n v="165.4"/>
    <n v="173.1"/>
    <n v="4339.8200540268117"/>
    <n v="671.80000000000007"/>
    <n v="333.7"/>
    <n v="333.2"/>
    <n v="2492.4195505021385"/>
    <n v="167.95000000000002"/>
    <n v="166.6"/>
    <n v="178.02857142857141"/>
    <n v="1.7513778322106568E-2"/>
  </r>
  <r>
    <x v="2"/>
    <n v="2022"/>
    <s v="August"/>
    <x v="2"/>
    <d v="2022-08-01T00:00:00"/>
    <s v="Post covid"/>
    <n v="160.30000000000001"/>
    <n v="2.4281150159744483E-2"/>
    <n v="206.5"/>
    <n v="-3.0516431924882629E-2"/>
    <n v="169.2"/>
    <n v="-3.4246575342465758E-2"/>
    <n v="168.1"/>
    <n v="9.00360144057623E-3"/>
    <n v="192.4"/>
    <n v="-1.7364657814096043E-2"/>
    <n v="172.9"/>
    <n v="-7.4626865671640818E-3"/>
    <n v="186.7"/>
    <n v="2.5260845689181737E-2"/>
    <n v="167.2"/>
    <n v="1.7650639074862917E-2"/>
    <n v="120.9"/>
    <n v="7.5000000000000474E-3"/>
    <n v="193.6"/>
    <n v="1.8947368421052602E-2"/>
    <n v="168.8"/>
    <n v="2.3752969121140478E-3"/>
    <n v="186.3"/>
    <n v="5.9395248380130824E-3"/>
    <n v="176.3"/>
    <n v="7.4285714285714935E-3"/>
    <n v="195"/>
    <n v="2.0554984583761853E-3"/>
    <n v="179.5"/>
    <n v="172.7"/>
    <n v="178.5"/>
    <n v="169"/>
    <n v="178.8"/>
    <n v="168.5"/>
    <n v="176.8"/>
    <n v="161.9"/>
    <n v="166.9"/>
    <n v="172.3"/>
    <n v="171.2"/>
    <n v="169.1"/>
    <n v="174.3"/>
    <n v="4350.9308521447738"/>
    <n v="679.49999999999989"/>
    <n v="352.2"/>
    <n v="337.5"/>
    <n v="2464.2287966463159"/>
    <n v="169.87499999999997"/>
    <n v="168.75"/>
    <n v="176.01428571428573"/>
    <n v="-1.1314395763119676E-2"/>
  </r>
  <r>
    <x v="0"/>
    <n v="2022"/>
    <s v="September"/>
    <x v="3"/>
    <d v="2022-09-01T00:00:00"/>
    <s v="Post covid"/>
    <n v="162.9"/>
    <n v="2.1316614420062732E-2"/>
    <n v="206.7"/>
    <n v="1.2738853503184686E-2"/>
    <n v="169"/>
    <n v="4.1592394533570328E-3"/>
    <n v="169.5"/>
    <n v="9.5294818344252193E-3"/>
    <n v="194.1"/>
    <n v="-2.0191822311963654E-2"/>
    <n v="164.1"/>
    <n v="-3.0141843971631173E-2"/>
    <n v="176.9"/>
    <n v="2.1952628538417167E-2"/>
    <n v="169"/>
    <n v="1.1370436864153236E-2"/>
    <n v="120.8"/>
    <n v="4.9916805324458757E-3"/>
    <n v="199.1"/>
    <n v="1.7893660531697341E-2"/>
    <n v="175.4"/>
    <n v="3.4324942791761686E-3"/>
    <n v="184.8"/>
    <n v="4.3478260869565834E-3"/>
    <n v="175.5"/>
    <n v="9.2006900517538487E-3"/>
    <n v="194.5"/>
    <n v="4.1300980898296927E-3"/>
    <n v="184.7"/>
    <n v="183.3"/>
    <n v="184.5"/>
    <n v="139.27096774193564"/>
    <n v="179.7"/>
    <n v="173.6"/>
    <n v="180.2"/>
    <n v="166.9"/>
    <n v="170"/>
    <n v="176.2"/>
    <n v="170.8"/>
    <n v="173.1"/>
    <n v="176.4"/>
    <n v="4360.1456977798371"/>
    <n v="690.09999999999991"/>
    <n v="368"/>
    <n v="312.8709677419356"/>
    <n v="2462.3705999398117"/>
    <n v="172.52499999999998"/>
    <n v="156.4354838709678"/>
    <n v="175.87857142857143"/>
    <n v="-7.7104131158193504E-4"/>
  </r>
  <r>
    <x v="1"/>
    <n v="2022"/>
    <s v="September"/>
    <x v="3"/>
    <d v="2022-09-01T00:00:00"/>
    <s v="Post covid"/>
    <n v="164.9"/>
    <n v="1.7273288093769348E-2"/>
    <n v="213.7"/>
    <n v="1.3276434329065827E-2"/>
    <n v="170.9"/>
    <n v="1.7584994138335954E-3"/>
    <n v="170.1"/>
    <n v="1.0095011876484494E-2"/>
    <n v="179.3"/>
    <n v="-1.7534246575342402E-2"/>
    <n v="167.5"/>
    <n v="-5.4206662902315045E-2"/>
    <n v="220.8"/>
    <n v="3.6133270764899188E-2"/>
    <n v="169.2"/>
    <n v="1.1356843992827119E-2"/>
    <n v="123.1"/>
    <n v="7.3649754500817628E-3"/>
    <n v="193.6"/>
    <n v="2.0558777016341623E-2"/>
    <n v="161.1"/>
    <n v="3.7383177570093104E-3"/>
    <n v="190.4"/>
    <n v="7.9407093700370572E-3"/>
    <n v="181.8"/>
    <n v="7.7605321507760849E-3"/>
    <n v="199.7"/>
    <n v="5.0327126321087065E-3"/>
    <n v="175"/>
    <n v="161.69999999999999"/>
    <n v="173"/>
    <n v="169.5"/>
    <n v="179.2"/>
    <n v="165"/>
    <n v="173.8"/>
    <n v="158.19999999999999"/>
    <n v="165.8"/>
    <n v="170.9"/>
    <n v="171.1"/>
    <n v="166.1"/>
    <n v="174.1"/>
    <n v="4362.4705484633696"/>
    <n v="673.90000000000009"/>
    <n v="336.7"/>
    <n v="334.5"/>
    <n v="2506.1655157507371"/>
    <n v="168.47500000000002"/>
    <n v="167.25"/>
    <n v="179.00714285714284"/>
    <n v="1.7788246761158134E-2"/>
  </r>
  <r>
    <x v="2"/>
    <n v="2022"/>
    <s v="September"/>
    <x v="3"/>
    <d v="2022-09-01T00:00:00"/>
    <s v="Post covid"/>
    <n v="163.5"/>
    <n v="1.9962570180910719E-2"/>
    <n v="209.2"/>
    <n v="1.3075060532687597E-2"/>
    <n v="169.7"/>
    <n v="2.9550827423167852E-3"/>
    <n v="169.7"/>
    <n v="9.5181439619273899E-3"/>
    <n v="188.7"/>
    <n v="-1.9230769230769319E-2"/>
    <n v="165.7"/>
    <n v="-4.1642567958357531E-2"/>
    <n v="191.8"/>
    <n v="2.7316550615961558E-2"/>
    <n v="169.1"/>
    <n v="1.1363636363636399E-2"/>
    <n v="121.6"/>
    <n v="5.7899090157153728E-3"/>
    <n v="197.3"/>
    <n v="1.9111570247933973E-2"/>
    <n v="169.4"/>
    <n v="3.5545023696682125E-3"/>
    <n v="187.4"/>
    <n v="5.9044551798174676E-3"/>
    <n v="177.8"/>
    <n v="8.5082246171298923E-3"/>
    <n v="195.9"/>
    <n v="4.6153846153846444E-3"/>
    <n v="180.9"/>
    <n v="174.3"/>
    <n v="179.9"/>
    <n v="169.5"/>
    <n v="179.5"/>
    <n v="169.5"/>
    <n v="177.8"/>
    <n v="162.30000000000001"/>
    <n v="167.6"/>
    <n v="173.1"/>
    <n v="170.9"/>
    <n v="169.7"/>
    <n v="175.3"/>
    <n v="4371.9708017532539"/>
    <n v="681.30000000000007"/>
    <n v="355.20000000000005"/>
    <n v="339"/>
    <n v="2476.8661863686393"/>
    <n v="170.32500000000002"/>
    <n v="169.5"/>
    <n v="176.91428571428574"/>
    <n v="-1.1691472806352255E-2"/>
  </r>
  <r>
    <x v="0"/>
    <n v="2022"/>
    <s v="October"/>
    <x v="4"/>
    <d v="2022-10-01T00:00:00"/>
    <s v="Post covid"/>
    <n v="164.7"/>
    <n v="1.1049723756905973E-2"/>
    <n v="208.8"/>
    <n v="1.0159651669085742E-2"/>
    <n v="170.3"/>
    <n v="7.6923076923077595E-3"/>
    <n v="170.9"/>
    <n v="8.2595870206490004E-3"/>
    <n v="191.6"/>
    <n v="-1.2879958784131892E-2"/>
    <n v="162.19999999999999"/>
    <n v="-1.1578305911029894E-2"/>
    <n v="184.8"/>
    <n v="4.4657998869417778E-2"/>
    <n v="169.7"/>
    <n v="4.1420118343194591E-3"/>
    <n v="121.1"/>
    <n v="2.4834437086092482E-3"/>
    <n v="201.6"/>
    <n v="1.2556504269211451E-2"/>
    <n v="175.8"/>
    <n v="2.2805017103763149E-3"/>
    <n v="185.6"/>
    <n v="4.3290043290042362E-3"/>
    <n v="177.4"/>
    <n v="1.0826210826210859E-2"/>
    <n v="194.9"/>
    <n v="2.0565552699229085E-3"/>
    <n v="186.1"/>
    <n v="184.4"/>
    <n v="185.9"/>
    <n v="139.27096774193564"/>
    <n v="180.8"/>
    <n v="174.4"/>
    <n v="181.2"/>
    <n v="167.4"/>
    <n v="170.6"/>
    <n v="176.5"/>
    <n v="172"/>
    <n v="173.9"/>
    <n v="177.9"/>
    <n v="4386.0670029781959"/>
    <n v="693"/>
    <n v="370.5"/>
    <n v="313.67096774193567"/>
    <n v="2479.4939786809909"/>
    <n v="173.25"/>
    <n v="156.83548387096783"/>
    <n v="177.1"/>
    <n v="1.049741602067009E-3"/>
  </r>
  <r>
    <x v="1"/>
    <n v="2022"/>
    <s v="October"/>
    <x v="4"/>
    <d v="2022-10-01T00:00:00"/>
    <s v="Post covid"/>
    <n v="166.4"/>
    <n v="9.0964220739842318E-3"/>
    <n v="214.9"/>
    <n v="5.6153486195602113E-3"/>
    <n v="171.9"/>
    <n v="5.8513750731421883E-3"/>
    <n v="171"/>
    <n v="5.2910052910053245E-3"/>
    <n v="177.7"/>
    <n v="-8.9235917456777607E-3"/>
    <n v="165.7"/>
    <n v="-1.0746268656716487E-2"/>
    <n v="228.6"/>
    <n v="3.532608695652166E-2"/>
    <n v="169.9"/>
    <n v="4.1371158392436002E-3"/>
    <n v="123.4"/>
    <n v="2.4370430544273874E-3"/>
    <n v="196.4"/>
    <n v="1.4462809917355431E-2"/>
    <n v="161.6"/>
    <n v="3.1036623215394167E-3"/>
    <n v="191.5"/>
    <n v="5.7773109243697178E-3"/>
    <n v="183.3"/>
    <n v="8.2508250825082501E-3"/>
    <n v="200.1"/>
    <n v="2.0030045067601686E-3"/>
    <n v="175.5"/>
    <n v="162.6"/>
    <n v="173.6"/>
    <n v="171.2"/>
    <n v="180"/>
    <n v="166"/>
    <n v="174.7"/>
    <n v="158.80000000000001"/>
    <n v="166.3"/>
    <n v="171.2"/>
    <n v="172.3"/>
    <n v="166.8"/>
    <n v="175.3"/>
    <n v="4387.8816821492574"/>
    <n v="676.6"/>
    <n v="338.1"/>
    <n v="337.2"/>
    <n v="2522.4796791447516"/>
    <n v="169.15"/>
    <n v="168.6"/>
    <n v="180.17142857142858"/>
    <n v="1.7342905541663376E-2"/>
  </r>
  <r>
    <x v="2"/>
    <n v="2022"/>
    <s v="October"/>
    <x v="4"/>
    <d v="2022-10-01T00:00:00"/>
    <s v="Post covid"/>
    <n v="165.2"/>
    <n v="1.0397553516819502E-2"/>
    <n v="210.9"/>
    <n v="8.1261950286807706E-3"/>
    <n v="170.9"/>
    <n v="7.0713022981733478E-3"/>
    <n v="170.9"/>
    <n v="7.0713022981733478E-3"/>
    <n v="186.5"/>
    <n v="-1.1658717541070422E-2"/>
    <n v="163.80000000000001"/>
    <n v="-1.1466505733252729E-2"/>
    <n v="199.7"/>
    <n v="4.118873826903012E-2"/>
    <n v="169.8"/>
    <n v="4.1395623891189656E-3"/>
    <n v="121.9"/>
    <n v="2.4671052631579883E-3"/>
    <n v="199.9"/>
    <n v="1.3177901672579798E-2"/>
    <n v="169.9"/>
    <n v="2.9515938606847697E-3"/>
    <n v="188.3"/>
    <n v="4.8025613660619302E-3"/>
    <n v="179.6"/>
    <n v="1.0123734533183255E-2"/>
    <n v="196.3"/>
    <n v="2.0418580908627142E-3"/>
    <n v="181.9"/>
    <n v="175.3"/>
    <n v="181"/>
    <n v="171.2"/>
    <n v="180.5"/>
    <n v="170.4"/>
    <n v="178.7"/>
    <n v="162.9"/>
    <n v="168.2"/>
    <n v="173.4"/>
    <n v="172.1"/>
    <n v="170.5"/>
    <n v="176.7"/>
    <n v="4398.7904341853127"/>
    <n v="684.2"/>
    <n v="357.20000000000005"/>
    <n v="341.6"/>
    <n v="2493.6883923272217"/>
    <n v="171.05"/>
    <n v="170.8"/>
    <n v="178.11428571428573"/>
    <n v="-1.1417697431018036E-2"/>
  </r>
  <r>
    <x v="0"/>
    <n v="2022"/>
    <s v="November"/>
    <x v="5"/>
    <d v="2022-11-01T00:00:00"/>
    <s v="Post covid"/>
    <n v="166.9"/>
    <n v="1.3357619914997069E-2"/>
    <n v="207.2"/>
    <n v="-7.6628352490422545E-3"/>
    <n v="180.2"/>
    <n v="5.8132706987668682E-2"/>
    <n v="172.3"/>
    <n v="8.1919251023990971E-3"/>
    <n v="194"/>
    <n v="1.2526096033402953E-2"/>
    <n v="159.1"/>
    <n v="-1.9112207151664579E-2"/>
    <n v="171.6"/>
    <n v="-7.1428571428571522E-2"/>
    <n v="170.2"/>
    <n v="2.9463759575721863E-3"/>
    <n v="121.5"/>
    <n v="3.3030553261767606E-3"/>
    <n v="204.8"/>
    <n v="1.5873015873015959E-2"/>
    <n v="176.4"/>
    <n v="3.412969283276418E-3"/>
    <n v="186.9"/>
    <n v="7.0043103448276479E-3"/>
    <n v="176.6"/>
    <n v="-4.5095828635851824E-3"/>
    <n v="195.5"/>
    <n v="3.0785017957926848E-3"/>
    <n v="187.2"/>
    <n v="185.2"/>
    <n v="186.9"/>
    <n v="139.27096774193564"/>
    <n v="181.9"/>
    <n v="175.5"/>
    <n v="182.3"/>
    <n v="167.5"/>
    <n v="170.8"/>
    <n v="176.9"/>
    <n v="173.4"/>
    <n v="174.6"/>
    <n v="177.8"/>
    <n v="4397.7960811218627"/>
    <n v="695.7"/>
    <n v="372.4"/>
    <n v="314.77096774193564"/>
    <n v="2483.2220348781302"/>
    <n v="173.92500000000001"/>
    <n v="157.38548387096782"/>
    <n v="177.37142857142857"/>
    <n v="-4.1706769329484519E-3"/>
  </r>
  <r>
    <x v="1"/>
    <n v="2022"/>
    <s v="November"/>
    <x v="5"/>
    <d v="2022-11-01T00:00:00"/>
    <s v="Post covid"/>
    <n v="168.4"/>
    <n v="1.2019230769230768E-2"/>
    <n v="213.4"/>
    <n v="-6.9799906933457421E-3"/>
    <n v="183.2"/>
    <n v="6.5735892961023751E-2"/>
    <n v="172.3"/>
    <n v="7.6023391812866164E-3"/>
    <n v="180"/>
    <n v="1.2943162633652288E-2"/>
    <n v="162.6"/>
    <n v="-1.8708509354254645E-2"/>
    <n v="205.5"/>
    <n v="-0.10104986876640418"/>
    <n v="171"/>
    <n v="6.4743967039434629E-3"/>
    <n v="123.4"/>
    <n v="0"/>
    <n v="198.8"/>
    <n v="1.2219959266802473E-2"/>
    <n v="162.1"/>
    <n v="3.0940594059405942E-3"/>
    <n v="192.4"/>
    <n v="4.6997389033942858E-3"/>
    <n v="181.3"/>
    <n v="-1.0911074740861974E-2"/>
    <n v="200.6"/>
    <n v="2.4987506246876563E-3"/>
    <n v="176.7"/>
    <n v="163.5"/>
    <n v="174.7"/>
    <n v="171.8"/>
    <n v="180.3"/>
    <n v="166.9"/>
    <n v="175.8"/>
    <n v="158.9"/>
    <n v="166.7"/>
    <n v="171.5"/>
    <n v="173.8"/>
    <n v="167.4"/>
    <n v="174.1"/>
    <n v="4388.289638086897"/>
    <n v="679.40000000000009"/>
    <n v="340.2"/>
    <n v="338.70000000000005"/>
    <n v="2514.9871393362705"/>
    <n v="169.85000000000002"/>
    <n v="169.35000000000002"/>
    <n v="179.64285714285714"/>
    <n v="1.2806056701030933E-2"/>
  </r>
  <r>
    <x v="2"/>
    <n v="2022"/>
    <s v="November"/>
    <x v="5"/>
    <d v="2022-11-01T00:00:00"/>
    <s v="Post covid"/>
    <n v="167.4"/>
    <n v="1.3317191283293082E-2"/>
    <n v="209.4"/>
    <n v="-7.1123755334281651E-3"/>
    <n v="181.4"/>
    <n v="6.1439438267992974E-2"/>
    <n v="172.3"/>
    <n v="8.1919251023990971E-3"/>
    <n v="188.9"/>
    <n v="1.286863270777483E-2"/>
    <n v="160.69999999999999"/>
    <n v="-1.8925518925519063E-2"/>
    <n v="183.1"/>
    <n v="-8.3124687030545791E-2"/>
    <n v="170.5"/>
    <n v="4.1224970553591792E-3"/>
    <n v="122.1"/>
    <n v="1.640689089417462E-3"/>
    <n v="202.8"/>
    <n v="1.4507253626813434E-2"/>
    <n v="170.4"/>
    <n v="2.942907592701589E-3"/>
    <n v="189.5"/>
    <n v="6.3728093467869812E-3"/>
    <n v="178.3"/>
    <n v="-7.2383073496658295E-3"/>
    <n v="196.9"/>
    <n v="3.0565461029036897E-3"/>
    <n v="183.1"/>
    <n v="176.2"/>
    <n v="182.1"/>
    <n v="171.8"/>
    <n v="181.3"/>
    <n v="171.4"/>
    <n v="179.8"/>
    <n v="163"/>
    <n v="168.5"/>
    <n v="173.7"/>
    <n v="173.6"/>
    <n v="171.1"/>
    <n v="176.5"/>
    <n v="4407.2120590013365"/>
    <n v="686.9"/>
    <n v="359.29999999999995"/>
    <n v="343.20000000000005"/>
    <n v="2493.7090024552335"/>
    <n v="171.72499999999999"/>
    <n v="171.60000000000002"/>
    <n v="178.12142857142859"/>
    <n v="-8.4691848906559095E-3"/>
  </r>
  <r>
    <x v="0"/>
    <n v="2022"/>
    <s v="December"/>
    <x v="6"/>
    <d v="2022-12-01T00:00:00"/>
    <s v="Post covid"/>
    <n v="168.8"/>
    <n v="1.1384062312762167E-2"/>
    <n v="206.9"/>
    <n v="-1.4478764478763656E-3"/>
    <n v="189.1"/>
    <n v="4.9389567147613798E-2"/>
    <n v="173.4"/>
    <n v="6.3842135809634021E-3"/>
    <n v="193.9"/>
    <n v="-5.1546391752574393E-4"/>
    <n v="156.69999999999999"/>
    <n v="-1.5084852294154657E-2"/>
    <n v="150.19999999999999"/>
    <n v="-0.12470862470862475"/>
    <n v="170.5"/>
    <n v="1.7626321974148729E-3"/>
    <n v="121.2"/>
    <n v="-2.4691358024691123E-3"/>
    <n v="207.5"/>
    <n v="1.3183593749999944E-2"/>
    <n v="176.8"/>
    <n v="2.2675736961451569E-3"/>
    <n v="187.7"/>
    <n v="4.2803638309255373E-3"/>
    <n v="174.4"/>
    <n v="-1.2457531143827796E-2"/>
    <n v="195.9"/>
    <n v="2.0460358056266273E-3"/>
    <n v="188.1"/>
    <n v="185.9"/>
    <n v="187.8"/>
    <n v="139.27096774193564"/>
    <n v="182.8"/>
    <n v="176.4"/>
    <n v="183.5"/>
    <n v="167.8"/>
    <n v="171.2"/>
    <n v="177.3"/>
    <n v="175.7"/>
    <n v="175.5"/>
    <n v="177.1"/>
    <n v="4396.4049822999423"/>
    <n v="699.7"/>
    <n v="374"/>
    <n v="315.67096774193567"/>
    <n v="2472.9319685222013"/>
    <n v="174.92500000000001"/>
    <n v="157.83548387096783"/>
    <n v="176.64285714285714"/>
    <n v="-8.3009183141518166E-3"/>
  </r>
  <r>
    <x v="1"/>
    <n v="2022"/>
    <s v="December"/>
    <x v="6"/>
    <d v="2022-12-01T00:00:00"/>
    <s v="Post covid"/>
    <n v="170.2"/>
    <n v="1.0688836104512963E-2"/>
    <n v="212.9"/>
    <n v="-2.3430178069353325E-3"/>
    <n v="191.9"/>
    <n v="4.7489082969432411E-2"/>
    <n v="173.9"/>
    <n v="9.286128845037692E-3"/>
    <n v="179.1"/>
    <n v="-5.0000000000000313E-3"/>
    <n v="159.5"/>
    <n v="-1.9065190651906486E-2"/>
    <n v="178.7"/>
    <n v="-0.1304136253041363"/>
    <n v="171.3"/>
    <n v="1.7543859649123471E-3"/>
    <n v="123.1"/>
    <n v="-2.4311183144247275E-3"/>
    <n v="200.5"/>
    <n v="8.5513078470824365E-3"/>
    <n v="162.80000000000001"/>
    <n v="4.3183220234424245E-3"/>
    <n v="193.3"/>
    <n v="4.6777546777547075E-3"/>
    <n v="178.6"/>
    <n v="-1.4892443463872128E-2"/>
    <n v="201.1"/>
    <n v="2.4925224327018943E-3"/>
    <n v="177.7"/>
    <n v="164.5"/>
    <n v="175.7"/>
    <n v="170.7"/>
    <n v="180.6"/>
    <n v="167.3"/>
    <n v="177.2"/>
    <n v="159.4"/>
    <n v="167.1"/>
    <n v="171.8"/>
    <n v="176"/>
    <n v="168.2"/>
    <n v="174.1"/>
    <n v="4377.3151129453236"/>
    <n v="683.1"/>
    <n v="342.2"/>
    <n v="338"/>
    <n v="2496.8126204228906"/>
    <n v="170.77500000000001"/>
    <n v="169"/>
    <n v="178.34999999999997"/>
    <n v="9.6643752527293091E-3"/>
  </r>
  <r>
    <x v="2"/>
    <n v="2022"/>
    <s v="December"/>
    <x v="6"/>
    <d v="2022-12-01T00:00:00"/>
    <s v="Post covid"/>
    <n v="169.2"/>
    <n v="1.0752688172042909E-2"/>
    <n v="209"/>
    <n v="-1.9102196752626823E-3"/>
    <n v="190.2"/>
    <n v="4.8511576626240255E-2"/>
    <n v="173.6"/>
    <n v="7.5449796865930518E-3"/>
    <n v="188.5"/>
    <n v="-2.1175224986765785E-3"/>
    <n v="158"/>
    <n v="-1.6801493466085806E-2"/>
    <n v="159.9"/>
    <n v="-0.12670671764063349"/>
    <n v="170.8"/>
    <n v="1.7595307917889231E-3"/>
    <n v="121.8"/>
    <n v="-2.457002457002434E-3"/>
    <n v="205.2"/>
    <n v="1.1834319526627106E-2"/>
    <n v="171"/>
    <n v="3.521126760563347E-3"/>
    <n v="190.3"/>
    <n v="4.2216358839050729E-3"/>
    <n v="175.9"/>
    <n v="-1.3460459899046581E-2"/>
    <n v="197.3"/>
    <n v="2.031488065007647E-3"/>
    <n v="184"/>
    <n v="177"/>
    <n v="183"/>
    <n v="170.7"/>
    <n v="182"/>
    <n v="172.1"/>
    <n v="181.1"/>
    <n v="163.4"/>
    <n v="168.9"/>
    <n v="174.1"/>
    <n v="175.8"/>
    <n v="172"/>
    <n v="175.7"/>
    <n v="4401.7267239298762"/>
    <n v="690.8"/>
    <n v="361"/>
    <n v="342.79999999999995"/>
    <n v="2480.624692441811"/>
    <n v="172.7"/>
    <n v="171.39999999999998"/>
    <n v="177.19285714285715"/>
    <n v="-6.4880451760180313E-3"/>
  </r>
  <r>
    <x v="0"/>
    <n v="2023"/>
    <s v="January"/>
    <x v="7"/>
    <d v="2023-01-01T00:00:00"/>
    <s v="Post covid"/>
    <n v="174"/>
    <n v="3.0805687203791399E-2"/>
    <n v="208.3"/>
    <n v="6.7665538907685143E-3"/>
    <n v="192.9"/>
    <n v="2.009518773135913E-2"/>
    <n v="174.3"/>
    <n v="5.1903114186851538E-3"/>
    <n v="192.6"/>
    <n v="-6.7044868488912394E-3"/>
    <n v="156.30000000000001"/>
    <n v="-2.5526483726865173E-3"/>
    <n v="142.9"/>
    <n v="-4.8601864181091768E-2"/>
    <n v="170.7"/>
    <n v="1.173020527859171E-3"/>
    <n v="120.3"/>
    <n v="-7.4257425742574722E-3"/>
    <n v="210.5"/>
    <n v="1.4457831325301205E-2"/>
    <n v="176.9"/>
    <n v="5.6561085972847464E-4"/>
    <n v="188.5"/>
    <n v="4.2621204049014989E-3"/>
    <n v="175"/>
    <n v="3.4403669724770315E-3"/>
    <n v="196.9"/>
    <n v="5.1046452271567124E-3"/>
    <n v="189"/>
    <n v="186.3"/>
    <n v="188.6"/>
    <n v="139.27096774193564"/>
    <n v="183.2"/>
    <n v="177.2"/>
    <n v="184.7"/>
    <n v="168.2"/>
    <n v="171.8"/>
    <n v="177.8"/>
    <n v="178.4"/>
    <n v="176.5"/>
    <n v="177.8"/>
    <n v="4412.4975443355206"/>
    <n v="704.5"/>
    <n v="375.3"/>
    <n v="316.47096774193562"/>
    <n v="2480.1214719483578"/>
    <n v="176.125"/>
    <n v="158.23548387096781"/>
    <n v="177.15000000000003"/>
    <n v="-2.418672148988692E-4"/>
  </r>
  <r>
    <x v="1"/>
    <n v="2023"/>
    <s v="January"/>
    <x v="7"/>
    <d v="2023-01-01T00:00:00"/>
    <s v="Post covid"/>
    <n v="173.3"/>
    <n v="1.821386603995313E-2"/>
    <n v="215.2"/>
    <n v="1.0803193987787613E-2"/>
    <n v="197"/>
    <n v="2.6576341844710756E-2"/>
    <n v="175.2"/>
    <n v="7.4755606670499301E-3"/>
    <n v="178"/>
    <n v="-6.1418202121719398E-3"/>
    <n v="160.5"/>
    <n v="6.269592476489028E-3"/>
    <n v="175.3"/>
    <n v="-1.9026301063234344E-2"/>
    <n v="171.2"/>
    <n v="-5.837711617047445E-4"/>
    <n v="122.7"/>
    <n v="-3.2493907392363241E-3"/>
    <n v="204.3"/>
    <n v="1.8952618453865394E-2"/>
    <n v="163.69999999999999"/>
    <n v="5.5282555282553884E-3"/>
    <n v="194.3"/>
    <n v="5.1733057423693739E-3"/>
    <n v="179.5"/>
    <n v="5.0391937290033915E-3"/>
    <n v="201.6"/>
    <n v="2.4863252113376429E-3"/>
    <n v="178.7"/>
    <n v="165.3"/>
    <n v="176.6"/>
    <n v="172.1"/>
    <n v="180.1"/>
    <n v="168"/>
    <n v="178.5"/>
    <n v="159.5"/>
    <n v="167.8"/>
    <n v="171.8"/>
    <n v="178.8"/>
    <n v="168.9"/>
    <n v="174.9"/>
    <n v="4401.377516970505"/>
    <n v="687.3"/>
    <n v="344"/>
    <n v="340.1"/>
    <n v="2511.875030645293"/>
    <n v="171.82499999999999"/>
    <n v="170.05"/>
    <n v="179.41428571428574"/>
    <n v="1.2781742671666412E-2"/>
  </r>
  <r>
    <x v="2"/>
    <n v="2023"/>
    <s v="January"/>
    <x v="7"/>
    <d v="2023-01-01T00:00:00"/>
    <s v="Post covid"/>
    <n v="173.8"/>
    <n v="2.7186761229314557E-2"/>
    <n v="210.7"/>
    <n v="8.1339712918659744E-3"/>
    <n v="194.5"/>
    <n v="2.2607781282860208E-2"/>
    <n v="174.6"/>
    <n v="5.7603686635944703E-3"/>
    <n v="187.2"/>
    <n v="-6.8965517241379917E-3"/>
    <n v="158.30000000000001"/>
    <n v="1.8987341772152618E-3"/>
    <n v="153.9"/>
    <n v="-3.7523452157598496E-2"/>
    <n v="170.9"/>
    <n v="5.854800936767817E-4"/>
    <n v="121.1"/>
    <n v="-5.7471264367816325E-3"/>
    <n v="208.4"/>
    <n v="1.5594541910331468E-2"/>
    <n v="171.4"/>
    <n v="2.339181286549741E-3"/>
    <n v="191.2"/>
    <n v="4.7293746715710832E-3"/>
    <n v="176.7"/>
    <n v="4.5480386583284984E-3"/>
    <n v="198.2"/>
    <n v="4.5615813482005937E-3"/>
    <n v="184.9"/>
    <n v="177.6"/>
    <n v="183.8"/>
    <n v="172.1"/>
    <n v="182"/>
    <n v="172.9"/>
    <n v="182.3"/>
    <n v="163.6"/>
    <n v="169.5"/>
    <n v="174.3"/>
    <n v="178.6"/>
    <n v="172.8"/>
    <n v="176.5"/>
    <n v="4421.5477786842948"/>
    <n v="695.2"/>
    <n v="362.5"/>
    <n v="345"/>
    <n v="2490.9432171029466"/>
    <n v="173.8"/>
    <n v="172.5"/>
    <n v="177.92142857142855"/>
    <n v="-8.3207261724662224E-3"/>
  </r>
  <r>
    <x v="0"/>
    <n v="2023"/>
    <s v="February"/>
    <x v="8"/>
    <d v="2023-02-01T00:00:00"/>
    <s v="Post covid"/>
    <n v="174.2"/>
    <n v="1.1494252873562566E-3"/>
    <n v="205.2"/>
    <n v="-1.4882381180989066E-2"/>
    <n v="173.9"/>
    <n v="-9.8496630378434424E-2"/>
    <n v="177"/>
    <n v="1.5490533562822654E-2"/>
    <n v="183.4"/>
    <n v="-4.7767393561786026E-2"/>
    <n v="167.2"/>
    <n v="6.973768394113869E-2"/>
    <n v="140.9"/>
    <n v="-1.3995801259622112E-2"/>
    <n v="170.4"/>
    <n v="-1.7574692442881251E-3"/>
    <n v="119.1"/>
    <n v="-9.9750623441396749E-3"/>
    <n v="212.1"/>
    <n v="7.6009501187648187E-3"/>
    <n v="177.6"/>
    <n v="3.9570378745053059E-3"/>
    <n v="189.9"/>
    <n v="7.4270557029178022E-3"/>
    <n v="174.8"/>
    <n v="-1.1428571428570779E-3"/>
    <n v="198.3"/>
    <n v="7.1102082275266917E-3"/>
    <n v="190"/>
    <n v="187"/>
    <n v="189.6"/>
    <n v="139.27096774193564"/>
    <n v="181.6"/>
    <n v="178.6"/>
    <n v="186.6"/>
    <n v="169"/>
    <n v="172.8"/>
    <n v="178.5"/>
    <n v="180.7"/>
    <n v="177.9"/>
    <n v="178"/>
    <n v="4405.8954230415393"/>
    <n v="709.90000000000009"/>
    <n v="377"/>
    <n v="317.8709677419356"/>
    <n v="2463.9173450913754"/>
    <n v="177.47500000000002"/>
    <n v="158.9354838709678"/>
    <n v="176"/>
    <n v="-1.079930948653085E-2"/>
  </r>
  <r>
    <x v="1"/>
    <n v="2023"/>
    <s v="February"/>
    <x v="8"/>
    <d v="2023-02-01T00:00:00"/>
    <s v="Post covid"/>
    <n v="174.7"/>
    <n v="8.078476630121045E-3"/>
    <n v="212.2"/>
    <n v="-1.3940520446096656E-2"/>
    <n v="177.2"/>
    <n v="-0.10050761421319802"/>
    <n v="177.9"/>
    <n v="1.5410958904109687E-2"/>
    <n v="172.2"/>
    <n v="-3.2584269662921411E-2"/>
    <n v="172.1"/>
    <n v="7.2274143302180655E-2"/>
    <n v="175.8"/>
    <n v="2.8522532800912721E-3"/>
    <n v="172.2"/>
    <n v="5.8411214953271035E-3"/>
    <n v="121.9"/>
    <n v="-6.5199674001629754E-3"/>
    <n v="204.8"/>
    <n v="2.4473813020068525E-3"/>
    <n v="164.9"/>
    <n v="7.3304825901039528E-3"/>
    <n v="196.6"/>
    <n v="1.1837364899639644E-2"/>
    <n v="180.7"/>
    <n v="6.6852367688021649E-3"/>
    <n v="202.7"/>
    <n v="5.4563492063491783E-3"/>
    <n v="180.3"/>
    <n v="167"/>
    <n v="178.2"/>
    <n v="173.5"/>
    <n v="182.8"/>
    <n v="169.2"/>
    <n v="180.8"/>
    <n v="159.80000000000001"/>
    <n v="168.4"/>
    <n v="172.5"/>
    <n v="181.4"/>
    <n v="170"/>
    <n v="176.3"/>
    <n v="4411.584661396656"/>
    <n v="692.3"/>
    <n v="347.3"/>
    <n v="342.7"/>
    <n v="2505.8792050474494"/>
    <n v="173.07499999999999"/>
    <n v="171.35"/>
    <n v="178.9928571428571"/>
    <n v="1.7004870129869912E-2"/>
  </r>
  <r>
    <x v="2"/>
    <n v="2023"/>
    <s v="February"/>
    <x v="8"/>
    <d v="2023-02-01T00:00:00"/>
    <s v="Post covid"/>
    <n v="174.4"/>
    <n v="3.4522439585730398E-3"/>
    <n v="207.7"/>
    <n v="-1.423825344091125E-2"/>
    <n v="175.2"/>
    <n v="-9.9228791773778982E-2"/>
    <n v="177.3"/>
    <n v="1.5463917525773294E-2"/>
    <n v="179.3"/>
    <n v="-4.2200854700854579E-2"/>
    <n v="169.5"/>
    <n v="7.0751737207833149E-2"/>
    <n v="152.69999999999999"/>
    <n v="-7.7972709551658026E-3"/>
    <n v="171"/>
    <n v="5.8513750731418557E-4"/>
    <n v="120"/>
    <n v="-9.0834021469859156E-3"/>
    <n v="209.7"/>
    <n v="6.2380038387715112E-3"/>
    <n v="172.3"/>
    <n v="5.2508751458576761E-3"/>
    <n v="193"/>
    <n v="9.4142259414226534E-3"/>
    <n v="177"/>
    <n v="1.6977928692700134E-3"/>
    <n v="199.5"/>
    <n v="6.5590312815338621E-3"/>
    <n v="186.2"/>
    <n v="178.7"/>
    <n v="185.1"/>
    <n v="173.5"/>
    <n v="182.1"/>
    <n v="174.2"/>
    <n v="184.4"/>
    <n v="164.2"/>
    <n v="170.3"/>
    <n v="175"/>
    <n v="181"/>
    <n v="174.1"/>
    <n v="177.2"/>
    <n v="4422.2468643922584"/>
    <n v="700.40000000000009"/>
    <n v="364.9"/>
    <n v="347.7"/>
    <n v="2478.5403053609775"/>
    <n v="175.10000000000002"/>
    <n v="173.85"/>
    <n v="177.04285714285714"/>
    <n v="-1.089428947683445E-2"/>
  </r>
  <r>
    <x v="0"/>
    <n v="2023"/>
    <s v="March"/>
    <x v="9"/>
    <d v="2023-03-01T00:00:00"/>
    <s v="Post covid"/>
    <n v="174.3"/>
    <n v="5.7405281285891356E-4"/>
    <n v="205.2"/>
    <n v="0"/>
    <n v="173.9"/>
    <n v="0"/>
    <n v="177"/>
    <n v="0"/>
    <n v="183.3"/>
    <n v="-5.4525627044707916E-4"/>
    <n v="167.2"/>
    <n v="0"/>
    <n v="140.9"/>
    <n v="0"/>
    <n v="170.5"/>
    <n v="5.8685446009386333E-4"/>
    <n v="119.1"/>
    <n v="0"/>
    <n v="212.1"/>
    <n v="0"/>
    <n v="177.6"/>
    <n v="0"/>
    <n v="189.9"/>
    <n v="0"/>
    <n v="174.8"/>
    <n v="0"/>
    <n v="198.4"/>
    <n v="5.0428643469487802E-4"/>
    <n v="190"/>
    <n v="187"/>
    <n v="189.6"/>
    <n v="139.27096774193564"/>
    <n v="181.4"/>
    <n v="178.6"/>
    <n v="186.6"/>
    <n v="169"/>
    <n v="172.8"/>
    <n v="178.5"/>
    <n v="180.7"/>
    <n v="177.9"/>
    <n v="178"/>
    <n v="4405.9720876793726"/>
    <n v="709.90000000000009"/>
    <n v="377"/>
    <n v="317.8709677419356"/>
    <n v="2464.2006156510029"/>
    <n v="177.47500000000002"/>
    <n v="158.9354838709678"/>
    <n v="176.01428571428573"/>
    <n v="-5.8097312999272777E-3"/>
  </r>
  <r>
    <x v="1"/>
    <n v="2023"/>
    <s v="March"/>
    <x v="9"/>
    <d v="2023-03-01T00:00:00"/>
    <s v="Post covid"/>
    <n v="174.7"/>
    <n v="0"/>
    <n v="212.2"/>
    <n v="0"/>
    <n v="177.2"/>
    <n v="0"/>
    <n v="177.9"/>
    <n v="0"/>
    <n v="172.2"/>
    <n v="0"/>
    <n v="172.1"/>
    <n v="0"/>
    <n v="175.9"/>
    <n v="5.6882821387937608E-4"/>
    <n v="172.2"/>
    <n v="0"/>
    <n v="121.9"/>
    <n v="0"/>
    <n v="204.8"/>
    <n v="0"/>
    <n v="164.9"/>
    <n v="0"/>
    <n v="196.6"/>
    <n v="0"/>
    <n v="180.8"/>
    <n v="5.5340343110139867E-4"/>
    <n v="202.7"/>
    <n v="0"/>
    <n v="180.2"/>
    <n v="167"/>
    <n v="178.2"/>
    <n v="173.5"/>
    <n v="182.6"/>
    <n v="169.2"/>
    <n v="180.8"/>
    <n v="159.80000000000001"/>
    <n v="168.4"/>
    <n v="172.5"/>
    <n v="181.5"/>
    <n v="170"/>
    <n v="176.3"/>
    <n v="4411.6011222316456"/>
    <n v="692.4"/>
    <n v="347.2"/>
    <n v="342.7"/>
    <n v="2506.1011222316451"/>
    <n v="173.1"/>
    <n v="171.35"/>
    <n v="179.00714285714284"/>
    <n v="1.700348997646273E-2"/>
  </r>
  <r>
    <x v="2"/>
    <n v="2023"/>
    <s v="March"/>
    <x v="9"/>
    <d v="2023-03-01T00:00:00"/>
    <s v="Post covid"/>
    <n v="174.4"/>
    <n v="0"/>
    <n v="207.7"/>
    <n v="0"/>
    <n v="175.2"/>
    <n v="0"/>
    <n v="177.3"/>
    <n v="0"/>
    <n v="179.2"/>
    <n v="-5.5772448410497898E-4"/>
    <n v="169.5"/>
    <n v="0"/>
    <n v="152.80000000000001"/>
    <n v="6.5487884741337755E-4"/>
    <n v="171.1"/>
    <n v="5.8479532163739363E-4"/>
    <n v="120"/>
    <n v="0"/>
    <n v="209.7"/>
    <n v="0"/>
    <n v="172.3"/>
    <n v="0"/>
    <n v="193"/>
    <n v="0"/>
    <n v="177"/>
    <n v="0"/>
    <n v="199.5"/>
    <n v="0"/>
    <n v="186.1"/>
    <n v="178.7"/>
    <n v="185.1"/>
    <n v="173.5"/>
    <n v="181.9"/>
    <n v="174.2"/>
    <n v="184.4"/>
    <n v="164.2"/>
    <n v="170.3"/>
    <n v="175"/>
    <n v="181"/>
    <n v="174.1"/>
    <n v="177.2"/>
    <n v="4422.1006819496843"/>
    <n v="700.40000000000009"/>
    <n v="364.79999999999995"/>
    <n v="347.7"/>
    <n v="2478.7006819496846"/>
    <n v="175.10000000000002"/>
    <n v="173.85"/>
    <n v="177.04999999999998"/>
    <n v="-1.0933322692629975E-2"/>
  </r>
  <r>
    <x v="0"/>
    <n v="2023"/>
    <s v="April"/>
    <x v="10"/>
    <d v="2023-04-01T00:00:00"/>
    <s v="Post covid"/>
    <n v="173.3"/>
    <n v="-5.737234652897303E-3"/>
    <n v="206.9"/>
    <n v="8.2846003898636306E-3"/>
    <n v="167.9"/>
    <n v="-3.4502587694077054E-2"/>
    <n v="178.2"/>
    <n v="6.7796610169490882E-3"/>
    <n v="178.5"/>
    <n v="-2.61865793780688E-2"/>
    <n v="173.7"/>
    <n v="3.8875598086124404E-2"/>
    <n v="142.80000000000001"/>
    <n v="1.3484740951029138E-2"/>
    <n v="172.8"/>
    <n v="1.3489736070381298E-2"/>
    <n v="120.4"/>
    <n v="1.0915197313182296E-2"/>
    <n v="215.5"/>
    <n v="1.6030174446016059E-2"/>
    <n v="178.2"/>
    <n v="3.3783783783783465E-3"/>
    <n v="190.5"/>
    <n v="3.1595576619273002E-3"/>
    <n v="175.5"/>
    <n v="4.0045766590388367E-3"/>
    <n v="199.5"/>
    <n v="5.5443548387096482E-3"/>
    <n v="190.7"/>
    <n v="187.3"/>
    <n v="190.2"/>
    <n v="139.27096774193564"/>
    <n v="181.5"/>
    <n v="179.1"/>
    <n v="187.2"/>
    <n v="169.4"/>
    <n v="173.2"/>
    <n v="179.4"/>
    <n v="183.8"/>
    <n v="178.9"/>
    <n v="178.8"/>
    <n v="4423.5284879160217"/>
    <n v="715.3"/>
    <n v="378"/>
    <n v="318.3709677419356"/>
    <n v="2473.7519758192479"/>
    <n v="178.82499999999999"/>
    <n v="159.1854838709678"/>
    <n v="176.69285714285712"/>
    <n v="-2.0171864283697332E-3"/>
  </r>
  <r>
    <x v="1"/>
    <n v="2023"/>
    <s v="April"/>
    <x v="10"/>
    <d v="2023-04-01T00:00:00"/>
    <s v="Post covid"/>
    <n v="174.8"/>
    <n v="5.7240984544947189E-4"/>
    <n v="213.7"/>
    <n v="7.068803016022621E-3"/>
    <n v="172.4"/>
    <n v="-2.7088036117381396E-2"/>
    <n v="178.8"/>
    <n v="5.0590219224283623E-3"/>
    <n v="168.7"/>
    <n v="-2.0325203252032523E-2"/>
    <n v="179.2"/>
    <n v="4.1255084253341047E-2"/>
    <n v="179.9"/>
    <n v="2.2740193291642979E-2"/>
    <n v="174.7"/>
    <n v="1.4518002322880372E-2"/>
    <n v="123.1"/>
    <n v="9.8441345365052387E-3"/>
    <n v="207.8"/>
    <n v="1.46484375E-2"/>
    <n v="165.5"/>
    <n v="3.6385688295936585E-3"/>
    <n v="197"/>
    <n v="2.034587995930853E-3"/>
    <n v="182.1"/>
    <n v="7.1902654867255691E-3"/>
    <n v="203.5"/>
    <n v="3.9467192895905846E-3"/>
    <n v="181"/>
    <n v="167.7"/>
    <n v="178.9"/>
    <n v="175.2"/>
    <n v="182.1"/>
    <n v="169.6"/>
    <n v="181.5"/>
    <n v="160.1"/>
    <n v="168.8"/>
    <n v="174.2"/>
    <n v="184.4"/>
    <n v="170.9"/>
    <n v="177.4"/>
    <n v="4436.7851029889216"/>
    <n v="698.3"/>
    <n v="348.7"/>
    <n v="344.79999999999995"/>
    <n v="2521.2811562696311"/>
    <n v="174.57499999999999"/>
    <n v="172.39999999999998"/>
    <n v="180.08571428571432"/>
    <n v="1.9202005093584811E-2"/>
  </r>
  <r>
    <x v="2"/>
    <n v="2023"/>
    <s v="April"/>
    <x v="10"/>
    <d v="2023-04-01T00:00:00"/>
    <s v="Post covid"/>
    <n v="173.8"/>
    <n v="-3.4403669724770315E-3"/>
    <n v="209.3"/>
    <n v="7.7034183919115207E-3"/>
    <n v="169.6"/>
    <n v="-3.1963470319634674E-2"/>
    <n v="178.4"/>
    <n v="6.2041737168640398E-3"/>
    <n v="174.9"/>
    <n v="-2.3995535714285622E-2"/>
    <n v="176.3"/>
    <n v="4.0117994100295054E-2"/>
    <n v="155.4"/>
    <n v="1.7015706806282685E-2"/>
    <n v="173.4"/>
    <n v="1.3442431326709593E-2"/>
    <n v="121.3"/>
    <n v="1.0833333333333309E-2"/>
    <n v="212.9"/>
    <n v="1.5259895088221351E-2"/>
    <n v="172.9"/>
    <n v="3.4822983168891135E-3"/>
    <n v="193.5"/>
    <n v="2.5906735751295338E-3"/>
    <n v="177.9"/>
    <n v="5.0847457627118961E-3"/>
    <n v="200.6"/>
    <n v="5.5137844611528536E-3"/>
    <n v="186.9"/>
    <n v="179.2"/>
    <n v="185.7"/>
    <n v="175.2"/>
    <n v="181.7"/>
    <n v="174.6"/>
    <n v="185"/>
    <n v="164.5"/>
    <n v="170.7"/>
    <n v="176.4"/>
    <n v="184"/>
    <n v="175"/>
    <n v="178.1"/>
    <n v="4443.4678490818742"/>
    <n v="706.09999999999991"/>
    <n v="366.1"/>
    <n v="349.79999999999995"/>
    <n v="2490.2623352974119"/>
    <n v="176.52499999999998"/>
    <n v="174.89999999999998"/>
    <n v="177.87142857142859"/>
    <n v="-1.2295732191020193E-2"/>
  </r>
  <r>
    <x v="0"/>
    <n v="2023"/>
    <s v="May"/>
    <x v="11"/>
    <d v="2023-05-01T00:00:00"/>
    <s v="Post covid"/>
    <n v="173.2"/>
    <n v="-5.7703404500878666E-4"/>
    <n v="211.5"/>
    <n v="2.2232962783953574E-2"/>
    <n v="171"/>
    <n v="1.8463371054198895E-2"/>
    <n v="179.6"/>
    <n v="7.8563411896745549E-3"/>
    <n v="173.3"/>
    <n v="-2.913165266106436E-2"/>
    <n v="169"/>
    <n v="-2.7058146229130622E-2"/>
    <n v="148.69999999999999"/>
    <n v="4.1316526610644097E-2"/>
    <n v="174.9"/>
    <n v="1.2152777777777743E-2"/>
    <n v="121.9"/>
    <n v="1.2458471760797342E-2"/>
    <n v="221"/>
    <n v="2.5522041763341066E-2"/>
    <n v="178.7"/>
    <n v="2.8058361391694727E-3"/>
    <n v="191.1"/>
    <n v="3.1496062992125685E-3"/>
    <n v="176.8"/>
    <n v="7.4074074074074719E-3"/>
    <n v="199.9"/>
    <n v="2.0050125313283494E-3"/>
    <n v="191.2"/>
    <n v="187.9"/>
    <n v="190.8"/>
    <n v="139.27096774193564"/>
    <n v="182.5"/>
    <n v="179.8"/>
    <n v="187.8"/>
    <n v="169.7"/>
    <n v="173.8"/>
    <n v="180.3"/>
    <n v="184.9"/>
    <n v="179.5"/>
    <n v="179.8"/>
    <n v="4447.3695712643175"/>
    <n v="718.5"/>
    <n v="379.1"/>
    <n v="319.07096774193565"/>
    <n v="2490.6965985098518"/>
    <n v="179.625"/>
    <n v="159.53548387096782"/>
    <n v="177.90000000000006"/>
    <n v="1.6062966829995408E-4"/>
  </r>
  <r>
    <x v="1"/>
    <n v="2023"/>
    <s v="May"/>
    <x v="11"/>
    <d v="2023-05-01T00:00:00"/>
    <s v="Post covid"/>
    <n v="174.7"/>
    <n v="-5.7208237986283023E-4"/>
    <n v="219.4"/>
    <n v="2.6672905942910705E-2"/>
    <n v="176.7"/>
    <n v="2.4941995359628672E-2"/>
    <n v="179.4"/>
    <n v="3.355704697986545E-3"/>
    <n v="164.4"/>
    <n v="-2.5489033787788874E-2"/>
    <n v="175.8"/>
    <n v="-1.8973214285714159E-2"/>
    <n v="185"/>
    <n v="2.8349082823790964E-2"/>
    <n v="176.9"/>
    <n v="1.2593016599885617E-2"/>
    <n v="124.2"/>
    <n v="8.9358245329001513E-3"/>
    <n v="211.9"/>
    <n v="1.9730510105871003E-2"/>
    <n v="165.9"/>
    <n v="2.4169184290030554E-3"/>
    <n v="197.7"/>
    <n v="3.5532994923857292E-3"/>
    <n v="183.1"/>
    <n v="5.4914881933003845E-3"/>
    <n v="204.2"/>
    <n v="3.4398034398033838E-3"/>
    <n v="181.3"/>
    <n v="168.1"/>
    <n v="179.3"/>
    <n v="175.6"/>
    <n v="183.4"/>
    <n v="170.1"/>
    <n v="182.2"/>
    <n v="160.4"/>
    <n v="169.2"/>
    <n v="174.8"/>
    <n v="185.6"/>
    <n v="171.6"/>
    <n v="178.2"/>
    <n v="4461.694446219165"/>
    <n v="701.2"/>
    <n v="349.4"/>
    <n v="345.7"/>
    <n v="2539.3910064157244"/>
    <n v="175.3"/>
    <n v="172.85"/>
    <n v="181.37857142857141"/>
    <n v="1.9553521239861388E-2"/>
  </r>
  <r>
    <x v="2"/>
    <n v="2023"/>
    <s v="May"/>
    <x v="11"/>
    <d v="2023-05-01T00:00:00"/>
    <s v="Post covid"/>
    <n v="173.7"/>
    <n v="-5.7537399309564284E-4"/>
    <n v="214.3"/>
    <n v="2.3889154323936932E-2"/>
    <n v="173.2"/>
    <n v="2.122641509433959E-2"/>
    <n v="179.5"/>
    <n v="6.1659192825111791E-3"/>
    <n v="170"/>
    <n v="-2.801600914808465E-2"/>
    <n v="172.2"/>
    <n v="-2.32558139534885E-2"/>
    <n v="161"/>
    <n v="3.6036036036036001E-2"/>
    <n v="175.6"/>
    <n v="1.2687427912341341E-2"/>
    <n v="122.7"/>
    <n v="1.1541632316570533E-2"/>
    <n v="218"/>
    <n v="2.3954908407703118E-2"/>
    <n v="173.4"/>
    <n v="2.8918449971081549E-3"/>
    <n v="194.2"/>
    <n v="3.6175710594314658E-3"/>
    <n v="179.1"/>
    <n v="6.7453625632377095E-3"/>
    <n v="201"/>
    <n v="1.9940179461615439E-3"/>
    <n v="187.3"/>
    <n v="179.7"/>
    <n v="186.2"/>
    <n v="175.6"/>
    <n v="182.8"/>
    <n v="175.2"/>
    <n v="185.7"/>
    <n v="164.8"/>
    <n v="171.2"/>
    <n v="177.1"/>
    <n v="185.2"/>
    <n v="175.7"/>
    <n v="179.1"/>
    <n v="4468.2989030928438"/>
    <n v="709.2"/>
    <n v="367"/>
    <n v="350.79999999999995"/>
    <n v="2507.9969090748982"/>
    <n v="177.3"/>
    <n v="175.39999999999998"/>
    <n v="179.1357142857143"/>
    <n v="-1.236561257039320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0920E6-A7BF-4734-8467-940531DD4028}"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1:B30" firstHeaderRow="2" firstDataRow="2" firstDataCol="1" rowPageCount="1" colPageCount="1"/>
  <pivotFields count="41">
    <pivotField axis="axisPage" compact="0" outline="0" showAll="0">
      <items count="4">
        <item x="0"/>
        <item x="2"/>
        <item x="1"/>
        <item t="default"/>
      </items>
    </pivotField>
    <pivotField axis="axisRow" compact="0" outline="0" showAll="0">
      <items count="12">
        <item h="1" x="0"/>
        <item h="1" x="1"/>
        <item h="1" x="2"/>
        <item h="1"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outline="0" showAll="0"/>
    <pivotField compact="0" numFmtId="164" outline="0" showAll="0"/>
    <pivotField compact="0" outline="0" showAll="0"/>
  </pivotFields>
  <rowFields count="1">
    <field x="1"/>
  </rowFields>
  <rowItems count="8">
    <i>
      <x v="4"/>
    </i>
    <i>
      <x v="5"/>
    </i>
    <i>
      <x v="6"/>
    </i>
    <i>
      <x v="7"/>
    </i>
    <i>
      <x v="8"/>
    </i>
    <i>
      <x v="9"/>
    </i>
    <i>
      <x v="10"/>
    </i>
    <i t="grand">
      <x/>
    </i>
  </rowItems>
  <colItems count="1">
    <i/>
  </colItems>
  <pageFields count="1">
    <pageField fld="0" item="1" hier="-1"/>
  </pageFields>
  <dataFields count="1">
    <dataField name="Average of General index" fld="32" subtotal="average" baseField="0" baseItem="0"/>
  </dataFields>
  <formats count="1">
    <format dxfId="2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03A1DF-879B-4B0F-B2B1-C3F7396657AE}"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D8" firstHeaderRow="1" firstDataRow="2" firstDataCol="1" rowPageCount="1" colPageCount="1"/>
  <pivotFields count="41">
    <pivotField axis="axisPage" compact="0" outline="0" showAll="0">
      <items count="4">
        <item x="0"/>
        <item x="2"/>
        <item x="1"/>
        <item t="default"/>
      </items>
    </pivotField>
    <pivotField axis="axisRow" compact="0" outline="0" showAll="0">
      <items count="12">
        <item h="1" x="0"/>
        <item h="1" x="1"/>
        <item h="1" x="2"/>
        <item h="1" x="3"/>
        <item h="1" x="4"/>
        <item h="1" x="5"/>
        <item h="1" x="6"/>
        <item h="1" x="7"/>
        <item x="8"/>
        <item x="9"/>
        <item h="1"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outline="0" showAll="0"/>
    <pivotField compact="0" numFmtId="164" outline="0" showAll="0"/>
    <pivotField dataField="1" compact="0" outline="0" showAll="0"/>
  </pivotFields>
  <rowFields count="1">
    <field x="1"/>
  </rowFields>
  <rowItems count="3">
    <i>
      <x v="8"/>
    </i>
    <i>
      <x v="9"/>
    </i>
    <i t="grand">
      <x/>
    </i>
  </rowItems>
  <colFields count="1">
    <field x="-2"/>
  </colFields>
  <colItems count="3">
    <i>
      <x/>
    </i>
    <i i="1">
      <x v="1"/>
    </i>
    <i i="2">
      <x v="2"/>
    </i>
  </colItems>
  <pageFields count="1">
    <pageField fld="0" item="1" hier="-1"/>
  </pageFields>
  <dataFields count="3">
    <dataField name="Average of  Average Food Expences " fld="40" subtotal="average" baseField="0" baseItem="0"/>
    <dataField name="Average of Fuel and light" fld="24" subtotal="average" baseField="0" baseItem="0"/>
    <dataField name="Average of Health" fld="26" subtotal="average"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467F9A-12F8-4112-8273-ACC5192F6993}" name="PivotTable32"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7">
  <location ref="A68:B82" firstHeaderRow="2" firstDataRow="2" firstDataCol="1" rowPageCount="1" colPageCount="1"/>
  <pivotFields count="56">
    <pivotField axis="axisPage" compact="0" outline="0" multipleItemSelectionAllowed="1" showAll="0">
      <items count="4">
        <item h="1" x="0"/>
        <item x="2"/>
        <item h="1" x="1"/>
        <item t="default"/>
      </items>
    </pivotField>
    <pivotField compact="0" outline="0" showAll="0"/>
    <pivotField compact="0" outline="0" showAll="0"/>
    <pivotField axis="axisRow" compact="0" outline="0" showAll="0">
      <items count="13">
        <item x="0"/>
        <item x="1"/>
        <item x="2"/>
        <item x="3"/>
        <item x="4"/>
        <item x="5"/>
        <item x="6"/>
        <item x="7"/>
        <item x="8"/>
        <item x="9"/>
        <item x="10"/>
        <item x="11"/>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outline="0" showAll="0"/>
    <pivotField dataField="1" compact="0" outline="0" showAll="0"/>
  </pivotFields>
  <rowFields count="1">
    <field x="3"/>
  </rowFields>
  <rowItems count="13">
    <i>
      <x/>
    </i>
    <i>
      <x v="1"/>
    </i>
    <i>
      <x v="2"/>
    </i>
    <i>
      <x v="3"/>
    </i>
    <i>
      <x v="4"/>
    </i>
    <i>
      <x v="5"/>
    </i>
    <i>
      <x v="6"/>
    </i>
    <i>
      <x v="7"/>
    </i>
    <i>
      <x v="8"/>
    </i>
    <i>
      <x v="9"/>
    </i>
    <i>
      <x v="10"/>
    </i>
    <i>
      <x v="11"/>
    </i>
    <i t="grand">
      <x/>
    </i>
  </rowItems>
  <colItems count="1">
    <i/>
  </colItems>
  <pageFields count="1">
    <pageField fld="0" hier="-1"/>
  </pageFields>
  <dataFields count="1">
    <dataField name="Sum of Mom Change %" fld="55" baseField="0" baseItem="0"/>
  </dataFields>
  <formats count="3">
    <format dxfId="18">
      <pivotArea outline="0" fieldPosition="0">
        <references count="1">
          <reference field="3" count="0" selected="0"/>
        </references>
      </pivotArea>
    </format>
    <format dxfId="17">
      <pivotArea outline="0" fieldPosition="0">
        <references count="1">
          <reference field="3" count="11" selected="0">
            <x v="1"/>
            <x v="2"/>
            <x v="3"/>
            <x v="4"/>
            <x v="5"/>
            <x v="6"/>
            <x v="7"/>
            <x v="8"/>
            <x v="9"/>
            <x v="10"/>
            <x v="11"/>
          </reference>
        </references>
      </pivotArea>
    </format>
    <format dxfId="16">
      <pivotArea outline="0" fieldPosition="0">
        <references count="1">
          <reference field="3" count="1" selected="0">
            <x v="0"/>
          </reference>
        </references>
      </pivotArea>
    </format>
  </formats>
  <chartFormats count="26">
    <chartFormat chart="17" format="0"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3" count="1" selected="0">
            <x v="8"/>
          </reference>
        </references>
      </pivotArea>
    </chartFormat>
    <chartFormat chart="17" format="3">
      <pivotArea type="data" outline="0" fieldPosition="0">
        <references count="2">
          <reference field="4294967294" count="1" selected="0">
            <x v="0"/>
          </reference>
          <reference field="3" count="1" selected="0">
            <x v="11"/>
          </reference>
        </references>
      </pivotArea>
    </chartFormat>
    <chartFormat chart="17" format="4">
      <pivotArea type="data" outline="0" fieldPosition="0">
        <references count="2">
          <reference field="4294967294" count="1" selected="0">
            <x v="0"/>
          </reference>
          <reference field="3" count="1" selected="0">
            <x v="6"/>
          </reference>
        </references>
      </pivotArea>
    </chartFormat>
    <chartFormat chart="17" format="5">
      <pivotArea type="data" outline="0" fieldPosition="0">
        <references count="2">
          <reference field="4294967294" count="1" selected="0">
            <x v="0"/>
          </reference>
          <reference field="3" count="1" selected="0">
            <x v="0"/>
          </reference>
        </references>
      </pivotArea>
    </chartFormat>
    <chartFormat chart="17" format="6">
      <pivotArea type="data" outline="0" fieldPosition="0">
        <references count="2">
          <reference field="4294967294" count="1" selected="0">
            <x v="0"/>
          </reference>
          <reference field="3" count="1" selected="0">
            <x v="1"/>
          </reference>
        </references>
      </pivotArea>
    </chartFormat>
    <chartFormat chart="17" format="7">
      <pivotArea type="data" outline="0" fieldPosition="0">
        <references count="2">
          <reference field="4294967294" count="1" selected="0">
            <x v="0"/>
          </reference>
          <reference field="3" count="1" selected="0">
            <x v="2"/>
          </reference>
        </references>
      </pivotArea>
    </chartFormat>
    <chartFormat chart="17" format="8">
      <pivotArea type="data" outline="0" fieldPosition="0">
        <references count="2">
          <reference field="4294967294" count="1" selected="0">
            <x v="0"/>
          </reference>
          <reference field="3" count="1" selected="0">
            <x v="3"/>
          </reference>
        </references>
      </pivotArea>
    </chartFormat>
    <chartFormat chart="17" format="9">
      <pivotArea type="data" outline="0" fieldPosition="0">
        <references count="2">
          <reference field="4294967294" count="1" selected="0">
            <x v="0"/>
          </reference>
          <reference field="3" count="1" selected="0">
            <x v="4"/>
          </reference>
        </references>
      </pivotArea>
    </chartFormat>
    <chartFormat chart="17" format="10">
      <pivotArea type="data" outline="0" fieldPosition="0">
        <references count="2">
          <reference field="4294967294" count="1" selected="0">
            <x v="0"/>
          </reference>
          <reference field="3" count="1" selected="0">
            <x v="5"/>
          </reference>
        </references>
      </pivotArea>
    </chartFormat>
    <chartFormat chart="17" format="11">
      <pivotArea type="data" outline="0" fieldPosition="0">
        <references count="2">
          <reference field="4294967294" count="1" selected="0">
            <x v="0"/>
          </reference>
          <reference field="3" count="1" selected="0">
            <x v="7"/>
          </reference>
        </references>
      </pivotArea>
    </chartFormat>
    <chartFormat chart="17" format="12">
      <pivotArea type="data" outline="0" fieldPosition="0">
        <references count="2">
          <reference field="4294967294" count="1" selected="0">
            <x v="0"/>
          </reference>
          <reference field="3" count="1" selected="0">
            <x v="9"/>
          </reference>
        </references>
      </pivotArea>
    </chartFormat>
    <chartFormat chart="17" format="13">
      <pivotArea type="data" outline="0" fieldPosition="0">
        <references count="2">
          <reference field="4294967294" count="1" selected="0">
            <x v="0"/>
          </reference>
          <reference field="3" count="1" selected="0">
            <x v="10"/>
          </reference>
        </references>
      </pivotArea>
    </chartFormat>
    <chartFormat chart="26" format="27" series="1">
      <pivotArea type="data" outline="0" fieldPosition="0">
        <references count="1">
          <reference field="4294967294" count="1" selected="0">
            <x v="0"/>
          </reference>
        </references>
      </pivotArea>
    </chartFormat>
    <chartFormat chart="26" format="28">
      <pivotArea type="data" outline="0" fieldPosition="0">
        <references count="2">
          <reference field="4294967294" count="1" selected="0">
            <x v="0"/>
          </reference>
          <reference field="3" count="1" selected="0">
            <x v="0"/>
          </reference>
        </references>
      </pivotArea>
    </chartFormat>
    <chartFormat chart="26" format="29">
      <pivotArea type="data" outline="0" fieldPosition="0">
        <references count="2">
          <reference field="4294967294" count="1" selected="0">
            <x v="0"/>
          </reference>
          <reference field="3" count="1" selected="0">
            <x v="1"/>
          </reference>
        </references>
      </pivotArea>
    </chartFormat>
    <chartFormat chart="26" format="30">
      <pivotArea type="data" outline="0" fieldPosition="0">
        <references count="2">
          <reference field="4294967294" count="1" selected="0">
            <x v="0"/>
          </reference>
          <reference field="3" count="1" selected="0">
            <x v="2"/>
          </reference>
        </references>
      </pivotArea>
    </chartFormat>
    <chartFormat chart="26" format="31">
      <pivotArea type="data" outline="0" fieldPosition="0">
        <references count="2">
          <reference field="4294967294" count="1" selected="0">
            <x v="0"/>
          </reference>
          <reference field="3" count="1" selected="0">
            <x v="3"/>
          </reference>
        </references>
      </pivotArea>
    </chartFormat>
    <chartFormat chart="26" format="32">
      <pivotArea type="data" outline="0" fieldPosition="0">
        <references count="2">
          <reference field="4294967294" count="1" selected="0">
            <x v="0"/>
          </reference>
          <reference field="3" count="1" selected="0">
            <x v="4"/>
          </reference>
        </references>
      </pivotArea>
    </chartFormat>
    <chartFormat chart="26" format="33">
      <pivotArea type="data" outline="0" fieldPosition="0">
        <references count="2">
          <reference field="4294967294" count="1" selected="0">
            <x v="0"/>
          </reference>
          <reference field="3" count="1" selected="0">
            <x v="5"/>
          </reference>
        </references>
      </pivotArea>
    </chartFormat>
    <chartFormat chart="26" format="34">
      <pivotArea type="data" outline="0" fieldPosition="0">
        <references count="2">
          <reference field="4294967294" count="1" selected="0">
            <x v="0"/>
          </reference>
          <reference field="3" count="1" selected="0">
            <x v="6"/>
          </reference>
        </references>
      </pivotArea>
    </chartFormat>
    <chartFormat chart="26" format="35">
      <pivotArea type="data" outline="0" fieldPosition="0">
        <references count="2">
          <reference field="4294967294" count="1" selected="0">
            <x v="0"/>
          </reference>
          <reference field="3" count="1" selected="0">
            <x v="7"/>
          </reference>
        </references>
      </pivotArea>
    </chartFormat>
    <chartFormat chart="26" format="36">
      <pivotArea type="data" outline="0" fieldPosition="0">
        <references count="2">
          <reference field="4294967294" count="1" selected="0">
            <x v="0"/>
          </reference>
          <reference field="3" count="1" selected="0">
            <x v="8"/>
          </reference>
        </references>
      </pivotArea>
    </chartFormat>
    <chartFormat chart="26" format="37">
      <pivotArea type="data" outline="0" fieldPosition="0">
        <references count="2">
          <reference field="4294967294" count="1" selected="0">
            <x v="0"/>
          </reference>
          <reference field="3" count="1" selected="0">
            <x v="9"/>
          </reference>
        </references>
      </pivotArea>
    </chartFormat>
    <chartFormat chart="26" format="38">
      <pivotArea type="data" outline="0" fieldPosition="0">
        <references count="2">
          <reference field="4294967294" count="1" selected="0">
            <x v="0"/>
          </reference>
          <reference field="3" count="1" selected="0">
            <x v="10"/>
          </reference>
        </references>
      </pivotArea>
    </chartFormat>
    <chartFormat chart="26" format="39">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A09051-3290-4A91-BBBC-F3C1F21CC233}" name="PivotTable31"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5">
  <location ref="A43:B57" firstHeaderRow="2" firstDataRow="2" firstDataCol="1" rowPageCount="1" colPageCount="1"/>
  <pivotFields count="56">
    <pivotField axis="axisPage" compact="0" outline="0" showAll="0">
      <items count="4">
        <item x="0"/>
        <item x="2"/>
        <item x="1"/>
        <item t="default"/>
      </items>
    </pivotField>
    <pivotField compact="0" outline="0" showAll="0"/>
    <pivotField compact="0" outline="0" showAll="0"/>
    <pivotField axis="axisRow" compact="0" outline="0" showAll="0">
      <items count="13">
        <item x="0"/>
        <item x="1"/>
        <item x="2"/>
        <item x="3"/>
        <item x="4"/>
        <item x="5"/>
        <item x="6"/>
        <item x="7"/>
        <item x="8"/>
        <item x="9"/>
        <item x="10"/>
        <item x="11"/>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dataField="1" compact="0" outline="0" showAll="0"/>
    <pivotField compact="0" outline="0" showAll="0"/>
  </pivotFields>
  <rowFields count="1">
    <field x="3"/>
  </rowFields>
  <rowItems count="13">
    <i>
      <x/>
    </i>
    <i>
      <x v="1"/>
    </i>
    <i>
      <x v="2"/>
    </i>
    <i>
      <x v="3"/>
    </i>
    <i>
      <x v="4"/>
    </i>
    <i>
      <x v="5"/>
    </i>
    <i>
      <x v="6"/>
    </i>
    <i>
      <x v="7"/>
    </i>
    <i>
      <x v="8"/>
    </i>
    <i>
      <x v="9"/>
    </i>
    <i>
      <x v="10"/>
    </i>
    <i>
      <x v="11"/>
    </i>
    <i t="grand">
      <x/>
    </i>
  </rowItems>
  <colItems count="1">
    <i/>
  </colItems>
  <pageFields count="1">
    <pageField fld="0" item="1" hier="-1"/>
  </pageFields>
  <dataFields count="1">
    <dataField name="Average of  Average Food Expences " fld="54" subtotal="average" baseField="0" baseItem="0"/>
  </dataFields>
  <formats count="1">
    <format dxfId="19">
      <pivotArea outline="0" fieldPosition="0">
        <references count="1">
          <reference field="3" count="0" selected="0"/>
        </references>
      </pivotArea>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5"/>
          </reference>
        </references>
      </pivotArea>
    </chartFormat>
    <chartFormat chart="0" format="4">
      <pivotArea type="data" outline="0" fieldPosition="0">
        <references count="2">
          <reference field="4294967294" count="1" selected="0">
            <x v="0"/>
          </reference>
          <reference field="3" count="1" selected="0">
            <x v="7"/>
          </reference>
        </references>
      </pivotArea>
    </chartFormat>
    <chartFormat chart="0" format="5">
      <pivotArea type="data" outline="0" fieldPosition="0">
        <references count="2">
          <reference field="4294967294" count="1" selected="0">
            <x v="0"/>
          </reference>
          <reference field="3" count="1" selected="0">
            <x v="9"/>
          </reference>
        </references>
      </pivotArea>
    </chartFormat>
    <chartFormat chart="0" format="6">
      <pivotArea type="data" outline="0" fieldPosition="0">
        <references count="2">
          <reference field="4294967294" count="1" selected="0">
            <x v="0"/>
          </reference>
          <reference field="3" count="1" selected="0">
            <x v="11"/>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3" count="1" selected="0">
            <x v="1"/>
          </reference>
        </references>
      </pivotArea>
    </chartFormat>
    <chartFormat chart="14" format="16">
      <pivotArea type="data" outline="0" fieldPosition="0">
        <references count="2">
          <reference field="4294967294" count="1" selected="0">
            <x v="0"/>
          </reference>
          <reference field="3" count="1" selected="0">
            <x v="3"/>
          </reference>
        </references>
      </pivotArea>
    </chartFormat>
    <chartFormat chart="14" format="17">
      <pivotArea type="data" outline="0" fieldPosition="0">
        <references count="2">
          <reference field="4294967294" count="1" selected="0">
            <x v="0"/>
          </reference>
          <reference field="3" count="1" selected="0">
            <x v="5"/>
          </reference>
        </references>
      </pivotArea>
    </chartFormat>
    <chartFormat chart="14" format="18">
      <pivotArea type="data" outline="0" fieldPosition="0">
        <references count="2">
          <reference field="4294967294" count="1" selected="0">
            <x v="0"/>
          </reference>
          <reference field="3" count="1" selected="0">
            <x v="7"/>
          </reference>
        </references>
      </pivotArea>
    </chartFormat>
    <chartFormat chart="14" format="19">
      <pivotArea type="data" outline="0" fieldPosition="0">
        <references count="2">
          <reference field="4294967294" count="1" selected="0">
            <x v="0"/>
          </reference>
          <reference field="3" count="1" selected="0">
            <x v="9"/>
          </reference>
        </references>
      </pivotArea>
    </chartFormat>
    <chartFormat chart="14" format="20">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74C19A6C-E1EF-43BA-8074-1E8500E634A5}" sourceName="Sector">
  <pivotTables>
    <pivotTable tabId="27" name="PivotTable31"/>
    <pivotTable tabId="27" name="PivotTable32"/>
  </pivotTables>
  <data>
    <tabular pivotCacheId="147657496">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7484E454-ADF9-42FB-8F2C-1092F75C22D1}" cache="Slicer_Sector" caption="Secto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01B9CA20-EBC8-4F72-B652-5804414E9E17}" cache="Slicer_Sector" caption="Secto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8376-73D3-4FA3-B82D-F5256CFB7035}">
  <dimension ref="A1:AT398"/>
  <sheetViews>
    <sheetView topLeftCell="A155" zoomScale="66" zoomScaleNormal="96" workbookViewId="0">
      <selection sqref="A1:AG198"/>
    </sheetView>
  </sheetViews>
  <sheetFormatPr defaultRowHeight="14.4" x14ac:dyDescent="0.3"/>
  <sheetData>
    <row r="1" spans="1:46" x14ac:dyDescent="0.3">
      <c r="A1" s="64" t="s">
        <v>147</v>
      </c>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row>
    <row r="2" spans="1:46" x14ac:dyDescent="0.3">
      <c r="A2" s="64"/>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row>
    <row r="3" spans="1:46" x14ac:dyDescent="0.3">
      <c r="A3" s="64"/>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3"/>
      <c r="AI3" s="63"/>
      <c r="AJ3" s="63"/>
      <c r="AK3" s="63"/>
      <c r="AL3" s="63"/>
      <c r="AM3" s="63"/>
      <c r="AN3" s="63"/>
      <c r="AO3" s="63"/>
      <c r="AP3" s="63"/>
      <c r="AQ3" s="63"/>
      <c r="AR3" s="63"/>
      <c r="AS3" s="63"/>
      <c r="AT3" s="63"/>
    </row>
    <row r="4" spans="1:46" x14ac:dyDescent="0.3">
      <c r="A4" s="64"/>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3"/>
      <c r="AI4" s="63"/>
      <c r="AJ4" s="63"/>
      <c r="AK4" s="63"/>
      <c r="AL4" s="63"/>
      <c r="AM4" s="63"/>
      <c r="AN4" s="63"/>
      <c r="AO4" s="63"/>
      <c r="AP4" s="63"/>
      <c r="AQ4" s="63"/>
      <c r="AR4" s="63"/>
      <c r="AS4" s="63"/>
      <c r="AT4" s="63"/>
    </row>
    <row r="5" spans="1:46" x14ac:dyDescent="0.3">
      <c r="A5" s="64"/>
      <c r="B5" s="64"/>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3"/>
      <c r="AI5" s="63"/>
      <c r="AJ5" s="63"/>
      <c r="AK5" s="63"/>
      <c r="AL5" s="63"/>
      <c r="AM5" s="63"/>
      <c r="AN5" s="63"/>
      <c r="AO5" s="63"/>
      <c r="AP5" s="63"/>
      <c r="AQ5" s="63"/>
      <c r="AR5" s="63"/>
      <c r="AS5" s="63"/>
      <c r="AT5" s="63"/>
    </row>
    <row r="6" spans="1:46" x14ac:dyDescent="0.3">
      <c r="A6" s="64"/>
      <c r="B6" s="64"/>
      <c r="C6" s="64"/>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3"/>
      <c r="AI6" s="63"/>
      <c r="AJ6" s="63"/>
      <c r="AK6" s="63"/>
      <c r="AL6" s="63"/>
      <c r="AM6" s="63"/>
      <c r="AN6" s="63"/>
      <c r="AO6" s="63"/>
      <c r="AP6" s="63"/>
      <c r="AQ6" s="63"/>
      <c r="AR6" s="63"/>
      <c r="AS6" s="63"/>
      <c r="AT6" s="63"/>
    </row>
    <row r="7" spans="1:46" x14ac:dyDescent="0.3">
      <c r="A7" s="64"/>
      <c r="B7" s="64"/>
      <c r="C7" s="64"/>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3"/>
      <c r="AI7" s="63"/>
      <c r="AJ7" s="63"/>
      <c r="AK7" s="63"/>
      <c r="AL7" s="63"/>
      <c r="AM7" s="63"/>
      <c r="AN7" s="63"/>
      <c r="AO7" s="63"/>
      <c r="AP7" s="63"/>
      <c r="AQ7" s="63"/>
      <c r="AR7" s="63"/>
      <c r="AS7" s="63"/>
      <c r="AT7" s="63"/>
    </row>
    <row r="8" spans="1:46" x14ac:dyDescent="0.3">
      <c r="A8" s="64"/>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3"/>
      <c r="AI8" s="63"/>
      <c r="AJ8" s="63"/>
      <c r="AK8" s="63"/>
      <c r="AL8" s="63"/>
      <c r="AM8" s="63"/>
      <c r="AN8" s="63"/>
      <c r="AO8" s="63"/>
      <c r="AP8" s="63"/>
      <c r="AQ8" s="63"/>
      <c r="AR8" s="63"/>
      <c r="AS8" s="63"/>
      <c r="AT8" s="63"/>
    </row>
    <row r="9" spans="1:46" x14ac:dyDescent="0.3">
      <c r="A9" s="64"/>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3"/>
      <c r="AI9" s="63"/>
      <c r="AJ9" s="63"/>
      <c r="AK9" s="63"/>
      <c r="AL9" s="63"/>
      <c r="AM9" s="63"/>
      <c r="AN9" s="63"/>
      <c r="AO9" s="63"/>
      <c r="AP9" s="63"/>
      <c r="AQ9" s="63"/>
      <c r="AR9" s="63"/>
      <c r="AS9" s="63"/>
      <c r="AT9" s="63"/>
    </row>
    <row r="10" spans="1:46" x14ac:dyDescent="0.3">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3"/>
      <c r="AI10" s="63"/>
      <c r="AJ10" s="63"/>
      <c r="AK10" s="63"/>
      <c r="AL10" s="63"/>
      <c r="AM10" s="63"/>
      <c r="AN10" s="63"/>
      <c r="AO10" s="63"/>
      <c r="AP10" s="63"/>
      <c r="AQ10" s="63"/>
      <c r="AR10" s="63"/>
      <c r="AS10" s="63"/>
      <c r="AT10" s="63"/>
    </row>
    <row r="11" spans="1:46" x14ac:dyDescent="0.3">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3"/>
      <c r="AI11" s="63"/>
      <c r="AJ11" s="63"/>
      <c r="AK11" s="63"/>
      <c r="AL11" s="63"/>
      <c r="AM11" s="63"/>
      <c r="AN11" s="63"/>
      <c r="AO11" s="63"/>
      <c r="AP11" s="63"/>
      <c r="AQ11" s="63"/>
      <c r="AR11" s="63"/>
      <c r="AS11" s="63"/>
      <c r="AT11" s="63"/>
    </row>
    <row r="12" spans="1:46" x14ac:dyDescent="0.3">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3"/>
      <c r="AI12" s="63"/>
      <c r="AJ12" s="63"/>
      <c r="AK12" s="63"/>
      <c r="AL12" s="63"/>
      <c r="AM12" s="63"/>
      <c r="AN12" s="63"/>
      <c r="AO12" s="63"/>
      <c r="AP12" s="63"/>
      <c r="AQ12" s="63"/>
      <c r="AR12" s="63"/>
      <c r="AS12" s="63"/>
      <c r="AT12" s="63"/>
    </row>
    <row r="13" spans="1:46" x14ac:dyDescent="0.3">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3"/>
      <c r="AI13" s="63"/>
      <c r="AJ13" s="63"/>
      <c r="AK13" s="63"/>
      <c r="AL13" s="63"/>
      <c r="AM13" s="63"/>
      <c r="AN13" s="63"/>
      <c r="AO13" s="63"/>
      <c r="AP13" s="63"/>
      <c r="AQ13" s="63"/>
      <c r="AR13" s="63"/>
      <c r="AS13" s="63"/>
      <c r="AT13" s="63"/>
    </row>
    <row r="14" spans="1:46" x14ac:dyDescent="0.3">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3"/>
      <c r="AI14" s="63"/>
      <c r="AJ14" s="63"/>
      <c r="AK14" s="63"/>
      <c r="AL14" s="63"/>
      <c r="AM14" s="63"/>
      <c r="AN14" s="63"/>
      <c r="AO14" s="63"/>
      <c r="AP14" s="63"/>
      <c r="AQ14" s="63"/>
      <c r="AR14" s="63"/>
      <c r="AS14" s="63"/>
      <c r="AT14" s="63"/>
    </row>
    <row r="15" spans="1:46" x14ac:dyDescent="0.3">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3"/>
      <c r="AI15" s="63"/>
      <c r="AJ15" s="63"/>
      <c r="AK15" s="63"/>
      <c r="AL15" s="63"/>
      <c r="AM15" s="63"/>
      <c r="AN15" s="63"/>
      <c r="AO15" s="63"/>
      <c r="AP15" s="63"/>
      <c r="AQ15" s="63"/>
      <c r="AR15" s="63"/>
      <c r="AS15" s="63"/>
      <c r="AT15" s="63"/>
    </row>
    <row r="16" spans="1:46" x14ac:dyDescent="0.3">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3"/>
      <c r="AI16" s="63"/>
      <c r="AJ16" s="63"/>
      <c r="AK16" s="63"/>
      <c r="AL16" s="63"/>
      <c r="AM16" s="63"/>
      <c r="AN16" s="63"/>
      <c r="AO16" s="63"/>
      <c r="AP16" s="63"/>
      <c r="AQ16" s="63"/>
      <c r="AR16" s="63"/>
      <c r="AS16" s="63"/>
      <c r="AT16" s="63"/>
    </row>
    <row r="17" spans="1:46" x14ac:dyDescent="0.3">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3"/>
      <c r="AI17" s="63"/>
      <c r="AJ17" s="63"/>
      <c r="AK17" s="63"/>
      <c r="AL17" s="63"/>
      <c r="AM17" s="63"/>
      <c r="AN17" s="63"/>
      <c r="AO17" s="63"/>
      <c r="AP17" s="63"/>
      <c r="AQ17" s="63"/>
      <c r="AR17" s="63"/>
      <c r="AS17" s="63"/>
      <c r="AT17" s="63"/>
    </row>
    <row r="18" spans="1:46" x14ac:dyDescent="0.3">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3"/>
      <c r="AI18" s="63"/>
      <c r="AJ18" s="63"/>
      <c r="AK18" s="63"/>
      <c r="AL18" s="63"/>
      <c r="AM18" s="63"/>
      <c r="AN18" s="63"/>
      <c r="AO18" s="63"/>
      <c r="AP18" s="63"/>
      <c r="AQ18" s="63"/>
      <c r="AR18" s="63"/>
      <c r="AS18" s="63"/>
      <c r="AT18" s="63"/>
    </row>
    <row r="19" spans="1:46" x14ac:dyDescent="0.3">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3"/>
      <c r="AI19" s="63"/>
      <c r="AJ19" s="63"/>
      <c r="AK19" s="63"/>
      <c r="AL19" s="63"/>
      <c r="AM19" s="63"/>
      <c r="AN19" s="63"/>
      <c r="AO19" s="63"/>
      <c r="AP19" s="63"/>
      <c r="AQ19" s="63"/>
      <c r="AR19" s="63"/>
      <c r="AS19" s="63"/>
      <c r="AT19" s="63"/>
    </row>
    <row r="20" spans="1:46" x14ac:dyDescent="0.3">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3"/>
      <c r="AI20" s="63"/>
      <c r="AJ20" s="63"/>
      <c r="AK20" s="63"/>
      <c r="AL20" s="63"/>
      <c r="AM20" s="63"/>
      <c r="AN20" s="63"/>
      <c r="AO20" s="63"/>
      <c r="AP20" s="63"/>
      <c r="AQ20" s="63"/>
      <c r="AR20" s="63"/>
      <c r="AS20" s="63"/>
      <c r="AT20" s="63"/>
    </row>
    <row r="21" spans="1:46" x14ac:dyDescent="0.3">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3"/>
      <c r="AI21" s="63"/>
      <c r="AJ21" s="63"/>
      <c r="AK21" s="63"/>
      <c r="AL21" s="63"/>
      <c r="AM21" s="63"/>
      <c r="AN21" s="63"/>
      <c r="AO21" s="63"/>
      <c r="AP21" s="63"/>
      <c r="AQ21" s="63"/>
      <c r="AR21" s="63"/>
      <c r="AS21" s="63"/>
      <c r="AT21" s="63"/>
    </row>
    <row r="22" spans="1:46" x14ac:dyDescent="0.3">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3"/>
      <c r="AI22" s="63"/>
      <c r="AJ22" s="63"/>
      <c r="AK22" s="63"/>
      <c r="AL22" s="63"/>
      <c r="AM22" s="63"/>
      <c r="AN22" s="63"/>
      <c r="AO22" s="63"/>
      <c r="AP22" s="63"/>
      <c r="AQ22" s="63"/>
      <c r="AR22" s="63"/>
      <c r="AS22" s="63"/>
      <c r="AT22" s="63"/>
    </row>
    <row r="23" spans="1:46" x14ac:dyDescent="0.3">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3"/>
      <c r="AI23" s="63"/>
      <c r="AJ23" s="63"/>
      <c r="AK23" s="63"/>
      <c r="AL23" s="63"/>
      <c r="AM23" s="63"/>
      <c r="AN23" s="63"/>
      <c r="AO23" s="63"/>
      <c r="AP23" s="63"/>
      <c r="AQ23" s="63"/>
      <c r="AR23" s="63"/>
      <c r="AS23" s="63"/>
      <c r="AT23" s="63"/>
    </row>
    <row r="24" spans="1:46" x14ac:dyDescent="0.3">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3"/>
      <c r="AI24" s="63"/>
      <c r="AJ24" s="63"/>
      <c r="AK24" s="63"/>
      <c r="AL24" s="63"/>
      <c r="AM24" s="63"/>
      <c r="AN24" s="63"/>
      <c r="AO24" s="63"/>
      <c r="AP24" s="63"/>
      <c r="AQ24" s="63"/>
      <c r="AR24" s="63"/>
      <c r="AS24" s="63"/>
      <c r="AT24" s="63"/>
    </row>
    <row r="25" spans="1:46" x14ac:dyDescent="0.3">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3"/>
      <c r="AI25" s="63"/>
      <c r="AJ25" s="63"/>
      <c r="AK25" s="63"/>
      <c r="AL25" s="63"/>
      <c r="AM25" s="63"/>
      <c r="AN25" s="63"/>
      <c r="AO25" s="63"/>
      <c r="AP25" s="63"/>
      <c r="AQ25" s="63"/>
      <c r="AR25" s="63"/>
      <c r="AS25" s="63"/>
      <c r="AT25" s="63"/>
    </row>
    <row r="26" spans="1:46" x14ac:dyDescent="0.3">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3"/>
      <c r="AI26" s="63"/>
      <c r="AJ26" s="63"/>
      <c r="AK26" s="63"/>
      <c r="AL26" s="63"/>
      <c r="AM26" s="63"/>
      <c r="AN26" s="63"/>
      <c r="AO26" s="63"/>
      <c r="AP26" s="63"/>
      <c r="AQ26" s="63"/>
      <c r="AR26" s="63"/>
      <c r="AS26" s="63"/>
      <c r="AT26" s="63"/>
    </row>
    <row r="27" spans="1:46" x14ac:dyDescent="0.3">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3"/>
      <c r="AI27" s="63"/>
      <c r="AJ27" s="63"/>
      <c r="AK27" s="63"/>
      <c r="AL27" s="63"/>
      <c r="AM27" s="63"/>
      <c r="AN27" s="63"/>
      <c r="AO27" s="63"/>
      <c r="AP27" s="63"/>
      <c r="AQ27" s="63"/>
      <c r="AR27" s="63"/>
      <c r="AS27" s="63"/>
      <c r="AT27" s="63"/>
    </row>
    <row r="28" spans="1:46" x14ac:dyDescent="0.3">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3"/>
      <c r="AI28" s="63"/>
      <c r="AJ28" s="63"/>
      <c r="AK28" s="63"/>
      <c r="AL28" s="63"/>
      <c r="AM28" s="63"/>
      <c r="AN28" s="63"/>
      <c r="AO28" s="63"/>
      <c r="AP28" s="63"/>
      <c r="AQ28" s="63"/>
      <c r="AR28" s="63"/>
      <c r="AS28" s="63"/>
      <c r="AT28" s="63"/>
    </row>
    <row r="29" spans="1:46" x14ac:dyDescent="0.3">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3"/>
      <c r="AI29" s="63"/>
      <c r="AJ29" s="63"/>
      <c r="AK29" s="63"/>
      <c r="AL29" s="63"/>
      <c r="AM29" s="63"/>
      <c r="AN29" s="63"/>
      <c r="AO29" s="63"/>
      <c r="AP29" s="63"/>
      <c r="AQ29" s="63"/>
      <c r="AR29" s="63"/>
      <c r="AS29" s="63"/>
      <c r="AT29" s="63"/>
    </row>
    <row r="30" spans="1:46" x14ac:dyDescent="0.3">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3"/>
      <c r="AI30" s="63"/>
      <c r="AJ30" s="63"/>
      <c r="AK30" s="63"/>
      <c r="AL30" s="63"/>
      <c r="AM30" s="63"/>
      <c r="AN30" s="63"/>
      <c r="AO30" s="63"/>
      <c r="AP30" s="63"/>
      <c r="AQ30" s="63"/>
      <c r="AR30" s="63"/>
      <c r="AS30" s="63"/>
      <c r="AT30" s="63"/>
    </row>
    <row r="31" spans="1:46" x14ac:dyDescent="0.3">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3"/>
      <c r="AI31" s="63"/>
      <c r="AJ31" s="63"/>
      <c r="AK31" s="63"/>
      <c r="AL31" s="63"/>
      <c r="AM31" s="63"/>
      <c r="AN31" s="63"/>
      <c r="AO31" s="63"/>
      <c r="AP31" s="63"/>
      <c r="AQ31" s="63"/>
      <c r="AR31" s="63"/>
      <c r="AS31" s="63"/>
      <c r="AT31" s="63"/>
    </row>
    <row r="32" spans="1:46" x14ac:dyDescent="0.3">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3"/>
      <c r="AI32" s="63"/>
      <c r="AJ32" s="63"/>
      <c r="AK32" s="63"/>
      <c r="AL32" s="63"/>
      <c r="AM32" s="63"/>
      <c r="AN32" s="63"/>
      <c r="AO32" s="63"/>
      <c r="AP32" s="63"/>
      <c r="AQ32" s="63"/>
      <c r="AR32" s="63"/>
      <c r="AS32" s="63"/>
      <c r="AT32" s="63"/>
    </row>
    <row r="33" spans="1:46" x14ac:dyDescent="0.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3"/>
      <c r="AI33" s="63"/>
      <c r="AJ33" s="63"/>
      <c r="AK33" s="63"/>
      <c r="AL33" s="63"/>
      <c r="AM33" s="63"/>
      <c r="AN33" s="63"/>
      <c r="AO33" s="63"/>
      <c r="AP33" s="63"/>
      <c r="AQ33" s="63"/>
      <c r="AR33" s="63"/>
      <c r="AS33" s="63"/>
      <c r="AT33" s="63"/>
    </row>
    <row r="34" spans="1:46" x14ac:dyDescent="0.3">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3"/>
      <c r="AI34" s="63"/>
      <c r="AJ34" s="63"/>
      <c r="AK34" s="63"/>
      <c r="AL34" s="63"/>
      <c r="AM34" s="63"/>
      <c r="AN34" s="63"/>
      <c r="AO34" s="63"/>
      <c r="AP34" s="63"/>
      <c r="AQ34" s="63"/>
      <c r="AR34" s="63"/>
      <c r="AS34" s="63"/>
      <c r="AT34" s="63"/>
    </row>
    <row r="35" spans="1:46" x14ac:dyDescent="0.3">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3"/>
      <c r="AI35" s="63"/>
      <c r="AJ35" s="63"/>
      <c r="AK35" s="63"/>
      <c r="AL35" s="63"/>
      <c r="AM35" s="63"/>
      <c r="AN35" s="63"/>
      <c r="AO35" s="63"/>
      <c r="AP35" s="63"/>
      <c r="AQ35" s="63"/>
      <c r="AR35" s="63"/>
      <c r="AS35" s="63"/>
      <c r="AT35" s="63"/>
    </row>
    <row r="36" spans="1:46" x14ac:dyDescent="0.3">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3"/>
      <c r="AI36" s="63"/>
      <c r="AJ36" s="63"/>
      <c r="AK36" s="63"/>
      <c r="AL36" s="63"/>
      <c r="AM36" s="63"/>
      <c r="AN36" s="63"/>
      <c r="AO36" s="63"/>
      <c r="AP36" s="63"/>
      <c r="AQ36" s="63"/>
      <c r="AR36" s="63"/>
      <c r="AS36" s="63"/>
      <c r="AT36" s="63"/>
    </row>
    <row r="37" spans="1:46" x14ac:dyDescent="0.3">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3"/>
      <c r="AI37" s="63"/>
      <c r="AJ37" s="63"/>
      <c r="AK37" s="63"/>
      <c r="AL37" s="63"/>
      <c r="AM37" s="63"/>
      <c r="AN37" s="63"/>
      <c r="AO37" s="63"/>
      <c r="AP37" s="63"/>
      <c r="AQ37" s="63"/>
      <c r="AR37" s="63"/>
      <c r="AS37" s="63"/>
      <c r="AT37" s="63"/>
    </row>
    <row r="38" spans="1:46" x14ac:dyDescent="0.3">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3"/>
      <c r="AI38" s="63"/>
      <c r="AJ38" s="63"/>
      <c r="AK38" s="63"/>
      <c r="AL38" s="63"/>
      <c r="AM38" s="63"/>
      <c r="AN38" s="63"/>
      <c r="AO38" s="63"/>
      <c r="AP38" s="63"/>
      <c r="AQ38" s="63"/>
      <c r="AR38" s="63"/>
      <c r="AS38" s="63"/>
      <c r="AT38" s="63"/>
    </row>
    <row r="39" spans="1:46" x14ac:dyDescent="0.3">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3"/>
      <c r="AI39" s="63"/>
      <c r="AJ39" s="63"/>
      <c r="AK39" s="63"/>
      <c r="AL39" s="63"/>
      <c r="AM39" s="63"/>
      <c r="AN39" s="63"/>
      <c r="AO39" s="63"/>
      <c r="AP39" s="63"/>
      <c r="AQ39" s="63"/>
      <c r="AR39" s="63"/>
      <c r="AS39" s="63"/>
      <c r="AT39" s="63"/>
    </row>
    <row r="40" spans="1:46" x14ac:dyDescent="0.3">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3"/>
      <c r="AI40" s="63"/>
      <c r="AJ40" s="63"/>
      <c r="AK40" s="63"/>
      <c r="AL40" s="63"/>
      <c r="AM40" s="63"/>
      <c r="AN40" s="63"/>
      <c r="AO40" s="63"/>
      <c r="AP40" s="63"/>
      <c r="AQ40" s="63"/>
      <c r="AR40" s="63"/>
      <c r="AS40" s="63"/>
      <c r="AT40" s="63"/>
    </row>
    <row r="41" spans="1:46" x14ac:dyDescent="0.3">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3"/>
      <c r="AI41" s="63"/>
      <c r="AJ41" s="63"/>
      <c r="AK41" s="63"/>
      <c r="AL41" s="63"/>
      <c r="AM41" s="63"/>
      <c r="AN41" s="63"/>
      <c r="AO41" s="63"/>
      <c r="AP41" s="63"/>
      <c r="AQ41" s="63"/>
      <c r="AR41" s="63"/>
      <c r="AS41" s="63"/>
      <c r="AT41" s="63"/>
    </row>
    <row r="42" spans="1:46" x14ac:dyDescent="0.3">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3"/>
      <c r="AI42" s="63"/>
      <c r="AJ42" s="63"/>
      <c r="AK42" s="63"/>
      <c r="AL42" s="63"/>
      <c r="AM42" s="63"/>
      <c r="AN42" s="63"/>
      <c r="AO42" s="63"/>
      <c r="AP42" s="63"/>
      <c r="AQ42" s="63"/>
      <c r="AR42" s="63"/>
      <c r="AS42" s="63"/>
      <c r="AT42" s="63"/>
    </row>
    <row r="43" spans="1:46" x14ac:dyDescent="0.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3"/>
      <c r="AI43" s="63"/>
      <c r="AJ43" s="63"/>
      <c r="AK43" s="63"/>
      <c r="AL43" s="63"/>
      <c r="AM43" s="63"/>
      <c r="AN43" s="63"/>
      <c r="AO43" s="63"/>
      <c r="AP43" s="63"/>
      <c r="AQ43" s="63"/>
      <c r="AR43" s="63"/>
      <c r="AS43" s="63"/>
      <c r="AT43" s="63"/>
    </row>
    <row r="44" spans="1:46" x14ac:dyDescent="0.3">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3"/>
      <c r="AI44" s="63"/>
      <c r="AJ44" s="63"/>
      <c r="AK44" s="63"/>
      <c r="AL44" s="63"/>
      <c r="AM44" s="63"/>
      <c r="AN44" s="63"/>
      <c r="AO44" s="63"/>
      <c r="AP44" s="63"/>
      <c r="AQ44" s="63"/>
      <c r="AR44" s="63"/>
      <c r="AS44" s="63"/>
      <c r="AT44" s="63"/>
    </row>
    <row r="45" spans="1:46" x14ac:dyDescent="0.3">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3"/>
      <c r="AI45" s="63"/>
      <c r="AJ45" s="63"/>
      <c r="AK45" s="63"/>
      <c r="AL45" s="63"/>
      <c r="AM45" s="63"/>
      <c r="AN45" s="63"/>
      <c r="AO45" s="63"/>
      <c r="AP45" s="63"/>
      <c r="AQ45" s="63"/>
      <c r="AR45" s="63"/>
      <c r="AS45" s="63"/>
      <c r="AT45" s="63"/>
    </row>
    <row r="46" spans="1:46" x14ac:dyDescent="0.3">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3"/>
      <c r="AI46" s="63"/>
      <c r="AJ46" s="63"/>
      <c r="AK46" s="63"/>
      <c r="AL46" s="63"/>
      <c r="AM46" s="63"/>
      <c r="AN46" s="63"/>
      <c r="AO46" s="63"/>
      <c r="AP46" s="63"/>
      <c r="AQ46" s="63"/>
      <c r="AR46" s="63"/>
      <c r="AS46" s="63"/>
      <c r="AT46" s="63"/>
    </row>
    <row r="47" spans="1:46" x14ac:dyDescent="0.3">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3"/>
      <c r="AI47" s="63"/>
      <c r="AJ47" s="63"/>
      <c r="AK47" s="63"/>
      <c r="AL47" s="63"/>
      <c r="AM47" s="63"/>
      <c r="AN47" s="63"/>
      <c r="AO47" s="63"/>
      <c r="AP47" s="63"/>
      <c r="AQ47" s="63"/>
      <c r="AR47" s="63"/>
      <c r="AS47" s="63"/>
      <c r="AT47" s="63"/>
    </row>
    <row r="48" spans="1:46" x14ac:dyDescent="0.3">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3"/>
      <c r="AI48" s="63"/>
      <c r="AJ48" s="63"/>
      <c r="AK48" s="63"/>
      <c r="AL48" s="63"/>
      <c r="AM48" s="63"/>
      <c r="AN48" s="63"/>
      <c r="AO48" s="63"/>
      <c r="AP48" s="63"/>
      <c r="AQ48" s="63"/>
      <c r="AR48" s="63"/>
      <c r="AS48" s="63"/>
      <c r="AT48" s="63"/>
    </row>
    <row r="49" spans="1:46" x14ac:dyDescent="0.3">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3"/>
      <c r="AI49" s="63"/>
      <c r="AJ49" s="63"/>
      <c r="AK49" s="63"/>
      <c r="AL49" s="63"/>
      <c r="AM49" s="63"/>
      <c r="AN49" s="63"/>
      <c r="AO49" s="63"/>
      <c r="AP49" s="63"/>
      <c r="AQ49" s="63"/>
      <c r="AR49" s="63"/>
      <c r="AS49" s="63"/>
      <c r="AT49" s="63"/>
    </row>
    <row r="50" spans="1:46" x14ac:dyDescent="0.3">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3"/>
      <c r="AI50" s="63"/>
      <c r="AJ50" s="63"/>
      <c r="AK50" s="63"/>
      <c r="AL50" s="63"/>
      <c r="AM50" s="63"/>
      <c r="AN50" s="63"/>
      <c r="AO50" s="63"/>
      <c r="AP50" s="63"/>
      <c r="AQ50" s="63"/>
      <c r="AR50" s="63"/>
      <c r="AS50" s="63"/>
      <c r="AT50" s="63"/>
    </row>
    <row r="51" spans="1:46" x14ac:dyDescent="0.3">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3"/>
      <c r="AI51" s="63"/>
      <c r="AJ51" s="63"/>
      <c r="AK51" s="63"/>
      <c r="AL51" s="63"/>
      <c r="AM51" s="63"/>
      <c r="AN51" s="63"/>
      <c r="AO51" s="63"/>
      <c r="AP51" s="63"/>
      <c r="AQ51" s="63"/>
      <c r="AR51" s="63"/>
      <c r="AS51" s="63"/>
      <c r="AT51" s="63"/>
    </row>
    <row r="52" spans="1:46" x14ac:dyDescent="0.3">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3"/>
      <c r="AI52" s="63"/>
      <c r="AJ52" s="63"/>
      <c r="AK52" s="63"/>
      <c r="AL52" s="63"/>
      <c r="AM52" s="63"/>
      <c r="AN52" s="63"/>
      <c r="AO52" s="63"/>
      <c r="AP52" s="63"/>
      <c r="AQ52" s="63"/>
      <c r="AR52" s="63"/>
      <c r="AS52" s="63"/>
      <c r="AT52" s="63"/>
    </row>
    <row r="53" spans="1:46" x14ac:dyDescent="0.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3"/>
      <c r="AI53" s="63"/>
      <c r="AJ53" s="63"/>
      <c r="AK53" s="63"/>
      <c r="AL53" s="63"/>
      <c r="AM53" s="63"/>
      <c r="AN53" s="63"/>
      <c r="AO53" s="63"/>
      <c r="AP53" s="63"/>
      <c r="AQ53" s="63"/>
      <c r="AR53" s="63"/>
      <c r="AS53" s="63"/>
      <c r="AT53" s="63"/>
    </row>
    <row r="54" spans="1:46" x14ac:dyDescent="0.3">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3"/>
      <c r="AI54" s="63"/>
      <c r="AJ54" s="63"/>
      <c r="AK54" s="63"/>
      <c r="AL54" s="63"/>
      <c r="AM54" s="63"/>
      <c r="AN54" s="63"/>
      <c r="AO54" s="63"/>
      <c r="AP54" s="63"/>
      <c r="AQ54" s="63"/>
      <c r="AR54" s="63"/>
      <c r="AS54" s="63"/>
      <c r="AT54" s="63"/>
    </row>
    <row r="55" spans="1:46" x14ac:dyDescent="0.3">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3"/>
      <c r="AI55" s="63"/>
      <c r="AJ55" s="63"/>
      <c r="AK55" s="63"/>
      <c r="AL55" s="63"/>
      <c r="AM55" s="63"/>
      <c r="AN55" s="63"/>
      <c r="AO55" s="63"/>
      <c r="AP55" s="63"/>
      <c r="AQ55" s="63"/>
      <c r="AR55" s="63"/>
      <c r="AS55" s="63"/>
      <c r="AT55" s="63"/>
    </row>
    <row r="56" spans="1:46" x14ac:dyDescent="0.3">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3"/>
      <c r="AI56" s="63"/>
      <c r="AJ56" s="63"/>
      <c r="AK56" s="63"/>
      <c r="AL56" s="63"/>
      <c r="AM56" s="63"/>
      <c r="AN56" s="63"/>
      <c r="AO56" s="63"/>
      <c r="AP56" s="63"/>
      <c r="AQ56" s="63"/>
      <c r="AR56" s="63"/>
      <c r="AS56" s="63"/>
      <c r="AT56" s="63"/>
    </row>
    <row r="57" spans="1:46" x14ac:dyDescent="0.3">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3"/>
      <c r="AI57" s="63"/>
      <c r="AJ57" s="63"/>
      <c r="AK57" s="63"/>
      <c r="AL57" s="63"/>
      <c r="AM57" s="63"/>
      <c r="AN57" s="63"/>
      <c r="AO57" s="63"/>
      <c r="AP57" s="63"/>
      <c r="AQ57" s="63"/>
      <c r="AR57" s="63"/>
      <c r="AS57" s="63"/>
      <c r="AT57" s="63"/>
    </row>
    <row r="58" spans="1:46" x14ac:dyDescent="0.3">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3"/>
      <c r="AI58" s="63"/>
      <c r="AJ58" s="63"/>
      <c r="AK58" s="63"/>
      <c r="AL58" s="63"/>
      <c r="AM58" s="63"/>
      <c r="AN58" s="63"/>
      <c r="AO58" s="63"/>
      <c r="AP58" s="63"/>
      <c r="AQ58" s="63"/>
      <c r="AR58" s="63"/>
      <c r="AS58" s="63"/>
      <c r="AT58" s="63"/>
    </row>
    <row r="59" spans="1:46" x14ac:dyDescent="0.3">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3"/>
      <c r="AI59" s="63"/>
      <c r="AJ59" s="63"/>
      <c r="AK59" s="63"/>
      <c r="AL59" s="63"/>
      <c r="AM59" s="63"/>
      <c r="AN59" s="63"/>
      <c r="AO59" s="63"/>
      <c r="AP59" s="63"/>
      <c r="AQ59" s="63"/>
      <c r="AR59" s="63"/>
      <c r="AS59" s="63"/>
      <c r="AT59" s="63"/>
    </row>
    <row r="60" spans="1:46" x14ac:dyDescent="0.3">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3"/>
      <c r="AI60" s="63"/>
      <c r="AJ60" s="63"/>
      <c r="AK60" s="63"/>
      <c r="AL60" s="63"/>
      <c r="AM60" s="63"/>
      <c r="AN60" s="63"/>
      <c r="AO60" s="63"/>
      <c r="AP60" s="63"/>
      <c r="AQ60" s="63"/>
      <c r="AR60" s="63"/>
      <c r="AS60" s="63"/>
      <c r="AT60" s="63"/>
    </row>
    <row r="61" spans="1:46" x14ac:dyDescent="0.3">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3"/>
      <c r="AI61" s="63"/>
      <c r="AJ61" s="63"/>
      <c r="AK61" s="63"/>
      <c r="AL61" s="63"/>
      <c r="AM61" s="63"/>
      <c r="AN61" s="63"/>
      <c r="AO61" s="63"/>
      <c r="AP61" s="63"/>
      <c r="AQ61" s="63"/>
      <c r="AR61" s="63"/>
      <c r="AS61" s="63"/>
      <c r="AT61" s="63"/>
    </row>
    <row r="62" spans="1:46" x14ac:dyDescent="0.3">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3"/>
      <c r="AI62" s="63"/>
      <c r="AJ62" s="63"/>
      <c r="AK62" s="63"/>
      <c r="AL62" s="63"/>
      <c r="AM62" s="63"/>
      <c r="AN62" s="63"/>
      <c r="AO62" s="63"/>
      <c r="AP62" s="63"/>
      <c r="AQ62" s="63"/>
      <c r="AR62" s="63"/>
      <c r="AS62" s="63"/>
      <c r="AT62" s="63"/>
    </row>
    <row r="63" spans="1:46" x14ac:dyDescent="0.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3"/>
      <c r="AI63" s="63"/>
      <c r="AJ63" s="63"/>
      <c r="AK63" s="63"/>
      <c r="AL63" s="63"/>
      <c r="AM63" s="63"/>
      <c r="AN63" s="63"/>
      <c r="AO63" s="63"/>
      <c r="AP63" s="63"/>
      <c r="AQ63" s="63"/>
      <c r="AR63" s="63"/>
      <c r="AS63" s="63"/>
      <c r="AT63" s="63"/>
    </row>
    <row r="64" spans="1:46" x14ac:dyDescent="0.3">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3"/>
      <c r="AI64" s="63"/>
      <c r="AJ64" s="63"/>
      <c r="AK64" s="63"/>
      <c r="AL64" s="63"/>
      <c r="AM64" s="63"/>
      <c r="AN64" s="63"/>
      <c r="AO64" s="63"/>
      <c r="AP64" s="63"/>
      <c r="AQ64" s="63"/>
      <c r="AR64" s="63"/>
      <c r="AS64" s="63"/>
      <c r="AT64" s="63"/>
    </row>
    <row r="65" spans="1:46" x14ac:dyDescent="0.3">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3"/>
      <c r="AI65" s="63"/>
      <c r="AJ65" s="63"/>
      <c r="AK65" s="63"/>
      <c r="AL65" s="63"/>
      <c r="AM65" s="63"/>
      <c r="AN65" s="63"/>
      <c r="AO65" s="63"/>
      <c r="AP65" s="63"/>
      <c r="AQ65" s="63"/>
      <c r="AR65" s="63"/>
      <c r="AS65" s="63"/>
      <c r="AT65" s="63"/>
    </row>
    <row r="66" spans="1:46" x14ac:dyDescent="0.3">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3"/>
      <c r="AI66" s="63"/>
      <c r="AJ66" s="63"/>
      <c r="AK66" s="63"/>
      <c r="AL66" s="63"/>
      <c r="AM66" s="63"/>
      <c r="AN66" s="63"/>
      <c r="AO66" s="63"/>
      <c r="AP66" s="63"/>
      <c r="AQ66" s="63"/>
      <c r="AR66" s="63"/>
      <c r="AS66" s="63"/>
      <c r="AT66" s="63"/>
    </row>
    <row r="67" spans="1:46" x14ac:dyDescent="0.3">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3"/>
      <c r="AI67" s="63"/>
      <c r="AJ67" s="63"/>
      <c r="AK67" s="63"/>
      <c r="AL67" s="63"/>
      <c r="AM67" s="63"/>
      <c r="AN67" s="63"/>
      <c r="AO67" s="63"/>
      <c r="AP67" s="63"/>
      <c r="AQ67" s="63"/>
      <c r="AR67" s="63"/>
      <c r="AS67" s="63"/>
      <c r="AT67" s="63"/>
    </row>
    <row r="68" spans="1:46" x14ac:dyDescent="0.3">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3"/>
      <c r="AI68" s="63"/>
      <c r="AJ68" s="63"/>
      <c r="AK68" s="63"/>
      <c r="AL68" s="63"/>
      <c r="AM68" s="63"/>
      <c r="AN68" s="63"/>
      <c r="AO68" s="63"/>
      <c r="AP68" s="63"/>
      <c r="AQ68" s="63"/>
      <c r="AR68" s="63"/>
      <c r="AS68" s="63"/>
      <c r="AT68" s="63"/>
    </row>
    <row r="69" spans="1:46" x14ac:dyDescent="0.3">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3"/>
      <c r="AI69" s="63"/>
      <c r="AJ69" s="63"/>
      <c r="AK69" s="63"/>
      <c r="AL69" s="63"/>
      <c r="AM69" s="63"/>
      <c r="AN69" s="63"/>
      <c r="AO69" s="63"/>
      <c r="AP69" s="63"/>
      <c r="AQ69" s="63"/>
      <c r="AR69" s="63"/>
      <c r="AS69" s="63"/>
      <c r="AT69" s="63"/>
    </row>
    <row r="70" spans="1:46" x14ac:dyDescent="0.3">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3"/>
      <c r="AI70" s="63"/>
      <c r="AJ70" s="63"/>
      <c r="AK70" s="63"/>
      <c r="AL70" s="63"/>
      <c r="AM70" s="63"/>
      <c r="AN70" s="63"/>
      <c r="AO70" s="63"/>
      <c r="AP70" s="63"/>
      <c r="AQ70" s="63"/>
      <c r="AR70" s="63"/>
      <c r="AS70" s="63"/>
      <c r="AT70" s="63"/>
    </row>
    <row r="71" spans="1:46" x14ac:dyDescent="0.3">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3"/>
      <c r="AI71" s="63"/>
      <c r="AJ71" s="63"/>
      <c r="AK71" s="63"/>
      <c r="AL71" s="63"/>
      <c r="AM71" s="63"/>
      <c r="AN71" s="63"/>
      <c r="AO71" s="63"/>
      <c r="AP71" s="63"/>
      <c r="AQ71" s="63"/>
      <c r="AR71" s="63"/>
      <c r="AS71" s="63"/>
      <c r="AT71" s="63"/>
    </row>
    <row r="72" spans="1:46" x14ac:dyDescent="0.3">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3"/>
      <c r="AI72" s="63"/>
      <c r="AJ72" s="63"/>
      <c r="AK72" s="63"/>
      <c r="AL72" s="63"/>
      <c r="AM72" s="63"/>
      <c r="AN72" s="63"/>
      <c r="AO72" s="63"/>
      <c r="AP72" s="63"/>
      <c r="AQ72" s="63"/>
      <c r="AR72" s="63"/>
      <c r="AS72" s="63"/>
      <c r="AT72" s="63"/>
    </row>
    <row r="73" spans="1:46" x14ac:dyDescent="0.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3"/>
      <c r="AI73" s="63"/>
      <c r="AJ73" s="63"/>
      <c r="AK73" s="63"/>
      <c r="AL73" s="63"/>
      <c r="AM73" s="63"/>
      <c r="AN73" s="63"/>
      <c r="AO73" s="63"/>
      <c r="AP73" s="63"/>
      <c r="AQ73" s="63"/>
      <c r="AR73" s="63"/>
      <c r="AS73" s="63"/>
      <c r="AT73" s="63"/>
    </row>
    <row r="74" spans="1:46" x14ac:dyDescent="0.3">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3"/>
      <c r="AI74" s="63"/>
      <c r="AJ74" s="63"/>
      <c r="AK74" s="63"/>
      <c r="AL74" s="63"/>
      <c r="AM74" s="63"/>
      <c r="AN74" s="63"/>
      <c r="AO74" s="63"/>
      <c r="AP74" s="63"/>
      <c r="AQ74" s="63"/>
      <c r="AR74" s="63"/>
      <c r="AS74" s="63"/>
      <c r="AT74" s="63"/>
    </row>
    <row r="75" spans="1:46" x14ac:dyDescent="0.3">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3"/>
      <c r="AI75" s="63"/>
      <c r="AJ75" s="63"/>
      <c r="AK75" s="63"/>
      <c r="AL75" s="63"/>
      <c r="AM75" s="63"/>
      <c r="AN75" s="63"/>
      <c r="AO75" s="63"/>
      <c r="AP75" s="63"/>
      <c r="AQ75" s="63"/>
      <c r="AR75" s="63"/>
      <c r="AS75" s="63"/>
      <c r="AT75" s="63"/>
    </row>
    <row r="76" spans="1:46" x14ac:dyDescent="0.3">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3"/>
      <c r="AI76" s="63"/>
      <c r="AJ76" s="63"/>
      <c r="AK76" s="63"/>
      <c r="AL76" s="63"/>
      <c r="AM76" s="63"/>
      <c r="AN76" s="63"/>
      <c r="AO76" s="63"/>
      <c r="AP76" s="63"/>
      <c r="AQ76" s="63"/>
      <c r="AR76" s="63"/>
      <c r="AS76" s="63"/>
      <c r="AT76" s="63"/>
    </row>
    <row r="77" spans="1:46" x14ac:dyDescent="0.3">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3"/>
      <c r="AI77" s="63"/>
      <c r="AJ77" s="63"/>
      <c r="AK77" s="63"/>
      <c r="AL77" s="63"/>
      <c r="AM77" s="63"/>
      <c r="AN77" s="63"/>
      <c r="AO77" s="63"/>
      <c r="AP77" s="63"/>
      <c r="AQ77" s="63"/>
      <c r="AR77" s="63"/>
      <c r="AS77" s="63"/>
      <c r="AT77" s="63"/>
    </row>
    <row r="78" spans="1:46" x14ac:dyDescent="0.3">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3"/>
      <c r="AI78" s="63"/>
      <c r="AJ78" s="63"/>
      <c r="AK78" s="63"/>
      <c r="AL78" s="63"/>
      <c r="AM78" s="63"/>
      <c r="AN78" s="63"/>
      <c r="AO78" s="63"/>
      <c r="AP78" s="63"/>
      <c r="AQ78" s="63"/>
      <c r="AR78" s="63"/>
      <c r="AS78" s="63"/>
      <c r="AT78" s="63"/>
    </row>
    <row r="79" spans="1:46" x14ac:dyDescent="0.3">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3"/>
      <c r="AI79" s="63"/>
      <c r="AJ79" s="63"/>
      <c r="AK79" s="63"/>
      <c r="AL79" s="63"/>
      <c r="AM79" s="63"/>
      <c r="AN79" s="63"/>
      <c r="AO79" s="63"/>
      <c r="AP79" s="63"/>
      <c r="AQ79" s="63"/>
      <c r="AR79" s="63"/>
      <c r="AS79" s="63"/>
      <c r="AT79" s="63"/>
    </row>
    <row r="80" spans="1:46" x14ac:dyDescent="0.3">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3"/>
      <c r="AI80" s="63"/>
      <c r="AJ80" s="63"/>
      <c r="AK80" s="63"/>
      <c r="AL80" s="63"/>
      <c r="AM80" s="63"/>
      <c r="AN80" s="63"/>
      <c r="AO80" s="63"/>
      <c r="AP80" s="63"/>
      <c r="AQ80" s="63"/>
      <c r="AR80" s="63"/>
      <c r="AS80" s="63"/>
      <c r="AT80" s="63"/>
    </row>
    <row r="81" spans="1:46" x14ac:dyDescent="0.3">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3"/>
      <c r="AI81" s="63"/>
      <c r="AJ81" s="63"/>
      <c r="AK81" s="63"/>
      <c r="AL81" s="63"/>
      <c r="AM81" s="63"/>
      <c r="AN81" s="63"/>
      <c r="AO81" s="63"/>
      <c r="AP81" s="63"/>
      <c r="AQ81" s="63"/>
      <c r="AR81" s="63"/>
      <c r="AS81" s="63"/>
      <c r="AT81" s="63"/>
    </row>
    <row r="82" spans="1:46" x14ac:dyDescent="0.3">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3"/>
      <c r="AI82" s="63"/>
      <c r="AJ82" s="63"/>
      <c r="AK82" s="63"/>
      <c r="AL82" s="63"/>
      <c r="AM82" s="63"/>
      <c r="AN82" s="63"/>
      <c r="AO82" s="63"/>
      <c r="AP82" s="63"/>
      <c r="AQ82" s="63"/>
      <c r="AR82" s="63"/>
      <c r="AS82" s="63"/>
      <c r="AT82" s="63"/>
    </row>
    <row r="83" spans="1:46" x14ac:dyDescent="0.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3"/>
      <c r="AI83" s="63"/>
      <c r="AJ83" s="63"/>
      <c r="AK83" s="63"/>
      <c r="AL83" s="63"/>
      <c r="AM83" s="63"/>
      <c r="AN83" s="63"/>
      <c r="AO83" s="63"/>
      <c r="AP83" s="63"/>
      <c r="AQ83" s="63"/>
      <c r="AR83" s="63"/>
      <c r="AS83" s="63"/>
      <c r="AT83" s="63"/>
    </row>
    <row r="84" spans="1:46" x14ac:dyDescent="0.3">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3"/>
      <c r="AI84" s="63"/>
      <c r="AJ84" s="63"/>
      <c r="AK84" s="63"/>
      <c r="AL84" s="63"/>
      <c r="AM84" s="63"/>
      <c r="AN84" s="63"/>
      <c r="AO84" s="63"/>
      <c r="AP84" s="63"/>
      <c r="AQ84" s="63"/>
      <c r="AR84" s="63"/>
      <c r="AS84" s="63"/>
      <c r="AT84" s="63"/>
    </row>
    <row r="85" spans="1:46" x14ac:dyDescent="0.3">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3"/>
      <c r="AI85" s="63"/>
      <c r="AJ85" s="63"/>
      <c r="AK85" s="63"/>
      <c r="AL85" s="63"/>
      <c r="AM85" s="63"/>
      <c r="AN85" s="63"/>
      <c r="AO85" s="63"/>
      <c r="AP85" s="63"/>
      <c r="AQ85" s="63"/>
      <c r="AR85" s="63"/>
      <c r="AS85" s="63"/>
      <c r="AT85" s="63"/>
    </row>
    <row r="86" spans="1:46" x14ac:dyDescent="0.3">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3"/>
      <c r="AI86" s="63"/>
      <c r="AJ86" s="63"/>
      <c r="AK86" s="63"/>
      <c r="AL86" s="63"/>
      <c r="AM86" s="63"/>
      <c r="AN86" s="63"/>
      <c r="AO86" s="63"/>
      <c r="AP86" s="63"/>
      <c r="AQ86" s="63"/>
      <c r="AR86" s="63"/>
      <c r="AS86" s="63"/>
      <c r="AT86" s="63"/>
    </row>
    <row r="87" spans="1:46" x14ac:dyDescent="0.3">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3"/>
      <c r="AI87" s="63"/>
      <c r="AJ87" s="63"/>
      <c r="AK87" s="63"/>
      <c r="AL87" s="63"/>
      <c r="AM87" s="63"/>
      <c r="AN87" s="63"/>
      <c r="AO87" s="63"/>
      <c r="AP87" s="63"/>
      <c r="AQ87" s="63"/>
      <c r="AR87" s="63"/>
      <c r="AS87" s="63"/>
      <c r="AT87" s="63"/>
    </row>
    <row r="88" spans="1:46" x14ac:dyDescent="0.3">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3"/>
      <c r="AI88" s="63"/>
      <c r="AJ88" s="63"/>
      <c r="AK88" s="63"/>
      <c r="AL88" s="63"/>
      <c r="AM88" s="63"/>
      <c r="AN88" s="63"/>
      <c r="AO88" s="63"/>
      <c r="AP88" s="63"/>
      <c r="AQ88" s="63"/>
      <c r="AR88" s="63"/>
      <c r="AS88" s="63"/>
      <c r="AT88" s="63"/>
    </row>
    <row r="89" spans="1:46" x14ac:dyDescent="0.3">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3"/>
      <c r="AI89" s="63"/>
      <c r="AJ89" s="63"/>
      <c r="AK89" s="63"/>
      <c r="AL89" s="63"/>
      <c r="AM89" s="63"/>
      <c r="AN89" s="63"/>
      <c r="AO89" s="63"/>
      <c r="AP89" s="63"/>
      <c r="AQ89" s="63"/>
      <c r="AR89" s="63"/>
      <c r="AS89" s="63"/>
      <c r="AT89" s="63"/>
    </row>
    <row r="90" spans="1:46" x14ac:dyDescent="0.3">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3"/>
      <c r="AI90" s="63"/>
      <c r="AJ90" s="63"/>
      <c r="AK90" s="63"/>
      <c r="AL90" s="63"/>
      <c r="AM90" s="63"/>
      <c r="AN90" s="63"/>
      <c r="AO90" s="63"/>
      <c r="AP90" s="63"/>
      <c r="AQ90" s="63"/>
      <c r="AR90" s="63"/>
      <c r="AS90" s="63"/>
      <c r="AT90" s="63"/>
    </row>
    <row r="91" spans="1:46" x14ac:dyDescent="0.3">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3"/>
      <c r="AI91" s="63"/>
      <c r="AJ91" s="63"/>
      <c r="AK91" s="63"/>
      <c r="AL91" s="63"/>
      <c r="AM91" s="63"/>
      <c r="AN91" s="63"/>
      <c r="AO91" s="63"/>
      <c r="AP91" s="63"/>
      <c r="AQ91" s="63"/>
      <c r="AR91" s="63"/>
      <c r="AS91" s="63"/>
      <c r="AT91" s="63"/>
    </row>
    <row r="92" spans="1:46" x14ac:dyDescent="0.3">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3"/>
      <c r="AI92" s="63"/>
      <c r="AJ92" s="63"/>
      <c r="AK92" s="63"/>
      <c r="AL92" s="63"/>
      <c r="AM92" s="63"/>
      <c r="AN92" s="63"/>
      <c r="AO92" s="63"/>
      <c r="AP92" s="63"/>
      <c r="AQ92" s="63"/>
      <c r="AR92" s="63"/>
      <c r="AS92" s="63"/>
      <c r="AT92" s="63"/>
    </row>
    <row r="93" spans="1:46" x14ac:dyDescent="0.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3"/>
      <c r="AI93" s="63"/>
      <c r="AJ93" s="63"/>
      <c r="AK93" s="63"/>
      <c r="AL93" s="63"/>
      <c r="AM93" s="63"/>
      <c r="AN93" s="63"/>
      <c r="AO93" s="63"/>
      <c r="AP93" s="63"/>
      <c r="AQ93" s="63"/>
      <c r="AR93" s="63"/>
      <c r="AS93" s="63"/>
      <c r="AT93" s="63"/>
    </row>
    <row r="94" spans="1:46" x14ac:dyDescent="0.3">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3"/>
      <c r="AI94" s="63"/>
      <c r="AJ94" s="63"/>
      <c r="AK94" s="63"/>
      <c r="AL94" s="63"/>
      <c r="AM94" s="63"/>
      <c r="AN94" s="63"/>
      <c r="AO94" s="63"/>
      <c r="AP94" s="63"/>
      <c r="AQ94" s="63"/>
      <c r="AR94" s="63"/>
      <c r="AS94" s="63"/>
      <c r="AT94" s="63"/>
    </row>
    <row r="95" spans="1:46" x14ac:dyDescent="0.3">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3"/>
      <c r="AI95" s="63"/>
      <c r="AJ95" s="63"/>
      <c r="AK95" s="63"/>
      <c r="AL95" s="63"/>
      <c r="AM95" s="63"/>
      <c r="AN95" s="63"/>
      <c r="AO95" s="63"/>
      <c r="AP95" s="63"/>
      <c r="AQ95" s="63"/>
      <c r="AR95" s="63"/>
      <c r="AS95" s="63"/>
      <c r="AT95" s="63"/>
    </row>
    <row r="96" spans="1:46" x14ac:dyDescent="0.3">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3"/>
      <c r="AI96" s="63"/>
      <c r="AJ96" s="63"/>
      <c r="AK96" s="63"/>
      <c r="AL96" s="63"/>
      <c r="AM96" s="63"/>
      <c r="AN96" s="63"/>
      <c r="AO96" s="63"/>
      <c r="AP96" s="63"/>
      <c r="AQ96" s="63"/>
      <c r="AR96" s="63"/>
      <c r="AS96" s="63"/>
      <c r="AT96" s="63"/>
    </row>
    <row r="97" spans="1:46" x14ac:dyDescent="0.3">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3"/>
      <c r="AI97" s="63"/>
      <c r="AJ97" s="63"/>
      <c r="AK97" s="63"/>
      <c r="AL97" s="63"/>
      <c r="AM97" s="63"/>
      <c r="AN97" s="63"/>
      <c r="AO97" s="63"/>
      <c r="AP97" s="63"/>
      <c r="AQ97" s="63"/>
      <c r="AR97" s="63"/>
      <c r="AS97" s="63"/>
      <c r="AT97" s="63"/>
    </row>
    <row r="98" spans="1:46" x14ac:dyDescent="0.3">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3"/>
      <c r="AI98" s="63"/>
      <c r="AJ98" s="63"/>
      <c r="AK98" s="63"/>
      <c r="AL98" s="63"/>
      <c r="AM98" s="63"/>
      <c r="AN98" s="63"/>
      <c r="AO98" s="63"/>
      <c r="AP98" s="63"/>
      <c r="AQ98" s="63"/>
      <c r="AR98" s="63"/>
      <c r="AS98" s="63"/>
      <c r="AT98" s="63"/>
    </row>
    <row r="99" spans="1:46" x14ac:dyDescent="0.3">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3"/>
      <c r="AI99" s="63"/>
      <c r="AJ99" s="63"/>
      <c r="AK99" s="63"/>
      <c r="AL99" s="63"/>
      <c r="AM99" s="63"/>
      <c r="AN99" s="63"/>
      <c r="AO99" s="63"/>
      <c r="AP99" s="63"/>
      <c r="AQ99" s="63"/>
      <c r="AR99" s="63"/>
      <c r="AS99" s="63"/>
      <c r="AT99" s="63"/>
    </row>
    <row r="100" spans="1:46" x14ac:dyDescent="0.3">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3"/>
      <c r="AI100" s="63"/>
      <c r="AJ100" s="63"/>
      <c r="AK100" s="63"/>
      <c r="AL100" s="63"/>
      <c r="AM100" s="63"/>
      <c r="AN100" s="63"/>
      <c r="AO100" s="63"/>
      <c r="AP100" s="63"/>
      <c r="AQ100" s="63"/>
      <c r="AR100" s="63"/>
      <c r="AS100" s="63"/>
      <c r="AT100" s="63"/>
    </row>
    <row r="101" spans="1:46" x14ac:dyDescent="0.3">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3"/>
      <c r="AI101" s="63"/>
      <c r="AJ101" s="63"/>
      <c r="AK101" s="63"/>
      <c r="AL101" s="63"/>
      <c r="AM101" s="63"/>
      <c r="AN101" s="63"/>
      <c r="AO101" s="63"/>
      <c r="AP101" s="63"/>
      <c r="AQ101" s="63"/>
      <c r="AR101" s="63"/>
      <c r="AS101" s="63"/>
      <c r="AT101" s="63"/>
    </row>
    <row r="102" spans="1:46" x14ac:dyDescent="0.3">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3"/>
      <c r="AI102" s="63"/>
      <c r="AJ102" s="63"/>
      <c r="AK102" s="63"/>
      <c r="AL102" s="63"/>
      <c r="AM102" s="63"/>
      <c r="AN102" s="63"/>
      <c r="AO102" s="63"/>
      <c r="AP102" s="63"/>
      <c r="AQ102" s="63"/>
      <c r="AR102" s="63"/>
      <c r="AS102" s="63"/>
      <c r="AT102" s="63"/>
    </row>
    <row r="103" spans="1:46" x14ac:dyDescent="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3"/>
      <c r="AI103" s="63"/>
      <c r="AJ103" s="63"/>
      <c r="AK103" s="63"/>
      <c r="AL103" s="63"/>
      <c r="AM103" s="63"/>
      <c r="AN103" s="63"/>
      <c r="AO103" s="63"/>
      <c r="AP103" s="63"/>
      <c r="AQ103" s="63"/>
      <c r="AR103" s="63"/>
      <c r="AS103" s="63"/>
      <c r="AT103" s="63"/>
    </row>
    <row r="104" spans="1:46" x14ac:dyDescent="0.3">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3"/>
      <c r="AI104" s="63"/>
      <c r="AJ104" s="63"/>
      <c r="AK104" s="63"/>
      <c r="AL104" s="63"/>
      <c r="AM104" s="63"/>
      <c r="AN104" s="63"/>
      <c r="AO104" s="63"/>
      <c r="AP104" s="63"/>
      <c r="AQ104" s="63"/>
      <c r="AR104" s="63"/>
      <c r="AS104" s="63"/>
      <c r="AT104" s="63"/>
    </row>
    <row r="105" spans="1:46" x14ac:dyDescent="0.3">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3"/>
      <c r="AI105" s="63"/>
      <c r="AJ105" s="63"/>
      <c r="AK105" s="63"/>
      <c r="AL105" s="63"/>
      <c r="AM105" s="63"/>
      <c r="AN105" s="63"/>
      <c r="AO105" s="63"/>
      <c r="AP105" s="63"/>
      <c r="AQ105" s="63"/>
      <c r="AR105" s="63"/>
      <c r="AS105" s="63"/>
      <c r="AT105" s="63"/>
    </row>
    <row r="106" spans="1:46" x14ac:dyDescent="0.3">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3"/>
      <c r="AI106" s="63"/>
      <c r="AJ106" s="63"/>
      <c r="AK106" s="63"/>
      <c r="AL106" s="63"/>
      <c r="AM106" s="63"/>
      <c r="AN106" s="63"/>
      <c r="AO106" s="63"/>
      <c r="AP106" s="63"/>
      <c r="AQ106" s="63"/>
      <c r="AR106" s="63"/>
      <c r="AS106" s="63"/>
      <c r="AT106" s="63"/>
    </row>
    <row r="107" spans="1:46" x14ac:dyDescent="0.3">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3"/>
      <c r="AI107" s="63"/>
      <c r="AJ107" s="63"/>
      <c r="AK107" s="63"/>
      <c r="AL107" s="63"/>
      <c r="AM107" s="63"/>
      <c r="AN107" s="63"/>
      <c r="AO107" s="63"/>
      <c r="AP107" s="63"/>
      <c r="AQ107" s="63"/>
      <c r="AR107" s="63"/>
      <c r="AS107" s="63"/>
      <c r="AT107" s="63"/>
    </row>
    <row r="108" spans="1:46" x14ac:dyDescent="0.3">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3"/>
      <c r="AI108" s="63"/>
      <c r="AJ108" s="63"/>
      <c r="AK108" s="63"/>
      <c r="AL108" s="63"/>
      <c r="AM108" s="63"/>
      <c r="AN108" s="63"/>
      <c r="AO108" s="63"/>
      <c r="AP108" s="63"/>
      <c r="AQ108" s="63"/>
      <c r="AR108" s="63"/>
      <c r="AS108" s="63"/>
      <c r="AT108" s="63"/>
    </row>
    <row r="109" spans="1:46" x14ac:dyDescent="0.3">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3"/>
      <c r="AI109" s="63"/>
      <c r="AJ109" s="63"/>
      <c r="AK109" s="63"/>
      <c r="AL109" s="63"/>
      <c r="AM109" s="63"/>
      <c r="AN109" s="63"/>
      <c r="AO109" s="63"/>
      <c r="AP109" s="63"/>
      <c r="AQ109" s="63"/>
      <c r="AR109" s="63"/>
      <c r="AS109" s="63"/>
      <c r="AT109" s="63"/>
    </row>
    <row r="110" spans="1:46" x14ac:dyDescent="0.3">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3"/>
      <c r="AI110" s="63"/>
      <c r="AJ110" s="63"/>
      <c r="AK110" s="63"/>
      <c r="AL110" s="63"/>
      <c r="AM110" s="63"/>
      <c r="AN110" s="63"/>
      <c r="AO110" s="63"/>
      <c r="AP110" s="63"/>
      <c r="AQ110" s="63"/>
      <c r="AR110" s="63"/>
      <c r="AS110" s="63"/>
      <c r="AT110" s="63"/>
    </row>
    <row r="111" spans="1:46" x14ac:dyDescent="0.3">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3"/>
      <c r="AI111" s="63"/>
      <c r="AJ111" s="63"/>
      <c r="AK111" s="63"/>
      <c r="AL111" s="63"/>
      <c r="AM111" s="63"/>
      <c r="AN111" s="63"/>
      <c r="AO111" s="63"/>
      <c r="AP111" s="63"/>
      <c r="AQ111" s="63"/>
      <c r="AR111" s="63"/>
      <c r="AS111" s="63"/>
      <c r="AT111" s="63"/>
    </row>
    <row r="112" spans="1:46" x14ac:dyDescent="0.3">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3"/>
      <c r="AI112" s="63"/>
      <c r="AJ112" s="63"/>
      <c r="AK112" s="63"/>
      <c r="AL112" s="63"/>
      <c r="AM112" s="63"/>
      <c r="AN112" s="63"/>
      <c r="AO112" s="63"/>
      <c r="AP112" s="63"/>
      <c r="AQ112" s="63"/>
      <c r="AR112" s="63"/>
      <c r="AS112" s="63"/>
      <c r="AT112" s="63"/>
    </row>
    <row r="113" spans="1:46" x14ac:dyDescent="0.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3"/>
      <c r="AI113" s="63"/>
      <c r="AJ113" s="63"/>
      <c r="AK113" s="63"/>
      <c r="AL113" s="63"/>
      <c r="AM113" s="63"/>
      <c r="AN113" s="63"/>
      <c r="AO113" s="63"/>
      <c r="AP113" s="63"/>
      <c r="AQ113" s="63"/>
      <c r="AR113" s="63"/>
      <c r="AS113" s="63"/>
      <c r="AT113" s="63"/>
    </row>
    <row r="114" spans="1:46" x14ac:dyDescent="0.3">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3"/>
      <c r="AI114" s="63"/>
      <c r="AJ114" s="63"/>
      <c r="AK114" s="63"/>
      <c r="AL114" s="63"/>
      <c r="AM114" s="63"/>
      <c r="AN114" s="63"/>
      <c r="AO114" s="63"/>
      <c r="AP114" s="63"/>
      <c r="AQ114" s="63"/>
      <c r="AR114" s="63"/>
      <c r="AS114" s="63"/>
      <c r="AT114" s="63"/>
    </row>
    <row r="115" spans="1:46" x14ac:dyDescent="0.3">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3"/>
      <c r="AI115" s="63"/>
      <c r="AJ115" s="63"/>
      <c r="AK115" s="63"/>
      <c r="AL115" s="63"/>
      <c r="AM115" s="63"/>
      <c r="AN115" s="63"/>
      <c r="AO115" s="63"/>
      <c r="AP115" s="63"/>
      <c r="AQ115" s="63"/>
      <c r="AR115" s="63"/>
      <c r="AS115" s="63"/>
      <c r="AT115" s="63"/>
    </row>
    <row r="116" spans="1:46" x14ac:dyDescent="0.3">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3"/>
      <c r="AI116" s="63"/>
      <c r="AJ116" s="63"/>
      <c r="AK116" s="63"/>
      <c r="AL116" s="63"/>
      <c r="AM116" s="63"/>
      <c r="AN116" s="63"/>
      <c r="AO116" s="63"/>
      <c r="AP116" s="63"/>
      <c r="AQ116" s="63"/>
      <c r="AR116" s="63"/>
      <c r="AS116" s="63"/>
      <c r="AT116" s="63"/>
    </row>
    <row r="117" spans="1:46" x14ac:dyDescent="0.3">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3"/>
      <c r="AI117" s="63"/>
      <c r="AJ117" s="63"/>
      <c r="AK117" s="63"/>
      <c r="AL117" s="63"/>
      <c r="AM117" s="63"/>
      <c r="AN117" s="63"/>
      <c r="AO117" s="63"/>
      <c r="AP117" s="63"/>
      <c r="AQ117" s="63"/>
      <c r="AR117" s="63"/>
      <c r="AS117" s="63"/>
      <c r="AT117" s="63"/>
    </row>
    <row r="118" spans="1:46" x14ac:dyDescent="0.3">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3"/>
      <c r="AI118" s="63"/>
      <c r="AJ118" s="63"/>
      <c r="AK118" s="63"/>
      <c r="AL118" s="63"/>
      <c r="AM118" s="63"/>
      <c r="AN118" s="63"/>
      <c r="AO118" s="63"/>
      <c r="AP118" s="63"/>
      <c r="AQ118" s="63"/>
      <c r="AR118" s="63"/>
      <c r="AS118" s="63"/>
      <c r="AT118" s="63"/>
    </row>
    <row r="119" spans="1:46" x14ac:dyDescent="0.3">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3"/>
      <c r="AI119" s="63"/>
      <c r="AJ119" s="63"/>
      <c r="AK119" s="63"/>
      <c r="AL119" s="63"/>
      <c r="AM119" s="63"/>
      <c r="AN119" s="63"/>
      <c r="AO119" s="63"/>
      <c r="AP119" s="63"/>
      <c r="AQ119" s="63"/>
      <c r="AR119" s="63"/>
      <c r="AS119" s="63"/>
      <c r="AT119" s="63"/>
    </row>
    <row r="120" spans="1:46" x14ac:dyDescent="0.3">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3"/>
      <c r="AI120" s="63"/>
      <c r="AJ120" s="63"/>
      <c r="AK120" s="63"/>
      <c r="AL120" s="63"/>
      <c r="AM120" s="63"/>
      <c r="AN120" s="63"/>
      <c r="AO120" s="63"/>
      <c r="AP120" s="63"/>
      <c r="AQ120" s="63"/>
      <c r="AR120" s="63"/>
      <c r="AS120" s="63"/>
      <c r="AT120" s="63"/>
    </row>
    <row r="121" spans="1:46" x14ac:dyDescent="0.3">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3"/>
      <c r="AI121" s="63"/>
      <c r="AJ121" s="63"/>
      <c r="AK121" s="63"/>
      <c r="AL121" s="63"/>
      <c r="AM121" s="63"/>
      <c r="AN121" s="63"/>
      <c r="AO121" s="63"/>
      <c r="AP121" s="63"/>
      <c r="AQ121" s="63"/>
      <c r="AR121" s="63"/>
      <c r="AS121" s="63"/>
      <c r="AT121" s="63"/>
    </row>
    <row r="122" spans="1:46" x14ac:dyDescent="0.3">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3"/>
      <c r="AI122" s="63"/>
      <c r="AJ122" s="63"/>
      <c r="AK122" s="63"/>
      <c r="AL122" s="63"/>
      <c r="AM122" s="63"/>
      <c r="AN122" s="63"/>
      <c r="AO122" s="63"/>
      <c r="AP122" s="63"/>
      <c r="AQ122" s="63"/>
      <c r="AR122" s="63"/>
      <c r="AS122" s="63"/>
      <c r="AT122" s="63"/>
    </row>
    <row r="123" spans="1:46" x14ac:dyDescent="0.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3"/>
      <c r="AI123" s="63"/>
      <c r="AJ123" s="63"/>
      <c r="AK123" s="63"/>
      <c r="AL123" s="63"/>
      <c r="AM123" s="63"/>
      <c r="AN123" s="63"/>
      <c r="AO123" s="63"/>
      <c r="AP123" s="63"/>
      <c r="AQ123" s="63"/>
      <c r="AR123" s="63"/>
      <c r="AS123" s="63"/>
      <c r="AT123" s="63"/>
    </row>
    <row r="124" spans="1:46" x14ac:dyDescent="0.3">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3"/>
      <c r="AI124" s="63"/>
      <c r="AJ124" s="63"/>
      <c r="AK124" s="63"/>
      <c r="AL124" s="63"/>
      <c r="AM124" s="63"/>
      <c r="AN124" s="63"/>
      <c r="AO124" s="63"/>
      <c r="AP124" s="63"/>
      <c r="AQ124" s="63"/>
      <c r="AR124" s="63"/>
      <c r="AS124" s="63"/>
      <c r="AT124" s="63"/>
    </row>
    <row r="125" spans="1:46" x14ac:dyDescent="0.3">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3"/>
      <c r="AI125" s="63"/>
      <c r="AJ125" s="63"/>
      <c r="AK125" s="63"/>
      <c r="AL125" s="63"/>
      <c r="AM125" s="63"/>
      <c r="AN125" s="63"/>
      <c r="AO125" s="63"/>
      <c r="AP125" s="63"/>
      <c r="AQ125" s="63"/>
      <c r="AR125" s="63"/>
      <c r="AS125" s="63"/>
      <c r="AT125" s="63"/>
    </row>
    <row r="126" spans="1:46" x14ac:dyDescent="0.3">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3"/>
      <c r="AI126" s="63"/>
      <c r="AJ126" s="63"/>
      <c r="AK126" s="63"/>
      <c r="AL126" s="63"/>
      <c r="AM126" s="63"/>
      <c r="AN126" s="63"/>
      <c r="AO126" s="63"/>
      <c r="AP126" s="63"/>
      <c r="AQ126" s="63"/>
      <c r="AR126" s="63"/>
      <c r="AS126" s="63"/>
      <c r="AT126" s="63"/>
    </row>
    <row r="127" spans="1:46" x14ac:dyDescent="0.3">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3"/>
      <c r="AI127" s="63"/>
      <c r="AJ127" s="63"/>
      <c r="AK127" s="63"/>
      <c r="AL127" s="63"/>
      <c r="AM127" s="63"/>
      <c r="AN127" s="63"/>
      <c r="AO127" s="63"/>
      <c r="AP127" s="63"/>
      <c r="AQ127" s="63"/>
      <c r="AR127" s="63"/>
      <c r="AS127" s="63"/>
      <c r="AT127" s="63"/>
    </row>
    <row r="128" spans="1:46" x14ac:dyDescent="0.3">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3"/>
      <c r="AI128" s="63"/>
      <c r="AJ128" s="63"/>
      <c r="AK128" s="63"/>
      <c r="AL128" s="63"/>
      <c r="AM128" s="63"/>
      <c r="AN128" s="63"/>
      <c r="AO128" s="63"/>
      <c r="AP128" s="63"/>
      <c r="AQ128" s="63"/>
      <c r="AR128" s="63"/>
      <c r="AS128" s="63"/>
      <c r="AT128" s="63"/>
    </row>
    <row r="129" spans="1:46" x14ac:dyDescent="0.3">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3"/>
      <c r="AI129" s="63"/>
      <c r="AJ129" s="63"/>
      <c r="AK129" s="63"/>
      <c r="AL129" s="63"/>
      <c r="AM129" s="63"/>
      <c r="AN129" s="63"/>
      <c r="AO129" s="63"/>
      <c r="AP129" s="63"/>
      <c r="AQ129" s="63"/>
      <c r="AR129" s="63"/>
      <c r="AS129" s="63"/>
      <c r="AT129" s="63"/>
    </row>
    <row r="130" spans="1:46" x14ac:dyDescent="0.3">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3"/>
      <c r="AI130" s="63"/>
      <c r="AJ130" s="63"/>
      <c r="AK130" s="63"/>
      <c r="AL130" s="63"/>
      <c r="AM130" s="63"/>
      <c r="AN130" s="63"/>
      <c r="AO130" s="63"/>
      <c r="AP130" s="63"/>
      <c r="AQ130" s="63"/>
      <c r="AR130" s="63"/>
      <c r="AS130" s="63"/>
      <c r="AT130" s="63"/>
    </row>
    <row r="131" spans="1:46" x14ac:dyDescent="0.3">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3"/>
      <c r="AI131" s="63"/>
      <c r="AJ131" s="63"/>
      <c r="AK131" s="63"/>
      <c r="AL131" s="63"/>
      <c r="AM131" s="63"/>
      <c r="AN131" s="63"/>
      <c r="AO131" s="63"/>
      <c r="AP131" s="63"/>
      <c r="AQ131" s="63"/>
      <c r="AR131" s="63"/>
      <c r="AS131" s="63"/>
      <c r="AT131" s="63"/>
    </row>
    <row r="132" spans="1:46" x14ac:dyDescent="0.3">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3"/>
      <c r="AI132" s="63"/>
      <c r="AJ132" s="63"/>
      <c r="AK132" s="63"/>
      <c r="AL132" s="63"/>
      <c r="AM132" s="63"/>
      <c r="AN132" s="63"/>
      <c r="AO132" s="63"/>
      <c r="AP132" s="63"/>
      <c r="AQ132" s="63"/>
      <c r="AR132" s="63"/>
      <c r="AS132" s="63"/>
      <c r="AT132" s="63"/>
    </row>
    <row r="133" spans="1:46" x14ac:dyDescent="0.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3"/>
      <c r="AI133" s="63"/>
      <c r="AJ133" s="63"/>
      <c r="AK133" s="63"/>
      <c r="AL133" s="63"/>
      <c r="AM133" s="63"/>
      <c r="AN133" s="63"/>
      <c r="AO133" s="63"/>
      <c r="AP133" s="63"/>
      <c r="AQ133" s="63"/>
      <c r="AR133" s="63"/>
      <c r="AS133" s="63"/>
      <c r="AT133" s="63"/>
    </row>
    <row r="134" spans="1:46" x14ac:dyDescent="0.3">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3"/>
      <c r="AI134" s="63"/>
      <c r="AJ134" s="63"/>
      <c r="AK134" s="63"/>
      <c r="AL134" s="63"/>
      <c r="AM134" s="63"/>
      <c r="AN134" s="63"/>
      <c r="AO134" s="63"/>
      <c r="AP134" s="63"/>
      <c r="AQ134" s="63"/>
      <c r="AR134" s="63"/>
      <c r="AS134" s="63"/>
      <c r="AT134" s="63"/>
    </row>
    <row r="135" spans="1:46" x14ac:dyDescent="0.3">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3"/>
      <c r="AI135" s="63"/>
      <c r="AJ135" s="63"/>
      <c r="AK135" s="63"/>
      <c r="AL135" s="63"/>
      <c r="AM135" s="63"/>
      <c r="AN135" s="63"/>
      <c r="AO135" s="63"/>
      <c r="AP135" s="63"/>
      <c r="AQ135" s="63"/>
      <c r="AR135" s="63"/>
      <c r="AS135" s="63"/>
      <c r="AT135" s="63"/>
    </row>
    <row r="136" spans="1:46" x14ac:dyDescent="0.3">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3"/>
      <c r="AI136" s="63"/>
      <c r="AJ136" s="63"/>
      <c r="AK136" s="63"/>
      <c r="AL136" s="63"/>
      <c r="AM136" s="63"/>
      <c r="AN136" s="63"/>
      <c r="AO136" s="63"/>
      <c r="AP136" s="63"/>
      <c r="AQ136" s="63"/>
      <c r="AR136" s="63"/>
      <c r="AS136" s="63"/>
      <c r="AT136" s="63"/>
    </row>
    <row r="137" spans="1:46" x14ac:dyDescent="0.3">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3"/>
      <c r="AI137" s="63"/>
      <c r="AJ137" s="63"/>
      <c r="AK137" s="63"/>
      <c r="AL137" s="63"/>
      <c r="AM137" s="63"/>
      <c r="AN137" s="63"/>
      <c r="AO137" s="63"/>
      <c r="AP137" s="63"/>
      <c r="AQ137" s="63"/>
      <c r="AR137" s="63"/>
      <c r="AS137" s="63"/>
      <c r="AT137" s="63"/>
    </row>
    <row r="138" spans="1:46" x14ac:dyDescent="0.3">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3"/>
      <c r="AI138" s="63"/>
      <c r="AJ138" s="63"/>
      <c r="AK138" s="63"/>
      <c r="AL138" s="63"/>
      <c r="AM138" s="63"/>
      <c r="AN138" s="63"/>
      <c r="AO138" s="63"/>
      <c r="AP138" s="63"/>
      <c r="AQ138" s="63"/>
      <c r="AR138" s="63"/>
      <c r="AS138" s="63"/>
      <c r="AT138" s="63"/>
    </row>
    <row r="139" spans="1:46" x14ac:dyDescent="0.3">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3"/>
      <c r="AI139" s="63"/>
      <c r="AJ139" s="63"/>
      <c r="AK139" s="63"/>
      <c r="AL139" s="63"/>
      <c r="AM139" s="63"/>
      <c r="AN139" s="63"/>
      <c r="AO139" s="63"/>
      <c r="AP139" s="63"/>
      <c r="AQ139" s="63"/>
      <c r="AR139" s="63"/>
      <c r="AS139" s="63"/>
      <c r="AT139" s="63"/>
    </row>
    <row r="140" spans="1:46" x14ac:dyDescent="0.3">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3"/>
      <c r="AI140" s="63"/>
      <c r="AJ140" s="63"/>
      <c r="AK140" s="63"/>
      <c r="AL140" s="63"/>
      <c r="AM140" s="63"/>
      <c r="AN140" s="63"/>
      <c r="AO140" s="63"/>
      <c r="AP140" s="63"/>
      <c r="AQ140" s="63"/>
      <c r="AR140" s="63"/>
      <c r="AS140" s="63"/>
      <c r="AT140" s="63"/>
    </row>
    <row r="141" spans="1:46" x14ac:dyDescent="0.3">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3"/>
      <c r="AI141" s="63"/>
      <c r="AJ141" s="63"/>
      <c r="AK141" s="63"/>
      <c r="AL141" s="63"/>
      <c r="AM141" s="63"/>
      <c r="AN141" s="63"/>
      <c r="AO141" s="63"/>
      <c r="AP141" s="63"/>
      <c r="AQ141" s="63"/>
      <c r="AR141" s="63"/>
      <c r="AS141" s="63"/>
      <c r="AT141" s="63"/>
    </row>
    <row r="142" spans="1:46" x14ac:dyDescent="0.3">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3"/>
      <c r="AI142" s="63"/>
      <c r="AJ142" s="63"/>
      <c r="AK142" s="63"/>
      <c r="AL142" s="63"/>
      <c r="AM142" s="63"/>
      <c r="AN142" s="63"/>
      <c r="AO142" s="63"/>
      <c r="AP142" s="63"/>
      <c r="AQ142" s="63"/>
      <c r="AR142" s="63"/>
      <c r="AS142" s="63"/>
      <c r="AT142" s="63"/>
    </row>
    <row r="143" spans="1:46" x14ac:dyDescent="0.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3"/>
      <c r="AI143" s="63"/>
      <c r="AJ143" s="63"/>
      <c r="AK143" s="63"/>
      <c r="AL143" s="63"/>
      <c r="AM143" s="63"/>
      <c r="AN143" s="63"/>
      <c r="AO143" s="63"/>
      <c r="AP143" s="63"/>
      <c r="AQ143" s="63"/>
      <c r="AR143" s="63"/>
      <c r="AS143" s="63"/>
      <c r="AT143" s="63"/>
    </row>
    <row r="144" spans="1:46" x14ac:dyDescent="0.3">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3"/>
      <c r="AI144" s="63"/>
      <c r="AJ144" s="63"/>
      <c r="AK144" s="63"/>
      <c r="AL144" s="63"/>
      <c r="AM144" s="63"/>
      <c r="AN144" s="63"/>
      <c r="AO144" s="63"/>
      <c r="AP144" s="63"/>
      <c r="AQ144" s="63"/>
      <c r="AR144" s="63"/>
      <c r="AS144" s="63"/>
      <c r="AT144" s="63"/>
    </row>
    <row r="145" spans="1:46" x14ac:dyDescent="0.3">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3"/>
      <c r="AI145" s="63"/>
      <c r="AJ145" s="63"/>
      <c r="AK145" s="63"/>
      <c r="AL145" s="63"/>
      <c r="AM145" s="63"/>
      <c r="AN145" s="63"/>
      <c r="AO145" s="63"/>
      <c r="AP145" s="63"/>
      <c r="AQ145" s="63"/>
      <c r="AR145" s="63"/>
      <c r="AS145" s="63"/>
      <c r="AT145" s="63"/>
    </row>
    <row r="146" spans="1:46" x14ac:dyDescent="0.3">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3"/>
      <c r="AI146" s="63"/>
      <c r="AJ146" s="63"/>
      <c r="AK146" s="63"/>
      <c r="AL146" s="63"/>
      <c r="AM146" s="63"/>
      <c r="AN146" s="63"/>
      <c r="AO146" s="63"/>
      <c r="AP146" s="63"/>
      <c r="AQ146" s="63"/>
      <c r="AR146" s="63"/>
      <c r="AS146" s="63"/>
      <c r="AT146" s="63"/>
    </row>
    <row r="147" spans="1:46" x14ac:dyDescent="0.3">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3"/>
      <c r="AI147" s="63"/>
      <c r="AJ147" s="63"/>
      <c r="AK147" s="63"/>
      <c r="AL147" s="63"/>
      <c r="AM147" s="63"/>
      <c r="AN147" s="63"/>
      <c r="AO147" s="63"/>
      <c r="AP147" s="63"/>
      <c r="AQ147" s="63"/>
      <c r="AR147" s="63"/>
      <c r="AS147" s="63"/>
      <c r="AT147" s="63"/>
    </row>
    <row r="148" spans="1:46" x14ac:dyDescent="0.3">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3"/>
      <c r="AI148" s="63"/>
      <c r="AJ148" s="63"/>
      <c r="AK148" s="63"/>
      <c r="AL148" s="63"/>
      <c r="AM148" s="63"/>
      <c r="AN148" s="63"/>
      <c r="AO148" s="63"/>
      <c r="AP148" s="63"/>
      <c r="AQ148" s="63"/>
      <c r="AR148" s="63"/>
      <c r="AS148" s="63"/>
      <c r="AT148" s="63"/>
    </row>
    <row r="149" spans="1:46" x14ac:dyDescent="0.3">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3"/>
      <c r="AI149" s="63"/>
      <c r="AJ149" s="63"/>
      <c r="AK149" s="63"/>
      <c r="AL149" s="63"/>
      <c r="AM149" s="63"/>
      <c r="AN149" s="63"/>
      <c r="AO149" s="63"/>
      <c r="AP149" s="63"/>
      <c r="AQ149" s="63"/>
      <c r="AR149" s="63"/>
      <c r="AS149" s="63"/>
      <c r="AT149" s="63"/>
    </row>
    <row r="150" spans="1:46" x14ac:dyDescent="0.3">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3"/>
      <c r="AI150" s="63"/>
      <c r="AJ150" s="63"/>
      <c r="AK150" s="63"/>
      <c r="AL150" s="63"/>
      <c r="AM150" s="63"/>
      <c r="AN150" s="63"/>
      <c r="AO150" s="63"/>
      <c r="AP150" s="63"/>
      <c r="AQ150" s="63"/>
      <c r="AR150" s="63"/>
      <c r="AS150" s="63"/>
      <c r="AT150" s="63"/>
    </row>
    <row r="151" spans="1:46" x14ac:dyDescent="0.3">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3"/>
      <c r="AI151" s="63"/>
      <c r="AJ151" s="63"/>
      <c r="AK151" s="63"/>
      <c r="AL151" s="63"/>
      <c r="AM151" s="63"/>
      <c r="AN151" s="63"/>
      <c r="AO151" s="63"/>
      <c r="AP151" s="63"/>
      <c r="AQ151" s="63"/>
      <c r="AR151" s="63"/>
      <c r="AS151" s="63"/>
      <c r="AT151" s="63"/>
    </row>
    <row r="152" spans="1:46" x14ac:dyDescent="0.3">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3"/>
      <c r="AI152" s="63"/>
      <c r="AJ152" s="63"/>
      <c r="AK152" s="63"/>
      <c r="AL152" s="63"/>
      <c r="AM152" s="63"/>
      <c r="AN152" s="63"/>
      <c r="AO152" s="63"/>
      <c r="AP152" s="63"/>
      <c r="AQ152" s="63"/>
      <c r="AR152" s="63"/>
      <c r="AS152" s="63"/>
      <c r="AT152" s="63"/>
    </row>
    <row r="153" spans="1:46" x14ac:dyDescent="0.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3"/>
      <c r="AI153" s="63"/>
      <c r="AJ153" s="63"/>
      <c r="AK153" s="63"/>
      <c r="AL153" s="63"/>
      <c r="AM153" s="63"/>
      <c r="AN153" s="63"/>
      <c r="AO153" s="63"/>
      <c r="AP153" s="63"/>
      <c r="AQ153" s="63"/>
      <c r="AR153" s="63"/>
      <c r="AS153" s="63"/>
      <c r="AT153" s="63"/>
    </row>
    <row r="154" spans="1:46" x14ac:dyDescent="0.3">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3"/>
      <c r="AI154" s="63"/>
      <c r="AJ154" s="63"/>
      <c r="AK154" s="63"/>
      <c r="AL154" s="63"/>
      <c r="AM154" s="63"/>
      <c r="AN154" s="63"/>
      <c r="AO154" s="63"/>
      <c r="AP154" s="63"/>
      <c r="AQ154" s="63"/>
      <c r="AR154" s="63"/>
      <c r="AS154" s="63"/>
      <c r="AT154" s="63"/>
    </row>
    <row r="155" spans="1:46" x14ac:dyDescent="0.3">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3"/>
      <c r="AI155" s="63"/>
      <c r="AJ155" s="63"/>
      <c r="AK155" s="63"/>
      <c r="AL155" s="63"/>
      <c r="AM155" s="63"/>
      <c r="AN155" s="63"/>
      <c r="AO155" s="63"/>
      <c r="AP155" s="63"/>
      <c r="AQ155" s="63"/>
      <c r="AR155" s="63"/>
      <c r="AS155" s="63"/>
      <c r="AT155" s="63"/>
    </row>
    <row r="156" spans="1:46" x14ac:dyDescent="0.3">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3"/>
      <c r="AI156" s="63"/>
      <c r="AJ156" s="63"/>
      <c r="AK156" s="63"/>
      <c r="AL156" s="63"/>
      <c r="AM156" s="63"/>
      <c r="AN156" s="63"/>
      <c r="AO156" s="63"/>
      <c r="AP156" s="63"/>
      <c r="AQ156" s="63"/>
      <c r="AR156" s="63"/>
      <c r="AS156" s="63"/>
      <c r="AT156" s="63"/>
    </row>
    <row r="157" spans="1:46" x14ac:dyDescent="0.3">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3"/>
      <c r="AI157" s="63"/>
      <c r="AJ157" s="63"/>
      <c r="AK157" s="63"/>
      <c r="AL157" s="63"/>
      <c r="AM157" s="63"/>
      <c r="AN157" s="63"/>
      <c r="AO157" s="63"/>
      <c r="AP157" s="63"/>
      <c r="AQ157" s="63"/>
      <c r="AR157" s="63"/>
      <c r="AS157" s="63"/>
      <c r="AT157" s="63"/>
    </row>
    <row r="158" spans="1:46" x14ac:dyDescent="0.3">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3"/>
      <c r="AI158" s="63"/>
      <c r="AJ158" s="63"/>
      <c r="AK158" s="63"/>
      <c r="AL158" s="63"/>
      <c r="AM158" s="63"/>
      <c r="AN158" s="63"/>
      <c r="AO158" s="63"/>
      <c r="AP158" s="63"/>
      <c r="AQ158" s="63"/>
      <c r="AR158" s="63"/>
      <c r="AS158" s="63"/>
      <c r="AT158" s="63"/>
    </row>
    <row r="159" spans="1:46" x14ac:dyDescent="0.3">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3"/>
      <c r="AI159" s="63"/>
      <c r="AJ159" s="63"/>
      <c r="AK159" s="63"/>
      <c r="AL159" s="63"/>
      <c r="AM159" s="63"/>
      <c r="AN159" s="63"/>
      <c r="AO159" s="63"/>
      <c r="AP159" s="63"/>
      <c r="AQ159" s="63"/>
      <c r="AR159" s="63"/>
      <c r="AS159" s="63"/>
      <c r="AT159" s="63"/>
    </row>
    <row r="160" spans="1:46" x14ac:dyDescent="0.3">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3"/>
      <c r="AI160" s="63"/>
      <c r="AJ160" s="63"/>
      <c r="AK160" s="63"/>
      <c r="AL160" s="63"/>
      <c r="AM160" s="63"/>
      <c r="AN160" s="63"/>
      <c r="AO160" s="63"/>
      <c r="AP160" s="63"/>
      <c r="AQ160" s="63"/>
      <c r="AR160" s="63"/>
      <c r="AS160" s="63"/>
      <c r="AT160" s="63"/>
    </row>
    <row r="161" spans="1:46" x14ac:dyDescent="0.3">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3"/>
      <c r="AI161" s="63"/>
      <c r="AJ161" s="63"/>
      <c r="AK161" s="63"/>
      <c r="AL161" s="63"/>
      <c r="AM161" s="63"/>
      <c r="AN161" s="63"/>
      <c r="AO161" s="63"/>
      <c r="AP161" s="63"/>
      <c r="AQ161" s="63"/>
      <c r="AR161" s="63"/>
      <c r="AS161" s="63"/>
      <c r="AT161" s="63"/>
    </row>
    <row r="162" spans="1:46" x14ac:dyDescent="0.3">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3"/>
      <c r="AI162" s="63"/>
      <c r="AJ162" s="63"/>
      <c r="AK162" s="63"/>
      <c r="AL162" s="63"/>
      <c r="AM162" s="63"/>
      <c r="AN162" s="63"/>
      <c r="AO162" s="63"/>
      <c r="AP162" s="63"/>
      <c r="AQ162" s="63"/>
      <c r="AR162" s="63"/>
      <c r="AS162" s="63"/>
      <c r="AT162" s="63"/>
    </row>
    <row r="163" spans="1:46" x14ac:dyDescent="0.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3"/>
      <c r="AI163" s="63"/>
      <c r="AJ163" s="63"/>
      <c r="AK163" s="63"/>
      <c r="AL163" s="63"/>
      <c r="AM163" s="63"/>
      <c r="AN163" s="63"/>
      <c r="AO163" s="63"/>
      <c r="AP163" s="63"/>
      <c r="AQ163" s="63"/>
      <c r="AR163" s="63"/>
      <c r="AS163" s="63"/>
      <c r="AT163" s="63"/>
    </row>
    <row r="164" spans="1:46" x14ac:dyDescent="0.3">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3"/>
      <c r="AI164" s="63"/>
      <c r="AJ164" s="63"/>
      <c r="AK164" s="63"/>
      <c r="AL164" s="63"/>
      <c r="AM164" s="63"/>
      <c r="AN164" s="63"/>
      <c r="AO164" s="63"/>
      <c r="AP164" s="63"/>
      <c r="AQ164" s="63"/>
      <c r="AR164" s="63"/>
      <c r="AS164" s="63"/>
      <c r="AT164" s="63"/>
    </row>
    <row r="165" spans="1:46" x14ac:dyDescent="0.3">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3"/>
      <c r="AI165" s="63"/>
      <c r="AJ165" s="63"/>
      <c r="AK165" s="63"/>
      <c r="AL165" s="63"/>
      <c r="AM165" s="63"/>
      <c r="AN165" s="63"/>
      <c r="AO165" s="63"/>
      <c r="AP165" s="63"/>
      <c r="AQ165" s="63"/>
      <c r="AR165" s="63"/>
      <c r="AS165" s="63"/>
      <c r="AT165" s="63"/>
    </row>
    <row r="166" spans="1:46" x14ac:dyDescent="0.3">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3"/>
      <c r="AI166" s="63"/>
      <c r="AJ166" s="63"/>
      <c r="AK166" s="63"/>
      <c r="AL166" s="63"/>
      <c r="AM166" s="63"/>
      <c r="AN166" s="63"/>
      <c r="AO166" s="63"/>
      <c r="AP166" s="63"/>
      <c r="AQ166" s="63"/>
      <c r="AR166" s="63"/>
      <c r="AS166" s="63"/>
      <c r="AT166" s="63"/>
    </row>
    <row r="167" spans="1:46" x14ac:dyDescent="0.3">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3"/>
      <c r="AI167" s="63"/>
      <c r="AJ167" s="63"/>
      <c r="AK167" s="63"/>
      <c r="AL167" s="63"/>
      <c r="AM167" s="63"/>
      <c r="AN167" s="63"/>
      <c r="AO167" s="63"/>
      <c r="AP167" s="63"/>
      <c r="AQ167" s="63"/>
      <c r="AR167" s="63"/>
      <c r="AS167" s="63"/>
      <c r="AT167" s="63"/>
    </row>
    <row r="168" spans="1:46" x14ac:dyDescent="0.3">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3"/>
      <c r="AI168" s="63"/>
      <c r="AJ168" s="63"/>
      <c r="AK168" s="63"/>
      <c r="AL168" s="63"/>
      <c r="AM168" s="63"/>
      <c r="AN168" s="63"/>
      <c r="AO168" s="63"/>
      <c r="AP168" s="63"/>
      <c r="AQ168" s="63"/>
      <c r="AR168" s="63"/>
      <c r="AS168" s="63"/>
      <c r="AT168" s="63"/>
    </row>
    <row r="169" spans="1:46" x14ac:dyDescent="0.3">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3"/>
      <c r="AI169" s="63"/>
      <c r="AJ169" s="63"/>
      <c r="AK169" s="63"/>
      <c r="AL169" s="63"/>
      <c r="AM169" s="63"/>
      <c r="AN169" s="63"/>
      <c r="AO169" s="63"/>
      <c r="AP169" s="63"/>
      <c r="AQ169" s="63"/>
      <c r="AR169" s="63"/>
      <c r="AS169" s="63"/>
      <c r="AT169" s="63"/>
    </row>
    <row r="170" spans="1:46" x14ac:dyDescent="0.3">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3"/>
      <c r="AI170" s="63"/>
      <c r="AJ170" s="63"/>
      <c r="AK170" s="63"/>
      <c r="AL170" s="63"/>
      <c r="AM170" s="63"/>
      <c r="AN170" s="63"/>
      <c r="AO170" s="63"/>
      <c r="AP170" s="63"/>
      <c r="AQ170" s="63"/>
      <c r="AR170" s="63"/>
      <c r="AS170" s="63"/>
      <c r="AT170" s="63"/>
    </row>
    <row r="171" spans="1:46" x14ac:dyDescent="0.3">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3"/>
      <c r="AI171" s="63"/>
      <c r="AJ171" s="63"/>
      <c r="AK171" s="63"/>
      <c r="AL171" s="63"/>
      <c r="AM171" s="63"/>
      <c r="AN171" s="63"/>
      <c r="AO171" s="63"/>
      <c r="AP171" s="63"/>
      <c r="AQ171" s="63"/>
      <c r="AR171" s="63"/>
      <c r="AS171" s="63"/>
      <c r="AT171" s="63"/>
    </row>
    <row r="172" spans="1:46" x14ac:dyDescent="0.3">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3"/>
      <c r="AI172" s="63"/>
      <c r="AJ172" s="63"/>
      <c r="AK172" s="63"/>
      <c r="AL172" s="63"/>
      <c r="AM172" s="63"/>
      <c r="AN172" s="63"/>
      <c r="AO172" s="63"/>
      <c r="AP172" s="63"/>
      <c r="AQ172" s="63"/>
      <c r="AR172" s="63"/>
      <c r="AS172" s="63"/>
      <c r="AT172" s="63"/>
    </row>
    <row r="173" spans="1:46" x14ac:dyDescent="0.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3"/>
      <c r="AI173" s="63"/>
      <c r="AJ173" s="63"/>
      <c r="AK173" s="63"/>
      <c r="AL173" s="63"/>
      <c r="AM173" s="63"/>
      <c r="AN173" s="63"/>
      <c r="AO173" s="63"/>
      <c r="AP173" s="63"/>
      <c r="AQ173" s="63"/>
      <c r="AR173" s="63"/>
      <c r="AS173" s="63"/>
      <c r="AT173" s="63"/>
    </row>
    <row r="174" spans="1:46" x14ac:dyDescent="0.3">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3"/>
      <c r="AI174" s="63"/>
      <c r="AJ174" s="63"/>
      <c r="AK174" s="63"/>
      <c r="AL174" s="63"/>
      <c r="AM174" s="63"/>
      <c r="AN174" s="63"/>
      <c r="AO174" s="63"/>
      <c r="AP174" s="63"/>
      <c r="AQ174" s="63"/>
      <c r="AR174" s="63"/>
      <c r="AS174" s="63"/>
      <c r="AT174" s="63"/>
    </row>
    <row r="175" spans="1:46" x14ac:dyDescent="0.3">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3"/>
      <c r="AI175" s="63"/>
      <c r="AJ175" s="63"/>
      <c r="AK175" s="63"/>
      <c r="AL175" s="63"/>
      <c r="AM175" s="63"/>
      <c r="AN175" s="63"/>
      <c r="AO175" s="63"/>
      <c r="AP175" s="63"/>
      <c r="AQ175" s="63"/>
      <c r="AR175" s="63"/>
      <c r="AS175" s="63"/>
      <c r="AT175" s="63"/>
    </row>
    <row r="176" spans="1:46" x14ac:dyDescent="0.3">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3"/>
      <c r="AI176" s="63"/>
      <c r="AJ176" s="63"/>
      <c r="AK176" s="63"/>
      <c r="AL176" s="63"/>
      <c r="AM176" s="63"/>
      <c r="AN176" s="63"/>
      <c r="AO176" s="63"/>
      <c r="AP176" s="63"/>
      <c r="AQ176" s="63"/>
      <c r="AR176" s="63"/>
      <c r="AS176" s="63"/>
      <c r="AT176" s="63"/>
    </row>
    <row r="177" spans="1:46" x14ac:dyDescent="0.3">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3"/>
      <c r="AI177" s="63"/>
      <c r="AJ177" s="63"/>
      <c r="AK177" s="63"/>
      <c r="AL177" s="63"/>
      <c r="AM177" s="63"/>
      <c r="AN177" s="63"/>
      <c r="AO177" s="63"/>
      <c r="AP177" s="63"/>
      <c r="AQ177" s="63"/>
      <c r="AR177" s="63"/>
      <c r="AS177" s="63"/>
      <c r="AT177" s="63"/>
    </row>
    <row r="178" spans="1:46" x14ac:dyDescent="0.3">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3"/>
      <c r="AI178" s="63"/>
      <c r="AJ178" s="63"/>
      <c r="AK178" s="63"/>
      <c r="AL178" s="63"/>
      <c r="AM178" s="63"/>
      <c r="AN178" s="63"/>
      <c r="AO178" s="63"/>
      <c r="AP178" s="63"/>
      <c r="AQ178" s="63"/>
      <c r="AR178" s="63"/>
      <c r="AS178" s="63"/>
      <c r="AT178" s="63"/>
    </row>
    <row r="179" spans="1:46" x14ac:dyDescent="0.3">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3"/>
      <c r="AI179" s="63"/>
      <c r="AJ179" s="63"/>
      <c r="AK179" s="63"/>
      <c r="AL179" s="63"/>
      <c r="AM179" s="63"/>
      <c r="AN179" s="63"/>
      <c r="AO179" s="63"/>
      <c r="AP179" s="63"/>
      <c r="AQ179" s="63"/>
      <c r="AR179" s="63"/>
      <c r="AS179" s="63"/>
      <c r="AT179" s="63"/>
    </row>
    <row r="180" spans="1:46" x14ac:dyDescent="0.3">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3"/>
      <c r="AI180" s="63"/>
      <c r="AJ180" s="63"/>
      <c r="AK180" s="63"/>
      <c r="AL180" s="63"/>
      <c r="AM180" s="63"/>
      <c r="AN180" s="63"/>
      <c r="AO180" s="63"/>
      <c r="AP180" s="63"/>
      <c r="AQ180" s="63"/>
      <c r="AR180" s="63"/>
      <c r="AS180" s="63"/>
      <c r="AT180" s="63"/>
    </row>
    <row r="181" spans="1:46" x14ac:dyDescent="0.3">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3"/>
      <c r="AI181" s="63"/>
      <c r="AJ181" s="63"/>
      <c r="AK181" s="63"/>
      <c r="AL181" s="63"/>
      <c r="AM181" s="63"/>
      <c r="AN181" s="63"/>
      <c r="AO181" s="63"/>
      <c r="AP181" s="63"/>
      <c r="AQ181" s="63"/>
      <c r="AR181" s="63"/>
      <c r="AS181" s="63"/>
      <c r="AT181" s="63"/>
    </row>
    <row r="182" spans="1:46" x14ac:dyDescent="0.3">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3"/>
      <c r="AI182" s="63"/>
      <c r="AJ182" s="63"/>
      <c r="AK182" s="63"/>
      <c r="AL182" s="63"/>
      <c r="AM182" s="63"/>
      <c r="AN182" s="63"/>
      <c r="AO182" s="63"/>
      <c r="AP182" s="63"/>
      <c r="AQ182" s="63"/>
      <c r="AR182" s="63"/>
      <c r="AS182" s="63"/>
      <c r="AT182" s="63"/>
    </row>
    <row r="183" spans="1:46" x14ac:dyDescent="0.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3"/>
      <c r="AI183" s="63"/>
      <c r="AJ183" s="63"/>
      <c r="AK183" s="63"/>
      <c r="AL183" s="63"/>
      <c r="AM183" s="63"/>
      <c r="AN183" s="63"/>
      <c r="AO183" s="63"/>
      <c r="AP183" s="63"/>
      <c r="AQ183" s="63"/>
      <c r="AR183" s="63"/>
      <c r="AS183" s="63"/>
      <c r="AT183" s="63"/>
    </row>
    <row r="184" spans="1:46" x14ac:dyDescent="0.3">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3"/>
      <c r="AI184" s="63"/>
      <c r="AJ184" s="63"/>
      <c r="AK184" s="63"/>
      <c r="AL184" s="63"/>
      <c r="AM184" s="63"/>
      <c r="AN184" s="63"/>
      <c r="AO184" s="63"/>
      <c r="AP184" s="63"/>
      <c r="AQ184" s="63"/>
      <c r="AR184" s="63"/>
      <c r="AS184" s="63"/>
      <c r="AT184" s="63"/>
    </row>
    <row r="185" spans="1:46" x14ac:dyDescent="0.3">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3"/>
      <c r="AI185" s="63"/>
      <c r="AJ185" s="63"/>
      <c r="AK185" s="63"/>
      <c r="AL185" s="63"/>
      <c r="AM185" s="63"/>
      <c r="AN185" s="63"/>
      <c r="AO185" s="63"/>
      <c r="AP185" s="63"/>
      <c r="AQ185" s="63"/>
      <c r="AR185" s="63"/>
      <c r="AS185" s="63"/>
      <c r="AT185" s="63"/>
    </row>
    <row r="186" spans="1:46" x14ac:dyDescent="0.3">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3"/>
      <c r="AI186" s="63"/>
      <c r="AJ186" s="63"/>
      <c r="AK186" s="63"/>
      <c r="AL186" s="63"/>
      <c r="AM186" s="63"/>
      <c r="AN186" s="63"/>
      <c r="AO186" s="63"/>
      <c r="AP186" s="63"/>
      <c r="AQ186" s="63"/>
      <c r="AR186" s="63"/>
      <c r="AS186" s="63"/>
      <c r="AT186" s="63"/>
    </row>
    <row r="187" spans="1:46" x14ac:dyDescent="0.3">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3"/>
      <c r="AI187" s="63"/>
      <c r="AJ187" s="63"/>
      <c r="AK187" s="63"/>
      <c r="AL187" s="63"/>
      <c r="AM187" s="63"/>
      <c r="AN187" s="63"/>
      <c r="AO187" s="63"/>
      <c r="AP187" s="63"/>
      <c r="AQ187" s="63"/>
      <c r="AR187" s="63"/>
      <c r="AS187" s="63"/>
      <c r="AT187" s="63"/>
    </row>
    <row r="188" spans="1:46" x14ac:dyDescent="0.3">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3"/>
      <c r="AI188" s="63"/>
      <c r="AJ188" s="63"/>
      <c r="AK188" s="63"/>
      <c r="AL188" s="63"/>
      <c r="AM188" s="63"/>
      <c r="AN188" s="63"/>
      <c r="AO188" s="63"/>
      <c r="AP188" s="63"/>
      <c r="AQ188" s="63"/>
      <c r="AR188" s="63"/>
      <c r="AS188" s="63"/>
      <c r="AT188" s="63"/>
    </row>
    <row r="189" spans="1:46" x14ac:dyDescent="0.3">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3"/>
      <c r="AI189" s="63"/>
      <c r="AJ189" s="63"/>
      <c r="AK189" s="63"/>
      <c r="AL189" s="63"/>
      <c r="AM189" s="63"/>
      <c r="AN189" s="63"/>
      <c r="AO189" s="63"/>
      <c r="AP189" s="63"/>
      <c r="AQ189" s="63"/>
      <c r="AR189" s="63"/>
      <c r="AS189" s="63"/>
      <c r="AT189" s="63"/>
    </row>
    <row r="190" spans="1:46" x14ac:dyDescent="0.3">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3"/>
      <c r="AI190" s="63"/>
      <c r="AJ190" s="63"/>
      <c r="AK190" s="63"/>
      <c r="AL190" s="63"/>
      <c r="AM190" s="63"/>
      <c r="AN190" s="63"/>
      <c r="AO190" s="63"/>
      <c r="AP190" s="63"/>
      <c r="AQ190" s="63"/>
      <c r="AR190" s="63"/>
      <c r="AS190" s="63"/>
      <c r="AT190" s="63"/>
    </row>
    <row r="191" spans="1:46" x14ac:dyDescent="0.3">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3"/>
      <c r="AI191" s="63"/>
      <c r="AJ191" s="63"/>
      <c r="AK191" s="63"/>
      <c r="AL191" s="63"/>
      <c r="AM191" s="63"/>
      <c r="AN191" s="63"/>
      <c r="AO191" s="63"/>
      <c r="AP191" s="63"/>
      <c r="AQ191" s="63"/>
      <c r="AR191" s="63"/>
      <c r="AS191" s="63"/>
      <c r="AT191" s="63"/>
    </row>
    <row r="192" spans="1:46" x14ac:dyDescent="0.3">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3"/>
      <c r="AI192" s="63"/>
      <c r="AJ192" s="63"/>
      <c r="AK192" s="63"/>
      <c r="AL192" s="63"/>
      <c r="AM192" s="63"/>
      <c r="AN192" s="63"/>
      <c r="AO192" s="63"/>
      <c r="AP192" s="63"/>
      <c r="AQ192" s="63"/>
      <c r="AR192" s="63"/>
      <c r="AS192" s="63"/>
      <c r="AT192" s="63"/>
    </row>
    <row r="193" spans="1:46" x14ac:dyDescent="0.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3"/>
      <c r="AI193" s="63"/>
      <c r="AJ193" s="63"/>
      <c r="AK193" s="63"/>
      <c r="AL193" s="63"/>
      <c r="AM193" s="63"/>
      <c r="AN193" s="63"/>
      <c r="AO193" s="63"/>
      <c r="AP193" s="63"/>
      <c r="AQ193" s="63"/>
      <c r="AR193" s="63"/>
      <c r="AS193" s="63"/>
      <c r="AT193" s="63"/>
    </row>
    <row r="194" spans="1:46" x14ac:dyDescent="0.3">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3"/>
      <c r="AI194" s="63"/>
      <c r="AJ194" s="63"/>
      <c r="AK194" s="63"/>
      <c r="AL194" s="63"/>
      <c r="AM194" s="63"/>
      <c r="AN194" s="63"/>
      <c r="AO194" s="63"/>
      <c r="AP194" s="63"/>
      <c r="AQ194" s="63"/>
      <c r="AR194" s="63"/>
      <c r="AS194" s="63"/>
      <c r="AT194" s="63"/>
    </row>
    <row r="195" spans="1:46" x14ac:dyDescent="0.3">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3"/>
      <c r="AI195" s="63"/>
      <c r="AJ195" s="63"/>
      <c r="AK195" s="63"/>
      <c r="AL195" s="63"/>
      <c r="AM195" s="63"/>
      <c r="AN195" s="63"/>
      <c r="AO195" s="63"/>
      <c r="AP195" s="63"/>
      <c r="AQ195" s="63"/>
      <c r="AR195" s="63"/>
      <c r="AS195" s="63"/>
      <c r="AT195" s="63"/>
    </row>
    <row r="196" spans="1:46" x14ac:dyDescent="0.3">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3"/>
      <c r="AI196" s="63"/>
      <c r="AJ196" s="63"/>
      <c r="AK196" s="63"/>
      <c r="AL196" s="63"/>
      <c r="AM196" s="63"/>
      <c r="AN196" s="63"/>
      <c r="AO196" s="63"/>
      <c r="AP196" s="63"/>
      <c r="AQ196" s="63"/>
      <c r="AR196" s="63"/>
      <c r="AS196" s="63"/>
      <c r="AT196" s="63"/>
    </row>
    <row r="197" spans="1:46" x14ac:dyDescent="0.3">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3"/>
      <c r="AI197" s="63"/>
      <c r="AJ197" s="63"/>
      <c r="AK197" s="63"/>
      <c r="AL197" s="63"/>
      <c r="AM197" s="63"/>
      <c r="AN197" s="63"/>
      <c r="AO197" s="63"/>
      <c r="AP197" s="63"/>
      <c r="AQ197" s="63"/>
      <c r="AR197" s="63"/>
      <c r="AS197" s="63"/>
      <c r="AT197" s="63"/>
    </row>
    <row r="198" spans="1:46" x14ac:dyDescent="0.3">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3"/>
      <c r="AI198" s="63"/>
      <c r="AJ198" s="63"/>
      <c r="AK198" s="63"/>
      <c r="AL198" s="63"/>
      <c r="AM198" s="63"/>
      <c r="AN198" s="63"/>
      <c r="AO198" s="63"/>
      <c r="AP198" s="63"/>
      <c r="AQ198" s="63"/>
      <c r="AR198" s="63"/>
      <c r="AS198" s="63"/>
      <c r="AT198" s="63"/>
    </row>
    <row r="199" spans="1:46" x14ac:dyDescent="0.3">
      <c r="AD199" s="63"/>
      <c r="AE199" s="63"/>
      <c r="AF199" s="63"/>
      <c r="AG199" s="63"/>
      <c r="AH199" s="63"/>
      <c r="AI199" s="63"/>
      <c r="AJ199" s="63"/>
      <c r="AK199" s="63"/>
      <c r="AL199" s="63"/>
      <c r="AM199" s="63"/>
      <c r="AN199" s="63"/>
      <c r="AO199" s="63"/>
      <c r="AP199" s="63"/>
      <c r="AQ199" s="63"/>
      <c r="AR199" s="63"/>
      <c r="AS199" s="63"/>
      <c r="AT199" s="63"/>
    </row>
    <row r="200" spans="1:46" x14ac:dyDescent="0.3">
      <c r="AD200" s="63"/>
      <c r="AE200" s="63"/>
      <c r="AF200" s="63"/>
      <c r="AG200" s="63"/>
      <c r="AH200" s="63"/>
      <c r="AI200" s="63"/>
      <c r="AJ200" s="63"/>
      <c r="AK200" s="63"/>
      <c r="AL200" s="63"/>
      <c r="AM200" s="63"/>
      <c r="AN200" s="63"/>
      <c r="AO200" s="63"/>
      <c r="AP200" s="63"/>
      <c r="AQ200" s="63"/>
      <c r="AR200" s="63"/>
      <c r="AS200" s="63"/>
      <c r="AT200" s="63"/>
    </row>
    <row r="201" spans="1:46" x14ac:dyDescent="0.3">
      <c r="AD201" s="63"/>
      <c r="AE201" s="63"/>
      <c r="AF201" s="63"/>
      <c r="AG201" s="63"/>
      <c r="AH201" s="63"/>
      <c r="AI201" s="63"/>
      <c r="AJ201" s="63"/>
      <c r="AK201" s="63"/>
      <c r="AL201" s="63"/>
      <c r="AM201" s="63"/>
      <c r="AN201" s="63"/>
      <c r="AO201" s="63"/>
      <c r="AP201" s="63"/>
      <c r="AQ201" s="63"/>
      <c r="AR201" s="63"/>
      <c r="AS201" s="63"/>
      <c r="AT201" s="63"/>
    </row>
    <row r="202" spans="1:46" x14ac:dyDescent="0.3">
      <c r="AD202" s="63"/>
      <c r="AE202" s="63"/>
      <c r="AF202" s="63"/>
      <c r="AG202" s="63"/>
      <c r="AH202" s="63"/>
      <c r="AI202" s="63"/>
      <c r="AJ202" s="63"/>
      <c r="AK202" s="63"/>
      <c r="AL202" s="63"/>
      <c r="AM202" s="63"/>
      <c r="AN202" s="63"/>
      <c r="AO202" s="63"/>
      <c r="AP202" s="63"/>
      <c r="AQ202" s="63"/>
      <c r="AR202" s="63"/>
      <c r="AS202" s="63"/>
      <c r="AT202" s="63"/>
    </row>
    <row r="203" spans="1:46" x14ac:dyDescent="0.3">
      <c r="AD203" s="63"/>
      <c r="AE203" s="63"/>
      <c r="AF203" s="63"/>
      <c r="AG203" s="63"/>
      <c r="AH203" s="63"/>
      <c r="AI203" s="63"/>
      <c r="AJ203" s="63"/>
      <c r="AK203" s="63"/>
      <c r="AL203" s="63"/>
      <c r="AM203" s="63"/>
      <c r="AN203" s="63"/>
      <c r="AO203" s="63"/>
      <c r="AP203" s="63"/>
      <c r="AQ203" s="63"/>
      <c r="AR203" s="63"/>
      <c r="AS203" s="63"/>
      <c r="AT203" s="63"/>
    </row>
    <row r="204" spans="1:46" x14ac:dyDescent="0.3">
      <c r="AD204" s="63"/>
      <c r="AE204" s="63"/>
      <c r="AF204" s="63"/>
      <c r="AG204" s="63"/>
      <c r="AH204" s="63"/>
      <c r="AI204" s="63"/>
      <c r="AJ204" s="63"/>
      <c r="AK204" s="63"/>
      <c r="AL204" s="63"/>
      <c r="AM204" s="63"/>
      <c r="AN204" s="63"/>
      <c r="AO204" s="63"/>
      <c r="AP204" s="63"/>
      <c r="AQ204" s="63"/>
      <c r="AR204" s="63"/>
      <c r="AS204" s="63"/>
      <c r="AT204" s="63"/>
    </row>
    <row r="205" spans="1:46" x14ac:dyDescent="0.3">
      <c r="AD205" s="63"/>
      <c r="AE205" s="63"/>
      <c r="AF205" s="63"/>
      <c r="AG205" s="63"/>
      <c r="AH205" s="63"/>
      <c r="AI205" s="63"/>
      <c r="AJ205" s="63"/>
      <c r="AK205" s="63"/>
      <c r="AL205" s="63"/>
      <c r="AM205" s="63"/>
      <c r="AN205" s="63"/>
      <c r="AO205" s="63"/>
      <c r="AP205" s="63"/>
      <c r="AQ205" s="63"/>
      <c r="AR205" s="63"/>
      <c r="AS205" s="63"/>
      <c r="AT205" s="63"/>
    </row>
    <row r="206" spans="1:46" x14ac:dyDescent="0.3">
      <c r="AD206" s="63"/>
      <c r="AE206" s="63"/>
      <c r="AF206" s="63"/>
      <c r="AG206" s="63"/>
      <c r="AH206" s="63"/>
      <c r="AI206" s="63"/>
      <c r="AJ206" s="63"/>
      <c r="AK206" s="63"/>
      <c r="AL206" s="63"/>
      <c r="AM206" s="63"/>
      <c r="AN206" s="63"/>
      <c r="AO206" s="63"/>
      <c r="AP206" s="63"/>
      <c r="AQ206" s="63"/>
      <c r="AR206" s="63"/>
      <c r="AS206" s="63"/>
      <c r="AT206" s="63"/>
    </row>
    <row r="207" spans="1:46" x14ac:dyDescent="0.3">
      <c r="AD207" s="63"/>
      <c r="AE207" s="63"/>
      <c r="AF207" s="63"/>
      <c r="AG207" s="63"/>
      <c r="AH207" s="63"/>
      <c r="AI207" s="63"/>
      <c r="AJ207" s="63"/>
      <c r="AK207" s="63"/>
      <c r="AL207" s="63"/>
      <c r="AM207" s="63"/>
      <c r="AN207" s="63"/>
      <c r="AO207" s="63"/>
      <c r="AP207" s="63"/>
      <c r="AQ207" s="63"/>
      <c r="AR207" s="63"/>
      <c r="AS207" s="63"/>
      <c r="AT207" s="63"/>
    </row>
    <row r="208" spans="1:46" x14ac:dyDescent="0.3">
      <c r="AD208" s="63"/>
      <c r="AE208" s="63"/>
      <c r="AF208" s="63"/>
      <c r="AG208" s="63"/>
      <c r="AH208" s="63"/>
      <c r="AI208" s="63"/>
      <c r="AJ208" s="63"/>
      <c r="AK208" s="63"/>
      <c r="AL208" s="63"/>
      <c r="AM208" s="63"/>
      <c r="AN208" s="63"/>
      <c r="AO208" s="63"/>
      <c r="AP208" s="63"/>
      <c r="AQ208" s="63"/>
      <c r="AR208" s="63"/>
      <c r="AS208" s="63"/>
      <c r="AT208" s="63"/>
    </row>
    <row r="209" spans="30:46" x14ac:dyDescent="0.3">
      <c r="AD209" s="63"/>
      <c r="AE209" s="63"/>
      <c r="AF209" s="63"/>
      <c r="AG209" s="63"/>
      <c r="AH209" s="63"/>
      <c r="AI209" s="63"/>
      <c r="AJ209" s="63"/>
      <c r="AK209" s="63"/>
      <c r="AL209" s="63"/>
      <c r="AM209" s="63"/>
      <c r="AN209" s="63"/>
      <c r="AO209" s="63"/>
      <c r="AP209" s="63"/>
      <c r="AQ209" s="63"/>
      <c r="AR209" s="63"/>
      <c r="AS209" s="63"/>
      <c r="AT209" s="63"/>
    </row>
    <row r="210" spans="30:46" x14ac:dyDescent="0.3">
      <c r="AD210" s="63"/>
      <c r="AE210" s="63"/>
      <c r="AF210" s="63"/>
      <c r="AG210" s="63"/>
      <c r="AH210" s="63"/>
      <c r="AI210" s="63"/>
      <c r="AJ210" s="63"/>
      <c r="AK210" s="63"/>
      <c r="AL210" s="63"/>
      <c r="AM210" s="63"/>
      <c r="AN210" s="63"/>
      <c r="AO210" s="63"/>
      <c r="AP210" s="63"/>
      <c r="AQ210" s="63"/>
      <c r="AR210" s="63"/>
      <c r="AS210" s="63"/>
      <c r="AT210" s="63"/>
    </row>
    <row r="211" spans="30:46" x14ac:dyDescent="0.3">
      <c r="AD211" s="63"/>
      <c r="AE211" s="63"/>
      <c r="AF211" s="63"/>
      <c r="AG211" s="63"/>
      <c r="AH211" s="63"/>
      <c r="AI211" s="63"/>
      <c r="AJ211" s="63"/>
      <c r="AK211" s="63"/>
      <c r="AL211" s="63"/>
      <c r="AM211" s="63"/>
      <c r="AN211" s="63"/>
      <c r="AO211" s="63"/>
      <c r="AP211" s="63"/>
      <c r="AQ211" s="63"/>
      <c r="AR211" s="63"/>
      <c r="AS211" s="63"/>
      <c r="AT211" s="63"/>
    </row>
    <row r="212" spans="30:46" x14ac:dyDescent="0.3">
      <c r="AD212" s="63"/>
      <c r="AE212" s="63"/>
      <c r="AF212" s="63"/>
      <c r="AG212" s="63"/>
      <c r="AH212" s="63"/>
      <c r="AI212" s="63"/>
      <c r="AJ212" s="63"/>
      <c r="AK212" s="63"/>
      <c r="AL212" s="63"/>
      <c r="AM212" s="63"/>
      <c r="AN212" s="63"/>
      <c r="AO212" s="63"/>
      <c r="AP212" s="63"/>
      <c r="AQ212" s="63"/>
      <c r="AR212" s="63"/>
      <c r="AS212" s="63"/>
      <c r="AT212" s="63"/>
    </row>
    <row r="213" spans="30:46" x14ac:dyDescent="0.3">
      <c r="AD213" s="63"/>
      <c r="AE213" s="63"/>
      <c r="AF213" s="63"/>
      <c r="AG213" s="63"/>
      <c r="AH213" s="63"/>
      <c r="AI213" s="63"/>
      <c r="AJ213" s="63"/>
      <c r="AK213" s="63"/>
      <c r="AL213" s="63"/>
      <c r="AM213" s="63"/>
      <c r="AN213" s="63"/>
      <c r="AO213" s="63"/>
      <c r="AP213" s="63"/>
      <c r="AQ213" s="63"/>
      <c r="AR213" s="63"/>
      <c r="AS213" s="63"/>
      <c r="AT213" s="63"/>
    </row>
    <row r="214" spans="30:46" x14ac:dyDescent="0.3">
      <c r="AD214" s="63"/>
      <c r="AE214" s="63"/>
      <c r="AF214" s="63"/>
      <c r="AG214" s="63"/>
      <c r="AH214" s="63"/>
      <c r="AI214" s="63"/>
      <c r="AJ214" s="63"/>
      <c r="AK214" s="63"/>
      <c r="AL214" s="63"/>
      <c r="AM214" s="63"/>
      <c r="AN214" s="63"/>
      <c r="AO214" s="63"/>
      <c r="AP214" s="63"/>
      <c r="AQ214" s="63"/>
      <c r="AR214" s="63"/>
      <c r="AS214" s="63"/>
      <c r="AT214" s="63"/>
    </row>
    <row r="215" spans="30:46" x14ac:dyDescent="0.3">
      <c r="AD215" s="63"/>
      <c r="AE215" s="63"/>
      <c r="AF215" s="63"/>
      <c r="AG215" s="63"/>
      <c r="AH215" s="63"/>
      <c r="AI215" s="63"/>
      <c r="AJ215" s="63"/>
      <c r="AK215" s="63"/>
      <c r="AL215" s="63"/>
      <c r="AM215" s="63"/>
      <c r="AN215" s="63"/>
      <c r="AO215" s="63"/>
      <c r="AP215" s="63"/>
      <c r="AQ215" s="63"/>
      <c r="AR215" s="63"/>
      <c r="AS215" s="63"/>
      <c r="AT215" s="63"/>
    </row>
    <row r="216" spans="30:46" x14ac:dyDescent="0.3">
      <c r="AD216" s="63"/>
      <c r="AE216" s="63"/>
      <c r="AF216" s="63"/>
      <c r="AG216" s="63"/>
      <c r="AH216" s="63"/>
      <c r="AI216" s="63"/>
      <c r="AJ216" s="63"/>
      <c r="AK216" s="63"/>
      <c r="AL216" s="63"/>
      <c r="AM216" s="63"/>
      <c r="AN216" s="63"/>
      <c r="AO216" s="63"/>
      <c r="AP216" s="63"/>
      <c r="AQ216" s="63"/>
      <c r="AR216" s="63"/>
      <c r="AS216" s="63"/>
      <c r="AT216" s="63"/>
    </row>
    <row r="217" spans="30:46" x14ac:dyDescent="0.3">
      <c r="AD217" s="63"/>
      <c r="AE217" s="63"/>
      <c r="AF217" s="63"/>
      <c r="AG217" s="63"/>
      <c r="AH217" s="63"/>
      <c r="AI217" s="63"/>
      <c r="AJ217" s="63"/>
      <c r="AK217" s="63"/>
      <c r="AL217" s="63"/>
      <c r="AM217" s="63"/>
      <c r="AN217" s="63"/>
      <c r="AO217" s="63"/>
      <c r="AP217" s="63"/>
      <c r="AQ217" s="63"/>
      <c r="AR217" s="63"/>
      <c r="AS217" s="63"/>
      <c r="AT217" s="63"/>
    </row>
    <row r="218" spans="30:46" x14ac:dyDescent="0.3">
      <c r="AD218" s="63"/>
      <c r="AE218" s="63"/>
      <c r="AF218" s="63"/>
      <c r="AG218" s="63"/>
      <c r="AH218" s="63"/>
      <c r="AI218" s="63"/>
      <c r="AJ218" s="63"/>
      <c r="AK218" s="63"/>
      <c r="AL218" s="63"/>
      <c r="AM218" s="63"/>
      <c r="AN218" s="63"/>
      <c r="AO218" s="63"/>
      <c r="AP218" s="63"/>
      <c r="AQ218" s="63"/>
      <c r="AR218" s="63"/>
      <c r="AS218" s="63"/>
      <c r="AT218" s="63"/>
    </row>
    <row r="219" spans="30:46" x14ac:dyDescent="0.3">
      <c r="AD219" s="63"/>
      <c r="AE219" s="63"/>
      <c r="AF219" s="63"/>
      <c r="AG219" s="63"/>
      <c r="AH219" s="63"/>
      <c r="AI219" s="63"/>
      <c r="AJ219" s="63"/>
      <c r="AK219" s="63"/>
      <c r="AL219" s="63"/>
      <c r="AM219" s="63"/>
      <c r="AN219" s="63"/>
      <c r="AO219" s="63"/>
      <c r="AP219" s="63"/>
      <c r="AQ219" s="63"/>
      <c r="AR219" s="63"/>
      <c r="AS219" s="63"/>
      <c r="AT219" s="63"/>
    </row>
    <row r="220" spans="30:46" x14ac:dyDescent="0.3">
      <c r="AD220" s="63"/>
      <c r="AE220" s="63"/>
      <c r="AF220" s="63"/>
      <c r="AG220" s="63"/>
      <c r="AH220" s="63"/>
      <c r="AI220" s="63"/>
      <c r="AJ220" s="63"/>
      <c r="AK220" s="63"/>
      <c r="AL220" s="63"/>
      <c r="AM220" s="63"/>
      <c r="AN220" s="63"/>
      <c r="AO220" s="63"/>
      <c r="AP220" s="63"/>
      <c r="AQ220" s="63"/>
      <c r="AR220" s="63"/>
      <c r="AS220" s="63"/>
      <c r="AT220" s="63"/>
    </row>
    <row r="221" spans="30:46" x14ac:dyDescent="0.3">
      <c r="AD221" s="63"/>
      <c r="AE221" s="63"/>
      <c r="AF221" s="63"/>
      <c r="AG221" s="63"/>
      <c r="AH221" s="63"/>
      <c r="AI221" s="63"/>
      <c r="AJ221" s="63"/>
      <c r="AK221" s="63"/>
      <c r="AL221" s="63"/>
      <c r="AM221" s="63"/>
      <c r="AN221" s="63"/>
      <c r="AO221" s="63"/>
      <c r="AP221" s="63"/>
      <c r="AQ221" s="63"/>
      <c r="AR221" s="63"/>
      <c r="AS221" s="63"/>
      <c r="AT221" s="63"/>
    </row>
    <row r="222" spans="30:46" x14ac:dyDescent="0.3">
      <c r="AD222" s="63"/>
      <c r="AE222" s="63"/>
      <c r="AF222" s="63"/>
      <c r="AG222" s="63"/>
      <c r="AH222" s="63"/>
      <c r="AI222" s="63"/>
      <c r="AJ222" s="63"/>
      <c r="AK222" s="63"/>
      <c r="AL222" s="63"/>
      <c r="AM222" s="63"/>
      <c r="AN222" s="63"/>
      <c r="AO222" s="63"/>
      <c r="AP222" s="63"/>
      <c r="AQ222" s="63"/>
      <c r="AR222" s="63"/>
      <c r="AS222" s="63"/>
      <c r="AT222" s="63"/>
    </row>
    <row r="223" spans="30:46" x14ac:dyDescent="0.3">
      <c r="AD223" s="63"/>
      <c r="AE223" s="63"/>
      <c r="AF223" s="63"/>
      <c r="AG223" s="63"/>
      <c r="AH223" s="63"/>
      <c r="AI223" s="63"/>
      <c r="AJ223" s="63"/>
      <c r="AK223" s="63"/>
      <c r="AL223" s="63"/>
      <c r="AM223" s="63"/>
      <c r="AN223" s="63"/>
      <c r="AO223" s="63"/>
      <c r="AP223" s="63"/>
      <c r="AQ223" s="63"/>
      <c r="AR223" s="63"/>
      <c r="AS223" s="63"/>
      <c r="AT223" s="63"/>
    </row>
    <row r="224" spans="30:46" x14ac:dyDescent="0.3">
      <c r="AD224" s="63"/>
      <c r="AE224" s="63"/>
      <c r="AF224" s="63"/>
      <c r="AG224" s="63"/>
      <c r="AH224" s="63"/>
      <c r="AI224" s="63"/>
      <c r="AJ224" s="63"/>
      <c r="AK224" s="63"/>
      <c r="AL224" s="63"/>
      <c r="AM224" s="63"/>
      <c r="AN224" s="63"/>
      <c r="AO224" s="63"/>
      <c r="AP224" s="63"/>
      <c r="AQ224" s="63"/>
      <c r="AR224" s="63"/>
      <c r="AS224" s="63"/>
      <c r="AT224" s="63"/>
    </row>
    <row r="225" spans="30:46" x14ac:dyDescent="0.3">
      <c r="AD225" s="63"/>
      <c r="AE225" s="63"/>
      <c r="AF225" s="63"/>
      <c r="AG225" s="63"/>
      <c r="AH225" s="63"/>
      <c r="AI225" s="63"/>
      <c r="AJ225" s="63"/>
      <c r="AK225" s="63"/>
      <c r="AL225" s="63"/>
      <c r="AM225" s="63"/>
      <c r="AN225" s="63"/>
      <c r="AO225" s="63"/>
      <c r="AP225" s="63"/>
      <c r="AQ225" s="63"/>
      <c r="AR225" s="63"/>
      <c r="AS225" s="63"/>
      <c r="AT225" s="63"/>
    </row>
    <row r="226" spans="30:46" x14ac:dyDescent="0.3">
      <c r="AD226" s="63"/>
      <c r="AE226" s="63"/>
      <c r="AF226" s="63"/>
      <c r="AG226" s="63"/>
      <c r="AH226" s="63"/>
      <c r="AI226" s="63"/>
      <c r="AJ226" s="63"/>
      <c r="AK226" s="63"/>
      <c r="AL226" s="63"/>
      <c r="AM226" s="63"/>
      <c r="AN226" s="63"/>
      <c r="AO226" s="63"/>
      <c r="AP226" s="63"/>
      <c r="AQ226" s="63"/>
      <c r="AR226" s="63"/>
      <c r="AS226" s="63"/>
      <c r="AT226" s="63"/>
    </row>
    <row r="227" spans="30:46" x14ac:dyDescent="0.3">
      <c r="AD227" s="63"/>
      <c r="AE227" s="63"/>
      <c r="AF227" s="63"/>
      <c r="AG227" s="63"/>
      <c r="AH227" s="63"/>
      <c r="AI227" s="63"/>
      <c r="AJ227" s="63"/>
      <c r="AK227" s="63"/>
      <c r="AL227" s="63"/>
      <c r="AM227" s="63"/>
      <c r="AN227" s="63"/>
      <c r="AO227" s="63"/>
      <c r="AP227" s="63"/>
      <c r="AQ227" s="63"/>
      <c r="AR227" s="63"/>
      <c r="AS227" s="63"/>
      <c r="AT227" s="63"/>
    </row>
    <row r="228" spans="30:46" x14ac:dyDescent="0.3">
      <c r="AD228" s="63"/>
      <c r="AE228" s="63"/>
      <c r="AF228" s="63"/>
      <c r="AG228" s="63"/>
      <c r="AH228" s="63"/>
      <c r="AI228" s="63"/>
      <c r="AJ228" s="63"/>
      <c r="AK228" s="63"/>
      <c r="AL228" s="63"/>
      <c r="AM228" s="63"/>
      <c r="AN228" s="63"/>
      <c r="AO228" s="63"/>
      <c r="AP228" s="63"/>
      <c r="AQ228" s="63"/>
      <c r="AR228" s="63"/>
      <c r="AS228" s="63"/>
      <c r="AT228" s="63"/>
    </row>
    <row r="229" spans="30:46" x14ac:dyDescent="0.3">
      <c r="AD229" s="63"/>
      <c r="AE229" s="63"/>
      <c r="AF229" s="63"/>
      <c r="AG229" s="63"/>
      <c r="AH229" s="63"/>
      <c r="AI229" s="63"/>
      <c r="AJ229" s="63"/>
      <c r="AK229" s="63"/>
      <c r="AL229" s="63"/>
      <c r="AM229" s="63"/>
      <c r="AN229" s="63"/>
      <c r="AO229" s="63"/>
      <c r="AP229" s="63"/>
      <c r="AQ229" s="63"/>
      <c r="AR229" s="63"/>
      <c r="AS229" s="63"/>
      <c r="AT229" s="63"/>
    </row>
    <row r="230" spans="30:46" x14ac:dyDescent="0.3">
      <c r="AD230" s="63"/>
      <c r="AE230" s="63"/>
      <c r="AF230" s="63"/>
      <c r="AG230" s="63"/>
      <c r="AH230" s="63"/>
      <c r="AI230" s="63"/>
      <c r="AJ230" s="63"/>
      <c r="AK230" s="63"/>
      <c r="AL230" s="63"/>
      <c r="AM230" s="63"/>
      <c r="AN230" s="63"/>
      <c r="AO230" s="63"/>
      <c r="AP230" s="63"/>
      <c r="AQ230" s="63"/>
      <c r="AR230" s="63"/>
      <c r="AS230" s="63"/>
      <c r="AT230" s="63"/>
    </row>
    <row r="231" spans="30:46" x14ac:dyDescent="0.3">
      <c r="AD231" s="63"/>
      <c r="AE231" s="63"/>
      <c r="AF231" s="63"/>
      <c r="AG231" s="63"/>
      <c r="AH231" s="63"/>
      <c r="AI231" s="63"/>
      <c r="AJ231" s="63"/>
      <c r="AK231" s="63"/>
      <c r="AL231" s="63"/>
      <c r="AM231" s="63"/>
      <c r="AN231" s="63"/>
      <c r="AO231" s="63"/>
      <c r="AP231" s="63"/>
      <c r="AQ231" s="63"/>
      <c r="AR231" s="63"/>
      <c r="AS231" s="63"/>
      <c r="AT231" s="63"/>
    </row>
    <row r="232" spans="30:46" x14ac:dyDescent="0.3">
      <c r="AD232" s="63"/>
      <c r="AE232" s="63"/>
      <c r="AF232" s="63"/>
      <c r="AG232" s="63"/>
      <c r="AH232" s="63"/>
      <c r="AI232" s="63"/>
      <c r="AJ232" s="63"/>
      <c r="AK232" s="63"/>
      <c r="AL232" s="63"/>
      <c r="AM232" s="63"/>
      <c r="AN232" s="63"/>
      <c r="AO232" s="63"/>
      <c r="AP232" s="63"/>
      <c r="AQ232" s="63"/>
      <c r="AR232" s="63"/>
      <c r="AS232" s="63"/>
      <c r="AT232" s="63"/>
    </row>
    <row r="233" spans="30:46" x14ac:dyDescent="0.3">
      <c r="AD233" s="63"/>
      <c r="AE233" s="63"/>
      <c r="AF233" s="63"/>
      <c r="AG233" s="63"/>
      <c r="AH233" s="63"/>
      <c r="AI233" s="63"/>
      <c r="AJ233" s="63"/>
      <c r="AK233" s="63"/>
      <c r="AL233" s="63"/>
      <c r="AM233" s="63"/>
      <c r="AN233" s="63"/>
      <c r="AO233" s="63"/>
      <c r="AP233" s="63"/>
      <c r="AQ233" s="63"/>
      <c r="AR233" s="63"/>
      <c r="AS233" s="63"/>
      <c r="AT233" s="63"/>
    </row>
    <row r="234" spans="30:46" x14ac:dyDescent="0.3">
      <c r="AD234" s="63"/>
      <c r="AE234" s="63"/>
      <c r="AF234" s="63"/>
      <c r="AG234" s="63"/>
      <c r="AH234" s="63"/>
      <c r="AI234" s="63"/>
      <c r="AJ234" s="63"/>
      <c r="AK234" s="63"/>
      <c r="AL234" s="63"/>
      <c r="AM234" s="63"/>
      <c r="AN234" s="63"/>
      <c r="AO234" s="63"/>
      <c r="AP234" s="63"/>
      <c r="AQ234" s="63"/>
      <c r="AR234" s="63"/>
      <c r="AS234" s="63"/>
      <c r="AT234" s="63"/>
    </row>
    <row r="235" spans="30:46" x14ac:dyDescent="0.3">
      <c r="AD235" s="63"/>
      <c r="AE235" s="63"/>
      <c r="AF235" s="63"/>
      <c r="AG235" s="63"/>
      <c r="AH235" s="63"/>
      <c r="AI235" s="63"/>
      <c r="AJ235" s="63"/>
      <c r="AK235" s="63"/>
      <c r="AL235" s="63"/>
      <c r="AM235" s="63"/>
      <c r="AN235" s="63"/>
      <c r="AO235" s="63"/>
      <c r="AP235" s="63"/>
      <c r="AQ235" s="63"/>
      <c r="AR235" s="63"/>
      <c r="AS235" s="63"/>
      <c r="AT235" s="63"/>
    </row>
    <row r="236" spans="30:46" x14ac:dyDescent="0.3">
      <c r="AD236" s="63"/>
      <c r="AE236" s="63"/>
      <c r="AF236" s="63"/>
      <c r="AG236" s="63"/>
      <c r="AH236" s="63"/>
      <c r="AI236" s="63"/>
      <c r="AJ236" s="63"/>
      <c r="AK236" s="63"/>
      <c r="AL236" s="63"/>
      <c r="AM236" s="63"/>
      <c r="AN236" s="63"/>
      <c r="AO236" s="63"/>
      <c r="AP236" s="63"/>
      <c r="AQ236" s="63"/>
      <c r="AR236" s="63"/>
      <c r="AS236" s="63"/>
      <c r="AT236" s="63"/>
    </row>
    <row r="237" spans="30:46" x14ac:dyDescent="0.3">
      <c r="AD237" s="63"/>
      <c r="AE237" s="63"/>
      <c r="AF237" s="63"/>
      <c r="AG237" s="63"/>
      <c r="AH237" s="63"/>
      <c r="AI237" s="63"/>
      <c r="AJ237" s="63"/>
      <c r="AK237" s="63"/>
      <c r="AL237" s="63"/>
      <c r="AM237" s="63"/>
      <c r="AN237" s="63"/>
      <c r="AO237" s="63"/>
      <c r="AP237" s="63"/>
      <c r="AQ237" s="63"/>
      <c r="AR237" s="63"/>
      <c r="AS237" s="63"/>
      <c r="AT237" s="63"/>
    </row>
    <row r="238" spans="30:46" x14ac:dyDescent="0.3">
      <c r="AD238" s="63"/>
      <c r="AE238" s="63"/>
      <c r="AF238" s="63"/>
      <c r="AG238" s="63"/>
      <c r="AH238" s="63"/>
      <c r="AI238" s="63"/>
      <c r="AJ238" s="63"/>
      <c r="AK238" s="63"/>
      <c r="AL238" s="63"/>
      <c r="AM238" s="63"/>
      <c r="AN238" s="63"/>
      <c r="AO238" s="63"/>
      <c r="AP238" s="63"/>
      <c r="AQ238" s="63"/>
      <c r="AR238" s="63"/>
      <c r="AS238" s="63"/>
      <c r="AT238" s="63"/>
    </row>
    <row r="239" spans="30:46" x14ac:dyDescent="0.3">
      <c r="AD239" s="63"/>
      <c r="AE239" s="63"/>
      <c r="AF239" s="63"/>
      <c r="AG239" s="63"/>
      <c r="AH239" s="63"/>
      <c r="AI239" s="63"/>
      <c r="AJ239" s="63"/>
      <c r="AK239" s="63"/>
      <c r="AL239" s="63"/>
      <c r="AM239" s="63"/>
      <c r="AN239" s="63"/>
      <c r="AO239" s="63"/>
      <c r="AP239" s="63"/>
      <c r="AQ239" s="63"/>
      <c r="AR239" s="63"/>
      <c r="AS239" s="63"/>
      <c r="AT239" s="63"/>
    </row>
    <row r="240" spans="30:46" x14ac:dyDescent="0.3">
      <c r="AD240" s="63"/>
      <c r="AE240" s="63"/>
      <c r="AF240" s="63"/>
      <c r="AG240" s="63"/>
      <c r="AH240" s="63"/>
      <c r="AI240" s="63"/>
      <c r="AJ240" s="63"/>
      <c r="AK240" s="63"/>
      <c r="AL240" s="63"/>
      <c r="AM240" s="63"/>
      <c r="AN240" s="63"/>
      <c r="AO240" s="63"/>
      <c r="AP240" s="63"/>
      <c r="AQ240" s="63"/>
      <c r="AR240" s="63"/>
      <c r="AS240" s="63"/>
      <c r="AT240" s="63"/>
    </row>
    <row r="241" spans="30:46" x14ac:dyDescent="0.3">
      <c r="AD241" s="63"/>
      <c r="AE241" s="63"/>
      <c r="AF241" s="63"/>
      <c r="AG241" s="63"/>
      <c r="AH241" s="63"/>
      <c r="AI241" s="63"/>
      <c r="AJ241" s="63"/>
      <c r="AK241" s="63"/>
      <c r="AL241" s="63"/>
      <c r="AM241" s="63"/>
      <c r="AN241" s="63"/>
      <c r="AO241" s="63"/>
      <c r="AP241" s="63"/>
      <c r="AQ241" s="63"/>
      <c r="AR241" s="63"/>
      <c r="AS241" s="63"/>
      <c r="AT241" s="63"/>
    </row>
    <row r="242" spans="30:46" x14ac:dyDescent="0.3">
      <c r="AD242" s="63"/>
      <c r="AE242" s="63"/>
      <c r="AF242" s="63"/>
      <c r="AG242" s="63"/>
      <c r="AH242" s="63"/>
      <c r="AI242" s="63"/>
      <c r="AJ242" s="63"/>
      <c r="AK242" s="63"/>
      <c r="AL242" s="63"/>
      <c r="AM242" s="63"/>
      <c r="AN242" s="63"/>
      <c r="AO242" s="63"/>
      <c r="AP242" s="63"/>
      <c r="AQ242" s="63"/>
      <c r="AR242" s="63"/>
      <c r="AS242" s="63"/>
      <c r="AT242" s="63"/>
    </row>
    <row r="243" spans="30:46" x14ac:dyDescent="0.3">
      <c r="AD243" s="63"/>
      <c r="AE243" s="63"/>
      <c r="AF243" s="63"/>
      <c r="AG243" s="63"/>
      <c r="AH243" s="63"/>
      <c r="AI243" s="63"/>
      <c r="AJ243" s="63"/>
      <c r="AK243" s="63"/>
      <c r="AL243" s="63"/>
      <c r="AM243" s="63"/>
      <c r="AN243" s="63"/>
      <c r="AO243" s="63"/>
      <c r="AP243" s="63"/>
      <c r="AQ243" s="63"/>
      <c r="AR243" s="63"/>
      <c r="AS243" s="63"/>
      <c r="AT243" s="63"/>
    </row>
    <row r="244" spans="30:46" x14ac:dyDescent="0.3">
      <c r="AD244" s="63"/>
      <c r="AE244" s="63"/>
      <c r="AF244" s="63"/>
      <c r="AG244" s="63"/>
      <c r="AH244" s="63"/>
      <c r="AI244" s="63"/>
      <c r="AJ244" s="63"/>
      <c r="AK244" s="63"/>
      <c r="AL244" s="63"/>
      <c r="AM244" s="63"/>
      <c r="AN244" s="63"/>
      <c r="AO244" s="63"/>
      <c r="AP244" s="63"/>
      <c r="AQ244" s="63"/>
      <c r="AR244" s="63"/>
      <c r="AS244" s="63"/>
      <c r="AT244" s="63"/>
    </row>
    <row r="245" spans="30:46" x14ac:dyDescent="0.3">
      <c r="AD245" s="63"/>
      <c r="AE245" s="63"/>
      <c r="AF245" s="63"/>
      <c r="AG245" s="63"/>
      <c r="AH245" s="63"/>
      <c r="AI245" s="63"/>
      <c r="AJ245" s="63"/>
      <c r="AK245" s="63"/>
      <c r="AL245" s="63"/>
      <c r="AM245" s="63"/>
      <c r="AN245" s="63"/>
      <c r="AO245" s="63"/>
      <c r="AP245" s="63"/>
      <c r="AQ245" s="63"/>
      <c r="AR245" s="63"/>
      <c r="AS245" s="63"/>
      <c r="AT245" s="63"/>
    </row>
    <row r="246" spans="30:46" x14ac:dyDescent="0.3">
      <c r="AD246" s="63"/>
      <c r="AE246" s="63"/>
      <c r="AF246" s="63"/>
      <c r="AG246" s="63"/>
      <c r="AH246" s="63"/>
      <c r="AI246" s="63"/>
      <c r="AJ246" s="63"/>
      <c r="AK246" s="63"/>
      <c r="AL246" s="63"/>
      <c r="AM246" s="63"/>
      <c r="AN246" s="63"/>
      <c r="AO246" s="63"/>
      <c r="AP246" s="63"/>
      <c r="AQ246" s="63"/>
      <c r="AR246" s="63"/>
      <c r="AS246" s="63"/>
      <c r="AT246" s="63"/>
    </row>
    <row r="247" spans="30:46" x14ac:dyDescent="0.3">
      <c r="AD247" s="63"/>
      <c r="AE247" s="63"/>
      <c r="AF247" s="63"/>
      <c r="AG247" s="63"/>
      <c r="AH247" s="63"/>
      <c r="AI247" s="63"/>
      <c r="AJ247" s="63"/>
      <c r="AK247" s="63"/>
      <c r="AL247" s="63"/>
      <c r="AM247" s="63"/>
      <c r="AN247" s="63"/>
      <c r="AO247" s="63"/>
      <c r="AP247" s="63"/>
      <c r="AQ247" s="63"/>
      <c r="AR247" s="63"/>
      <c r="AS247" s="63"/>
      <c r="AT247" s="63"/>
    </row>
    <row r="248" spans="30:46" x14ac:dyDescent="0.3">
      <c r="AD248" s="63"/>
      <c r="AE248" s="63"/>
      <c r="AF248" s="63"/>
      <c r="AG248" s="63"/>
      <c r="AH248" s="63"/>
      <c r="AI248" s="63"/>
      <c r="AJ248" s="63"/>
      <c r="AK248" s="63"/>
      <c r="AL248" s="63"/>
      <c r="AM248" s="63"/>
      <c r="AN248" s="63"/>
      <c r="AO248" s="63"/>
      <c r="AP248" s="63"/>
      <c r="AQ248" s="63"/>
      <c r="AR248" s="63"/>
      <c r="AS248" s="63"/>
      <c r="AT248" s="63"/>
    </row>
    <row r="249" spans="30:46" x14ac:dyDescent="0.3">
      <c r="AD249" s="63"/>
      <c r="AE249" s="63"/>
      <c r="AF249" s="63"/>
      <c r="AG249" s="63"/>
      <c r="AH249" s="63"/>
      <c r="AI249" s="63"/>
      <c r="AJ249" s="63"/>
      <c r="AK249" s="63"/>
      <c r="AL249" s="63"/>
      <c r="AM249" s="63"/>
      <c r="AN249" s="63"/>
      <c r="AO249" s="63"/>
      <c r="AP249" s="63"/>
      <c r="AQ249" s="63"/>
      <c r="AR249" s="63"/>
      <c r="AS249" s="63"/>
      <c r="AT249" s="63"/>
    </row>
    <row r="250" spans="30:46" x14ac:dyDescent="0.3">
      <c r="AD250" s="63"/>
      <c r="AE250" s="63"/>
      <c r="AF250" s="63"/>
      <c r="AG250" s="63"/>
      <c r="AH250" s="63"/>
      <c r="AI250" s="63"/>
      <c r="AJ250" s="63"/>
      <c r="AK250" s="63"/>
      <c r="AL250" s="63"/>
      <c r="AM250" s="63"/>
      <c r="AN250" s="63"/>
      <c r="AO250" s="63"/>
      <c r="AP250" s="63"/>
      <c r="AQ250" s="63"/>
      <c r="AR250" s="63"/>
      <c r="AS250" s="63"/>
      <c r="AT250" s="63"/>
    </row>
    <row r="251" spans="30:46" x14ac:dyDescent="0.3">
      <c r="AD251" s="63"/>
      <c r="AE251" s="63"/>
      <c r="AF251" s="63"/>
      <c r="AG251" s="63"/>
      <c r="AH251" s="63"/>
      <c r="AI251" s="63"/>
      <c r="AJ251" s="63"/>
      <c r="AK251" s="63"/>
      <c r="AL251" s="63"/>
      <c r="AM251" s="63"/>
      <c r="AN251" s="63"/>
      <c r="AO251" s="63"/>
      <c r="AP251" s="63"/>
      <c r="AQ251" s="63"/>
      <c r="AR251" s="63"/>
      <c r="AS251" s="63"/>
      <c r="AT251" s="63"/>
    </row>
    <row r="252" spans="30:46" x14ac:dyDescent="0.3">
      <c r="AD252" s="63"/>
      <c r="AE252" s="63"/>
      <c r="AF252" s="63"/>
      <c r="AG252" s="63"/>
      <c r="AH252" s="63"/>
      <c r="AI252" s="63"/>
      <c r="AJ252" s="63"/>
      <c r="AK252" s="63"/>
      <c r="AL252" s="63"/>
      <c r="AM252" s="63"/>
      <c r="AN252" s="63"/>
      <c r="AO252" s="63"/>
      <c r="AP252" s="63"/>
      <c r="AQ252" s="63"/>
      <c r="AR252" s="63"/>
      <c r="AS252" s="63"/>
      <c r="AT252" s="63"/>
    </row>
    <row r="253" spans="30:46" x14ac:dyDescent="0.3">
      <c r="AD253" s="63"/>
      <c r="AE253" s="63"/>
      <c r="AF253" s="63"/>
      <c r="AG253" s="63"/>
      <c r="AH253" s="63"/>
      <c r="AI253" s="63"/>
      <c r="AJ253" s="63"/>
      <c r="AK253" s="63"/>
      <c r="AL253" s="63"/>
      <c r="AM253" s="63"/>
      <c r="AN253" s="63"/>
      <c r="AO253" s="63"/>
      <c r="AP253" s="63"/>
      <c r="AQ253" s="63"/>
      <c r="AR253" s="63"/>
      <c r="AS253" s="63"/>
      <c r="AT253" s="63"/>
    </row>
    <row r="254" spans="30:46" x14ac:dyDescent="0.3">
      <c r="AD254" s="63"/>
      <c r="AE254" s="63"/>
      <c r="AF254" s="63"/>
      <c r="AG254" s="63"/>
      <c r="AH254" s="63"/>
      <c r="AI254" s="63"/>
      <c r="AJ254" s="63"/>
      <c r="AK254" s="63"/>
      <c r="AL254" s="63"/>
      <c r="AM254" s="63"/>
      <c r="AN254" s="63"/>
      <c r="AO254" s="63"/>
      <c r="AP254" s="63"/>
      <c r="AQ254" s="63"/>
      <c r="AR254" s="63"/>
      <c r="AS254" s="63"/>
      <c r="AT254" s="63"/>
    </row>
    <row r="255" spans="30:46" x14ac:dyDescent="0.3">
      <c r="AD255" s="63"/>
      <c r="AE255" s="63"/>
      <c r="AF255" s="63"/>
      <c r="AG255" s="63"/>
      <c r="AH255" s="63"/>
      <c r="AI255" s="63"/>
      <c r="AJ255" s="63"/>
      <c r="AK255" s="63"/>
      <c r="AL255" s="63"/>
      <c r="AM255" s="63"/>
      <c r="AN255" s="63"/>
      <c r="AO255" s="63"/>
      <c r="AP255" s="63"/>
      <c r="AQ255" s="63"/>
      <c r="AR255" s="63"/>
      <c r="AS255" s="63"/>
      <c r="AT255" s="63"/>
    </row>
    <row r="256" spans="30:46" x14ac:dyDescent="0.3">
      <c r="AD256" s="63"/>
      <c r="AE256" s="63"/>
      <c r="AF256" s="63"/>
      <c r="AG256" s="63"/>
      <c r="AH256" s="63"/>
      <c r="AI256" s="63"/>
      <c r="AJ256" s="63"/>
      <c r="AK256" s="63"/>
      <c r="AL256" s="63"/>
      <c r="AM256" s="63"/>
      <c r="AN256" s="63"/>
      <c r="AO256" s="63"/>
      <c r="AP256" s="63"/>
      <c r="AQ256" s="63"/>
      <c r="AR256" s="63"/>
      <c r="AS256" s="63"/>
      <c r="AT256" s="63"/>
    </row>
    <row r="257" spans="30:46" x14ac:dyDescent="0.3">
      <c r="AD257" s="63"/>
      <c r="AE257" s="63"/>
      <c r="AF257" s="63"/>
      <c r="AG257" s="63"/>
      <c r="AH257" s="63"/>
      <c r="AI257" s="63"/>
      <c r="AJ257" s="63"/>
      <c r="AK257" s="63"/>
      <c r="AL257" s="63"/>
      <c r="AM257" s="63"/>
      <c r="AN257" s="63"/>
      <c r="AO257" s="63"/>
      <c r="AP257" s="63"/>
      <c r="AQ257" s="63"/>
      <c r="AR257" s="63"/>
      <c r="AS257" s="63"/>
      <c r="AT257" s="63"/>
    </row>
    <row r="258" spans="30:46" x14ac:dyDescent="0.3">
      <c r="AD258" s="63"/>
      <c r="AE258" s="63"/>
      <c r="AF258" s="63"/>
      <c r="AG258" s="63"/>
      <c r="AH258" s="63"/>
      <c r="AI258" s="63"/>
      <c r="AJ258" s="63"/>
      <c r="AK258" s="63"/>
      <c r="AL258" s="63"/>
      <c r="AM258" s="63"/>
      <c r="AN258" s="63"/>
      <c r="AO258" s="63"/>
      <c r="AP258" s="63"/>
      <c r="AQ258" s="63"/>
      <c r="AR258" s="63"/>
      <c r="AS258" s="63"/>
      <c r="AT258" s="63"/>
    </row>
    <row r="259" spans="30:46" x14ac:dyDescent="0.3">
      <c r="AD259" s="63"/>
      <c r="AE259" s="63"/>
      <c r="AF259" s="63"/>
      <c r="AG259" s="63"/>
      <c r="AH259" s="63"/>
      <c r="AI259" s="63"/>
      <c r="AJ259" s="63"/>
      <c r="AK259" s="63"/>
      <c r="AL259" s="63"/>
      <c r="AM259" s="63"/>
      <c r="AN259" s="63"/>
      <c r="AO259" s="63"/>
      <c r="AP259" s="63"/>
      <c r="AQ259" s="63"/>
      <c r="AR259" s="63"/>
      <c r="AS259" s="63"/>
      <c r="AT259" s="63"/>
    </row>
    <row r="260" spans="30:46" x14ac:dyDescent="0.3">
      <c r="AD260" s="63"/>
      <c r="AE260" s="63"/>
      <c r="AF260" s="63"/>
      <c r="AG260" s="63"/>
      <c r="AH260" s="63"/>
      <c r="AI260" s="63"/>
      <c r="AJ260" s="63"/>
      <c r="AK260" s="63"/>
      <c r="AL260" s="63"/>
      <c r="AM260" s="63"/>
      <c r="AN260" s="63"/>
      <c r="AO260" s="63"/>
      <c r="AP260" s="63"/>
      <c r="AQ260" s="63"/>
      <c r="AR260" s="63"/>
      <c r="AS260" s="63"/>
      <c r="AT260" s="63"/>
    </row>
    <row r="261" spans="30:46" x14ac:dyDescent="0.3">
      <c r="AD261" s="63"/>
      <c r="AE261" s="63"/>
      <c r="AF261" s="63"/>
      <c r="AG261" s="63"/>
      <c r="AH261" s="63"/>
      <c r="AI261" s="63"/>
      <c r="AJ261" s="63"/>
      <c r="AK261" s="63"/>
      <c r="AL261" s="63"/>
      <c r="AM261" s="63"/>
      <c r="AN261" s="63"/>
      <c r="AO261" s="63"/>
      <c r="AP261" s="63"/>
      <c r="AQ261" s="63"/>
      <c r="AR261" s="63"/>
      <c r="AS261" s="63"/>
      <c r="AT261" s="63"/>
    </row>
    <row r="262" spans="30:46" x14ac:dyDescent="0.3">
      <c r="AD262" s="63"/>
      <c r="AE262" s="63"/>
      <c r="AF262" s="63"/>
      <c r="AG262" s="63"/>
      <c r="AH262" s="63"/>
      <c r="AI262" s="63"/>
      <c r="AJ262" s="63"/>
      <c r="AK262" s="63"/>
      <c r="AL262" s="63"/>
      <c r="AM262" s="63"/>
      <c r="AN262" s="63"/>
      <c r="AO262" s="63"/>
      <c r="AP262" s="63"/>
      <c r="AQ262" s="63"/>
      <c r="AR262" s="63"/>
      <c r="AS262" s="63"/>
      <c r="AT262" s="63"/>
    </row>
    <row r="263" spans="30:46" x14ac:dyDescent="0.3">
      <c r="AD263" s="63"/>
      <c r="AE263" s="63"/>
      <c r="AF263" s="63"/>
      <c r="AG263" s="63"/>
      <c r="AH263" s="63"/>
      <c r="AI263" s="63"/>
      <c r="AJ263" s="63"/>
      <c r="AK263" s="63"/>
      <c r="AL263" s="63"/>
      <c r="AM263" s="63"/>
      <c r="AN263" s="63"/>
      <c r="AO263" s="63"/>
      <c r="AP263" s="63"/>
      <c r="AQ263" s="63"/>
      <c r="AR263" s="63"/>
      <c r="AS263" s="63"/>
      <c r="AT263" s="63"/>
    </row>
    <row r="264" spans="30:46" x14ac:dyDescent="0.3">
      <c r="AD264" s="63"/>
      <c r="AE264" s="63"/>
      <c r="AF264" s="63"/>
      <c r="AG264" s="63"/>
      <c r="AH264" s="63"/>
      <c r="AI264" s="63"/>
      <c r="AJ264" s="63"/>
      <c r="AK264" s="63"/>
      <c r="AL264" s="63"/>
      <c r="AM264" s="63"/>
      <c r="AN264" s="63"/>
      <c r="AO264" s="63"/>
      <c r="AP264" s="63"/>
      <c r="AQ264" s="63"/>
      <c r="AR264" s="63"/>
      <c r="AS264" s="63"/>
      <c r="AT264" s="63"/>
    </row>
    <row r="265" spans="30:46" x14ac:dyDescent="0.3">
      <c r="AD265" s="63"/>
      <c r="AE265" s="63"/>
      <c r="AF265" s="63"/>
      <c r="AG265" s="63"/>
      <c r="AH265" s="63"/>
      <c r="AI265" s="63"/>
      <c r="AJ265" s="63"/>
      <c r="AK265" s="63"/>
      <c r="AL265" s="63"/>
      <c r="AM265" s="63"/>
      <c r="AN265" s="63"/>
      <c r="AO265" s="63"/>
      <c r="AP265" s="63"/>
      <c r="AQ265" s="63"/>
      <c r="AR265" s="63"/>
      <c r="AS265" s="63"/>
      <c r="AT265" s="63"/>
    </row>
    <row r="266" spans="30:46" x14ac:dyDescent="0.3">
      <c r="AD266" s="63"/>
      <c r="AE266" s="63"/>
      <c r="AF266" s="63"/>
      <c r="AG266" s="63"/>
      <c r="AH266" s="63"/>
      <c r="AI266" s="63"/>
      <c r="AJ266" s="63"/>
      <c r="AK266" s="63"/>
      <c r="AL266" s="63"/>
      <c r="AM266" s="63"/>
      <c r="AN266" s="63"/>
      <c r="AO266" s="63"/>
      <c r="AP266" s="63"/>
      <c r="AQ266" s="63"/>
      <c r="AR266" s="63"/>
      <c r="AS266" s="63"/>
      <c r="AT266" s="63"/>
    </row>
    <row r="267" spans="30:46" x14ac:dyDescent="0.3">
      <c r="AD267" s="63"/>
      <c r="AE267" s="63"/>
      <c r="AF267" s="63"/>
      <c r="AG267" s="63"/>
      <c r="AH267" s="63"/>
      <c r="AI267" s="63"/>
      <c r="AJ267" s="63"/>
      <c r="AK267" s="63"/>
      <c r="AL267" s="63"/>
      <c r="AM267" s="63"/>
      <c r="AN267" s="63"/>
      <c r="AO267" s="63"/>
      <c r="AP267" s="63"/>
      <c r="AQ267" s="63"/>
      <c r="AR267" s="63"/>
      <c r="AS267" s="63"/>
      <c r="AT267" s="63"/>
    </row>
    <row r="268" spans="30:46" x14ac:dyDescent="0.3">
      <c r="AD268" s="63"/>
      <c r="AE268" s="63"/>
      <c r="AF268" s="63"/>
      <c r="AG268" s="63"/>
      <c r="AH268" s="63"/>
      <c r="AI268" s="63"/>
      <c r="AJ268" s="63"/>
      <c r="AK268" s="63"/>
      <c r="AL268" s="63"/>
      <c r="AM268" s="63"/>
      <c r="AN268" s="63"/>
      <c r="AO268" s="63"/>
      <c r="AP268" s="63"/>
      <c r="AQ268" s="63"/>
      <c r="AR268" s="63"/>
      <c r="AS268" s="63"/>
      <c r="AT268" s="63"/>
    </row>
    <row r="269" spans="30:46" x14ac:dyDescent="0.3">
      <c r="AD269" s="63"/>
      <c r="AE269" s="63"/>
      <c r="AF269" s="63"/>
      <c r="AG269" s="63"/>
      <c r="AH269" s="63"/>
      <c r="AI269" s="63"/>
      <c r="AJ269" s="63"/>
      <c r="AK269" s="63"/>
      <c r="AL269" s="63"/>
      <c r="AM269" s="63"/>
      <c r="AN269" s="63"/>
      <c r="AO269" s="63"/>
      <c r="AP269" s="63"/>
      <c r="AQ269" s="63"/>
      <c r="AR269" s="63"/>
      <c r="AS269" s="63"/>
      <c r="AT269" s="63"/>
    </row>
    <row r="270" spans="30:46" x14ac:dyDescent="0.3">
      <c r="AD270" s="63"/>
      <c r="AE270" s="63"/>
      <c r="AF270" s="63"/>
      <c r="AG270" s="63"/>
      <c r="AH270" s="63"/>
      <c r="AI270" s="63"/>
      <c r="AJ270" s="63"/>
      <c r="AK270" s="63"/>
      <c r="AL270" s="63"/>
      <c r="AM270" s="63"/>
      <c r="AN270" s="63"/>
      <c r="AO270" s="63"/>
      <c r="AP270" s="63"/>
      <c r="AQ270" s="63"/>
      <c r="AR270" s="63"/>
      <c r="AS270" s="63"/>
      <c r="AT270" s="63"/>
    </row>
    <row r="271" spans="30:46" x14ac:dyDescent="0.3">
      <c r="AD271" s="63"/>
      <c r="AE271" s="63"/>
      <c r="AF271" s="63"/>
      <c r="AG271" s="63"/>
      <c r="AH271" s="63"/>
      <c r="AI271" s="63"/>
      <c r="AJ271" s="63"/>
      <c r="AK271" s="63"/>
      <c r="AL271" s="63"/>
      <c r="AM271" s="63"/>
      <c r="AN271" s="63"/>
      <c r="AO271" s="63"/>
      <c r="AP271" s="63"/>
      <c r="AQ271" s="63"/>
      <c r="AR271" s="63"/>
      <c r="AS271" s="63"/>
      <c r="AT271" s="63"/>
    </row>
    <row r="272" spans="30:46" x14ac:dyDescent="0.3">
      <c r="AD272" s="63"/>
      <c r="AE272" s="63"/>
      <c r="AF272" s="63"/>
      <c r="AG272" s="63"/>
      <c r="AH272" s="63"/>
      <c r="AI272" s="63"/>
      <c r="AJ272" s="63"/>
      <c r="AK272" s="63"/>
      <c r="AL272" s="63"/>
      <c r="AM272" s="63"/>
      <c r="AN272" s="63"/>
      <c r="AO272" s="63"/>
      <c r="AP272" s="63"/>
      <c r="AQ272" s="63"/>
      <c r="AR272" s="63"/>
      <c r="AS272" s="63"/>
      <c r="AT272" s="63"/>
    </row>
    <row r="273" spans="30:46" x14ac:dyDescent="0.3">
      <c r="AD273" s="63"/>
      <c r="AE273" s="63"/>
      <c r="AF273" s="63"/>
      <c r="AG273" s="63"/>
      <c r="AH273" s="63"/>
      <c r="AI273" s="63"/>
      <c r="AJ273" s="63"/>
      <c r="AK273" s="63"/>
      <c r="AL273" s="63"/>
      <c r="AM273" s="63"/>
      <c r="AN273" s="63"/>
      <c r="AO273" s="63"/>
      <c r="AP273" s="63"/>
      <c r="AQ273" s="63"/>
      <c r="AR273" s="63"/>
      <c r="AS273" s="63"/>
      <c r="AT273" s="63"/>
    </row>
    <row r="274" spans="30:46" x14ac:dyDescent="0.3">
      <c r="AD274" s="63"/>
      <c r="AE274" s="63"/>
      <c r="AF274" s="63"/>
      <c r="AG274" s="63"/>
      <c r="AH274" s="63"/>
      <c r="AI274" s="63"/>
      <c r="AJ274" s="63"/>
      <c r="AK274" s="63"/>
      <c r="AL274" s="63"/>
      <c r="AM274" s="63"/>
      <c r="AN274" s="63"/>
      <c r="AO274" s="63"/>
      <c r="AP274" s="63"/>
      <c r="AQ274" s="63"/>
      <c r="AR274" s="63"/>
      <c r="AS274" s="63"/>
      <c r="AT274" s="63"/>
    </row>
    <row r="275" spans="30:46" x14ac:dyDescent="0.3">
      <c r="AD275" s="63"/>
      <c r="AE275" s="63"/>
      <c r="AF275" s="63"/>
      <c r="AG275" s="63"/>
      <c r="AH275" s="63"/>
      <c r="AI275" s="63"/>
      <c r="AJ275" s="63"/>
      <c r="AK275" s="63"/>
      <c r="AL275" s="63"/>
      <c r="AM275" s="63"/>
      <c r="AN275" s="63"/>
      <c r="AO275" s="63"/>
      <c r="AP275" s="63"/>
      <c r="AQ275" s="63"/>
      <c r="AR275" s="63"/>
      <c r="AS275" s="63"/>
      <c r="AT275" s="63"/>
    </row>
    <row r="276" spans="30:46" x14ac:dyDescent="0.3">
      <c r="AD276" s="63"/>
      <c r="AE276" s="63"/>
      <c r="AF276" s="63"/>
      <c r="AG276" s="63"/>
      <c r="AH276" s="63"/>
      <c r="AI276" s="63"/>
      <c r="AJ276" s="63"/>
      <c r="AK276" s="63"/>
      <c r="AL276" s="63"/>
      <c r="AM276" s="63"/>
      <c r="AN276" s="63"/>
      <c r="AO276" s="63"/>
      <c r="AP276" s="63"/>
      <c r="AQ276" s="63"/>
      <c r="AR276" s="63"/>
      <c r="AS276" s="63"/>
      <c r="AT276" s="63"/>
    </row>
    <row r="277" spans="30:46" x14ac:dyDescent="0.3">
      <c r="AD277" s="63"/>
      <c r="AE277" s="63"/>
      <c r="AF277" s="63"/>
      <c r="AG277" s="63"/>
      <c r="AH277" s="63"/>
      <c r="AI277" s="63"/>
      <c r="AJ277" s="63"/>
      <c r="AK277" s="63"/>
      <c r="AL277" s="63"/>
      <c r="AM277" s="63"/>
      <c r="AN277" s="63"/>
      <c r="AO277" s="63"/>
      <c r="AP277" s="63"/>
      <c r="AQ277" s="63"/>
      <c r="AR277" s="63"/>
      <c r="AS277" s="63"/>
      <c r="AT277" s="63"/>
    </row>
    <row r="278" spans="30:46" x14ac:dyDescent="0.3">
      <c r="AD278" s="63"/>
      <c r="AE278" s="63"/>
      <c r="AF278" s="63"/>
      <c r="AG278" s="63"/>
      <c r="AH278" s="63"/>
      <c r="AI278" s="63"/>
      <c r="AJ278" s="63"/>
      <c r="AK278" s="63"/>
      <c r="AL278" s="63"/>
      <c r="AM278" s="63"/>
      <c r="AN278" s="63"/>
      <c r="AO278" s="63"/>
      <c r="AP278" s="63"/>
      <c r="AQ278" s="63"/>
      <c r="AR278" s="63"/>
      <c r="AS278" s="63"/>
      <c r="AT278" s="63"/>
    </row>
    <row r="279" spans="30:46" x14ac:dyDescent="0.3">
      <c r="AD279" s="63"/>
      <c r="AE279" s="63"/>
      <c r="AF279" s="63"/>
      <c r="AG279" s="63"/>
      <c r="AH279" s="63"/>
      <c r="AI279" s="63"/>
      <c r="AJ279" s="63"/>
      <c r="AK279" s="63"/>
      <c r="AL279" s="63"/>
      <c r="AM279" s="63"/>
      <c r="AN279" s="63"/>
      <c r="AO279" s="63"/>
      <c r="AP279" s="63"/>
      <c r="AQ279" s="63"/>
      <c r="AR279" s="63"/>
      <c r="AS279" s="63"/>
      <c r="AT279" s="63"/>
    </row>
    <row r="280" spans="30:46" x14ac:dyDescent="0.3">
      <c r="AD280" s="63"/>
      <c r="AE280" s="63"/>
      <c r="AF280" s="63"/>
      <c r="AG280" s="63"/>
      <c r="AH280" s="63"/>
      <c r="AI280" s="63"/>
      <c r="AJ280" s="63"/>
      <c r="AK280" s="63"/>
      <c r="AL280" s="63"/>
      <c r="AM280" s="63"/>
      <c r="AN280" s="63"/>
      <c r="AO280" s="63"/>
      <c r="AP280" s="63"/>
      <c r="AQ280" s="63"/>
      <c r="AR280" s="63"/>
      <c r="AS280" s="63"/>
      <c r="AT280" s="63"/>
    </row>
    <row r="281" spans="30:46" x14ac:dyDescent="0.3">
      <c r="AD281" s="63"/>
      <c r="AE281" s="63"/>
      <c r="AF281" s="63"/>
      <c r="AG281" s="63"/>
      <c r="AH281" s="63"/>
      <c r="AI281" s="63"/>
      <c r="AJ281" s="63"/>
      <c r="AK281" s="63"/>
      <c r="AL281" s="63"/>
      <c r="AM281" s="63"/>
      <c r="AN281" s="63"/>
      <c r="AO281" s="63"/>
      <c r="AP281" s="63"/>
      <c r="AQ281" s="63"/>
      <c r="AR281" s="63"/>
      <c r="AS281" s="63"/>
      <c r="AT281" s="63"/>
    </row>
    <row r="282" spans="30:46" x14ac:dyDescent="0.3">
      <c r="AD282" s="63"/>
      <c r="AE282" s="63"/>
      <c r="AF282" s="63"/>
      <c r="AG282" s="63"/>
      <c r="AH282" s="63"/>
      <c r="AI282" s="63"/>
      <c r="AJ282" s="63"/>
      <c r="AK282" s="63"/>
      <c r="AL282" s="63"/>
      <c r="AM282" s="63"/>
      <c r="AN282" s="63"/>
      <c r="AO282" s="63"/>
      <c r="AP282" s="63"/>
      <c r="AQ282" s="63"/>
      <c r="AR282" s="63"/>
      <c r="AS282" s="63"/>
      <c r="AT282" s="63"/>
    </row>
    <row r="283" spans="30:46" x14ac:dyDescent="0.3">
      <c r="AD283" s="63"/>
      <c r="AE283" s="63"/>
      <c r="AF283" s="63"/>
      <c r="AG283" s="63"/>
      <c r="AH283" s="63"/>
      <c r="AI283" s="63"/>
      <c r="AJ283" s="63"/>
      <c r="AK283" s="63"/>
      <c r="AL283" s="63"/>
      <c r="AM283" s="63"/>
      <c r="AN283" s="63"/>
      <c r="AO283" s="63"/>
      <c r="AP283" s="63"/>
      <c r="AQ283" s="63"/>
      <c r="AR283" s="63"/>
      <c r="AS283" s="63"/>
      <c r="AT283" s="63"/>
    </row>
    <row r="284" spans="30:46" x14ac:dyDescent="0.3">
      <c r="AD284" s="63"/>
      <c r="AE284" s="63"/>
      <c r="AF284" s="63"/>
      <c r="AG284" s="63"/>
      <c r="AH284" s="63"/>
      <c r="AI284" s="63"/>
      <c r="AJ284" s="63"/>
      <c r="AK284" s="63"/>
      <c r="AL284" s="63"/>
      <c r="AM284" s="63"/>
      <c r="AN284" s="63"/>
      <c r="AO284" s="63"/>
      <c r="AP284" s="63"/>
      <c r="AQ284" s="63"/>
      <c r="AR284" s="63"/>
      <c r="AS284" s="63"/>
      <c r="AT284" s="63"/>
    </row>
    <row r="285" spans="30:46" x14ac:dyDescent="0.3">
      <c r="AD285" s="63"/>
      <c r="AE285" s="63"/>
      <c r="AF285" s="63"/>
      <c r="AG285" s="63"/>
      <c r="AH285" s="63"/>
      <c r="AI285" s="63"/>
      <c r="AJ285" s="63"/>
      <c r="AK285" s="63"/>
      <c r="AL285" s="63"/>
      <c r="AM285" s="63"/>
      <c r="AN285" s="63"/>
      <c r="AO285" s="63"/>
      <c r="AP285" s="63"/>
      <c r="AQ285" s="63"/>
      <c r="AR285" s="63"/>
      <c r="AS285" s="63"/>
      <c r="AT285" s="63"/>
    </row>
    <row r="286" spans="30:46" x14ac:dyDescent="0.3">
      <c r="AD286" s="63"/>
      <c r="AE286" s="63"/>
      <c r="AF286" s="63"/>
      <c r="AG286" s="63"/>
      <c r="AH286" s="63"/>
      <c r="AI286" s="63"/>
      <c r="AJ286" s="63"/>
      <c r="AK286" s="63"/>
      <c r="AL286" s="63"/>
      <c r="AM286" s="63"/>
      <c r="AN286" s="63"/>
      <c r="AO286" s="63"/>
      <c r="AP286" s="63"/>
      <c r="AQ286" s="63"/>
      <c r="AR286" s="63"/>
      <c r="AS286" s="63"/>
      <c r="AT286" s="63"/>
    </row>
    <row r="287" spans="30:46" x14ac:dyDescent="0.3">
      <c r="AD287" s="63"/>
      <c r="AE287" s="63"/>
      <c r="AF287" s="63"/>
      <c r="AG287" s="63"/>
      <c r="AH287" s="63"/>
      <c r="AI287" s="63"/>
      <c r="AJ287" s="63"/>
      <c r="AK287" s="63"/>
      <c r="AL287" s="63"/>
      <c r="AM287" s="63"/>
      <c r="AN287" s="63"/>
      <c r="AO287" s="63"/>
      <c r="AP287" s="63"/>
      <c r="AQ287" s="63"/>
      <c r="AR287" s="63"/>
      <c r="AS287" s="63"/>
      <c r="AT287" s="63"/>
    </row>
    <row r="288" spans="30:46" x14ac:dyDescent="0.3">
      <c r="AD288" s="63"/>
      <c r="AE288" s="63"/>
      <c r="AF288" s="63"/>
      <c r="AG288" s="63"/>
      <c r="AH288" s="63"/>
      <c r="AI288" s="63"/>
      <c r="AJ288" s="63"/>
      <c r="AK288" s="63"/>
      <c r="AL288" s="63"/>
      <c r="AM288" s="63"/>
      <c r="AN288" s="63"/>
      <c r="AO288" s="63"/>
      <c r="AP288" s="63"/>
      <c r="AQ288" s="63"/>
      <c r="AR288" s="63"/>
      <c r="AS288" s="63"/>
      <c r="AT288" s="63"/>
    </row>
    <row r="289" spans="30:46" x14ac:dyDescent="0.3">
      <c r="AD289" s="63"/>
      <c r="AE289" s="63"/>
      <c r="AF289" s="63"/>
      <c r="AG289" s="63"/>
      <c r="AH289" s="63"/>
      <c r="AI289" s="63"/>
      <c r="AJ289" s="63"/>
      <c r="AK289" s="63"/>
      <c r="AL289" s="63"/>
      <c r="AM289" s="63"/>
      <c r="AN289" s="63"/>
      <c r="AO289" s="63"/>
      <c r="AP289" s="63"/>
      <c r="AQ289" s="63"/>
      <c r="AR289" s="63"/>
      <c r="AS289" s="63"/>
      <c r="AT289" s="63"/>
    </row>
    <row r="290" spans="30:46" x14ac:dyDescent="0.3">
      <c r="AD290" s="63"/>
      <c r="AE290" s="63"/>
      <c r="AF290" s="63"/>
      <c r="AG290" s="63"/>
      <c r="AH290" s="63"/>
      <c r="AI290" s="63"/>
      <c r="AJ290" s="63"/>
      <c r="AK290" s="63"/>
      <c r="AL290" s="63"/>
      <c r="AM290" s="63"/>
      <c r="AN290" s="63"/>
      <c r="AO290" s="63"/>
      <c r="AP290" s="63"/>
      <c r="AQ290" s="63"/>
      <c r="AR290" s="63"/>
      <c r="AS290" s="63"/>
      <c r="AT290" s="63"/>
    </row>
    <row r="291" spans="30:46" x14ac:dyDescent="0.3">
      <c r="AD291" s="63"/>
      <c r="AE291" s="63"/>
      <c r="AF291" s="63"/>
      <c r="AG291" s="63"/>
      <c r="AH291" s="63"/>
      <c r="AI291" s="63"/>
      <c r="AJ291" s="63"/>
      <c r="AK291" s="63"/>
      <c r="AL291" s="63"/>
      <c r="AM291" s="63"/>
      <c r="AN291" s="63"/>
      <c r="AO291" s="63"/>
      <c r="AP291" s="63"/>
      <c r="AQ291" s="63"/>
      <c r="AR291" s="63"/>
      <c r="AS291" s="63"/>
      <c r="AT291" s="63"/>
    </row>
    <row r="292" spans="30:46" x14ac:dyDescent="0.3">
      <c r="AD292" s="63"/>
      <c r="AE292" s="63"/>
      <c r="AF292" s="63"/>
      <c r="AG292" s="63"/>
      <c r="AH292" s="63"/>
      <c r="AI292" s="63"/>
      <c r="AJ292" s="63"/>
      <c r="AK292" s="63"/>
      <c r="AL292" s="63"/>
      <c r="AM292" s="63"/>
      <c r="AN292" s="63"/>
      <c r="AO292" s="63"/>
      <c r="AP292" s="63"/>
      <c r="AQ292" s="63"/>
      <c r="AR292" s="63"/>
      <c r="AS292" s="63"/>
      <c r="AT292" s="63"/>
    </row>
    <row r="293" spans="30:46" x14ac:dyDescent="0.3">
      <c r="AD293" s="63"/>
      <c r="AE293" s="63"/>
      <c r="AF293" s="63"/>
      <c r="AG293" s="63"/>
      <c r="AH293" s="63"/>
      <c r="AI293" s="63"/>
      <c r="AJ293" s="63"/>
      <c r="AK293" s="63"/>
      <c r="AL293" s="63"/>
      <c r="AM293" s="63"/>
      <c r="AN293" s="63"/>
      <c r="AO293" s="63"/>
      <c r="AP293" s="63"/>
      <c r="AQ293" s="63"/>
      <c r="AR293" s="63"/>
      <c r="AS293" s="63"/>
      <c r="AT293" s="63"/>
    </row>
    <row r="294" spans="30:46" x14ac:dyDescent="0.3">
      <c r="AD294" s="63"/>
      <c r="AE294" s="63"/>
      <c r="AF294" s="63"/>
      <c r="AG294" s="63"/>
      <c r="AH294" s="63"/>
      <c r="AI294" s="63"/>
      <c r="AJ294" s="63"/>
      <c r="AK294" s="63"/>
      <c r="AL294" s="63"/>
      <c r="AM294" s="63"/>
      <c r="AN294" s="63"/>
      <c r="AO294" s="63"/>
      <c r="AP294" s="63"/>
      <c r="AQ294" s="63"/>
      <c r="AR294" s="63"/>
      <c r="AS294" s="63"/>
      <c r="AT294" s="63"/>
    </row>
    <row r="295" spans="30:46" x14ac:dyDescent="0.3">
      <c r="AD295" s="63"/>
      <c r="AE295" s="63"/>
      <c r="AF295" s="63"/>
      <c r="AG295" s="63"/>
      <c r="AH295" s="63"/>
      <c r="AI295" s="63"/>
      <c r="AJ295" s="63"/>
      <c r="AK295" s="63"/>
      <c r="AL295" s="63"/>
      <c r="AM295" s="63"/>
      <c r="AN295" s="63"/>
      <c r="AO295" s="63"/>
      <c r="AP295" s="63"/>
      <c r="AQ295" s="63"/>
      <c r="AR295" s="63"/>
      <c r="AS295" s="63"/>
      <c r="AT295" s="63"/>
    </row>
    <row r="296" spans="30:46" x14ac:dyDescent="0.3">
      <c r="AD296" s="63"/>
      <c r="AE296" s="63"/>
      <c r="AF296" s="63"/>
      <c r="AG296" s="63"/>
      <c r="AH296" s="63"/>
      <c r="AI296" s="63"/>
      <c r="AJ296" s="63"/>
      <c r="AK296" s="63"/>
      <c r="AL296" s="63"/>
      <c r="AM296" s="63"/>
      <c r="AN296" s="63"/>
      <c r="AO296" s="63"/>
      <c r="AP296" s="63"/>
      <c r="AQ296" s="63"/>
      <c r="AR296" s="63"/>
      <c r="AS296" s="63"/>
      <c r="AT296" s="63"/>
    </row>
    <row r="297" spans="30:46" x14ac:dyDescent="0.3">
      <c r="AD297" s="63"/>
      <c r="AE297" s="63"/>
      <c r="AF297" s="63"/>
      <c r="AG297" s="63"/>
      <c r="AH297" s="63"/>
      <c r="AI297" s="63"/>
      <c r="AJ297" s="63"/>
      <c r="AK297" s="63"/>
      <c r="AL297" s="63"/>
      <c r="AM297" s="63"/>
      <c r="AN297" s="63"/>
      <c r="AO297" s="63"/>
      <c r="AP297" s="63"/>
      <c r="AQ297" s="63"/>
      <c r="AR297" s="63"/>
      <c r="AS297" s="63"/>
      <c r="AT297" s="63"/>
    </row>
    <row r="298" spans="30:46" x14ac:dyDescent="0.3">
      <c r="AD298" s="63"/>
      <c r="AE298" s="63"/>
      <c r="AF298" s="63"/>
      <c r="AG298" s="63"/>
      <c r="AH298" s="63"/>
      <c r="AI298" s="63"/>
      <c r="AJ298" s="63"/>
      <c r="AK298" s="63"/>
      <c r="AL298" s="63"/>
      <c r="AM298" s="63"/>
      <c r="AN298" s="63"/>
      <c r="AO298" s="63"/>
      <c r="AP298" s="63"/>
      <c r="AQ298" s="63"/>
      <c r="AR298" s="63"/>
      <c r="AS298" s="63"/>
      <c r="AT298" s="63"/>
    </row>
    <row r="299" spans="30:46" x14ac:dyDescent="0.3">
      <c r="AD299" s="63"/>
      <c r="AE299" s="63"/>
      <c r="AF299" s="63"/>
      <c r="AG299" s="63"/>
      <c r="AH299" s="63"/>
      <c r="AI299" s="63"/>
      <c r="AJ299" s="63"/>
      <c r="AK299" s="63"/>
      <c r="AL299" s="63"/>
      <c r="AM299" s="63"/>
      <c r="AN299" s="63"/>
      <c r="AO299" s="63"/>
      <c r="AP299" s="63"/>
      <c r="AQ299" s="63"/>
      <c r="AR299" s="63"/>
      <c r="AS299" s="63"/>
      <c r="AT299" s="63"/>
    </row>
    <row r="300" spans="30:46" x14ac:dyDescent="0.3">
      <c r="AD300" s="63"/>
      <c r="AE300" s="63"/>
      <c r="AF300" s="63"/>
      <c r="AG300" s="63"/>
      <c r="AH300" s="63"/>
      <c r="AI300" s="63"/>
      <c r="AJ300" s="63"/>
      <c r="AK300" s="63"/>
      <c r="AL300" s="63"/>
      <c r="AM300" s="63"/>
      <c r="AN300" s="63"/>
      <c r="AO300" s="63"/>
      <c r="AP300" s="63"/>
      <c r="AQ300" s="63"/>
      <c r="AR300" s="63"/>
      <c r="AS300" s="63"/>
      <c r="AT300" s="63"/>
    </row>
    <row r="301" spans="30:46" x14ac:dyDescent="0.3">
      <c r="AD301" s="63"/>
      <c r="AE301" s="63"/>
      <c r="AF301" s="63"/>
      <c r="AG301" s="63"/>
      <c r="AH301" s="63"/>
      <c r="AI301" s="63"/>
      <c r="AJ301" s="63"/>
      <c r="AK301" s="63"/>
      <c r="AL301" s="63"/>
      <c r="AM301" s="63"/>
      <c r="AN301" s="63"/>
      <c r="AO301" s="63"/>
      <c r="AP301" s="63"/>
      <c r="AQ301" s="63"/>
      <c r="AR301" s="63"/>
      <c r="AS301" s="63"/>
      <c r="AT301" s="63"/>
    </row>
    <row r="302" spans="30:46" x14ac:dyDescent="0.3">
      <c r="AD302" s="63"/>
      <c r="AE302" s="63"/>
      <c r="AF302" s="63"/>
      <c r="AG302" s="63"/>
      <c r="AH302" s="63"/>
      <c r="AI302" s="63"/>
      <c r="AJ302" s="63"/>
      <c r="AK302" s="63"/>
      <c r="AL302" s="63"/>
      <c r="AM302" s="63"/>
      <c r="AN302" s="63"/>
      <c r="AO302" s="63"/>
      <c r="AP302" s="63"/>
      <c r="AQ302" s="63"/>
      <c r="AR302" s="63"/>
      <c r="AS302" s="63"/>
      <c r="AT302" s="63"/>
    </row>
    <row r="303" spans="30:46" x14ac:dyDescent="0.3">
      <c r="AD303" s="63"/>
      <c r="AE303" s="63"/>
      <c r="AF303" s="63"/>
      <c r="AG303" s="63"/>
      <c r="AH303" s="63"/>
      <c r="AI303" s="63"/>
      <c r="AJ303" s="63"/>
      <c r="AK303" s="63"/>
      <c r="AL303" s="63"/>
      <c r="AM303" s="63"/>
      <c r="AN303" s="63"/>
      <c r="AO303" s="63"/>
      <c r="AP303" s="63"/>
      <c r="AQ303" s="63"/>
      <c r="AR303" s="63"/>
      <c r="AS303" s="63"/>
      <c r="AT303" s="63"/>
    </row>
    <row r="304" spans="30:46" x14ac:dyDescent="0.3">
      <c r="AD304" s="63"/>
      <c r="AE304" s="63"/>
      <c r="AF304" s="63"/>
      <c r="AG304" s="63"/>
      <c r="AH304" s="63"/>
      <c r="AI304" s="63"/>
      <c r="AJ304" s="63"/>
      <c r="AK304" s="63"/>
      <c r="AL304" s="63"/>
      <c r="AM304" s="63"/>
      <c r="AN304" s="63"/>
      <c r="AO304" s="63"/>
      <c r="AP304" s="63"/>
      <c r="AQ304" s="63"/>
      <c r="AR304" s="63"/>
      <c r="AS304" s="63"/>
      <c r="AT304" s="63"/>
    </row>
    <row r="305" spans="30:46" x14ac:dyDescent="0.3">
      <c r="AD305" s="63"/>
      <c r="AE305" s="63"/>
      <c r="AF305" s="63"/>
      <c r="AG305" s="63"/>
      <c r="AH305" s="63"/>
      <c r="AI305" s="63"/>
      <c r="AJ305" s="63"/>
      <c r="AK305" s="63"/>
      <c r="AL305" s="63"/>
      <c r="AM305" s="63"/>
      <c r="AN305" s="63"/>
      <c r="AO305" s="63"/>
      <c r="AP305" s="63"/>
      <c r="AQ305" s="63"/>
      <c r="AR305" s="63"/>
      <c r="AS305" s="63"/>
      <c r="AT305" s="63"/>
    </row>
    <row r="306" spans="30:46" x14ac:dyDescent="0.3">
      <c r="AD306" s="63"/>
      <c r="AE306" s="63"/>
      <c r="AF306" s="63"/>
      <c r="AG306" s="63"/>
      <c r="AH306" s="63"/>
      <c r="AI306" s="63"/>
      <c r="AJ306" s="63"/>
      <c r="AK306" s="63"/>
      <c r="AL306" s="63"/>
      <c r="AM306" s="63"/>
      <c r="AN306" s="63"/>
      <c r="AO306" s="63"/>
      <c r="AP306" s="63"/>
      <c r="AQ306" s="63"/>
      <c r="AR306" s="63"/>
      <c r="AS306" s="63"/>
      <c r="AT306" s="63"/>
    </row>
    <row r="307" spans="30:46" x14ac:dyDescent="0.3">
      <c r="AD307" s="63"/>
      <c r="AE307" s="63"/>
      <c r="AF307" s="63"/>
      <c r="AG307" s="63"/>
      <c r="AH307" s="63"/>
      <c r="AI307" s="63"/>
      <c r="AJ307" s="63"/>
      <c r="AK307" s="63"/>
      <c r="AL307" s="63"/>
      <c r="AM307" s="63"/>
      <c r="AN307" s="63"/>
      <c r="AO307" s="63"/>
      <c r="AP307" s="63"/>
      <c r="AQ307" s="63"/>
      <c r="AR307" s="63"/>
      <c r="AS307" s="63"/>
      <c r="AT307" s="63"/>
    </row>
    <row r="308" spans="30:46" x14ac:dyDescent="0.3">
      <c r="AD308" s="63"/>
      <c r="AE308" s="63"/>
      <c r="AF308" s="63"/>
      <c r="AG308" s="63"/>
      <c r="AH308" s="63"/>
      <c r="AI308" s="63"/>
      <c r="AJ308" s="63"/>
      <c r="AK308" s="63"/>
      <c r="AL308" s="63"/>
      <c r="AM308" s="63"/>
      <c r="AN308" s="63"/>
      <c r="AO308" s="63"/>
      <c r="AP308" s="63"/>
      <c r="AQ308" s="63"/>
      <c r="AR308" s="63"/>
      <c r="AS308" s="63"/>
      <c r="AT308" s="63"/>
    </row>
    <row r="309" spans="30:46" x14ac:dyDescent="0.3">
      <c r="AD309" s="63"/>
      <c r="AE309" s="63"/>
      <c r="AF309" s="63"/>
      <c r="AG309" s="63"/>
      <c r="AH309" s="63"/>
      <c r="AI309" s="63"/>
      <c r="AJ309" s="63"/>
      <c r="AK309" s="63"/>
      <c r="AL309" s="63"/>
      <c r="AM309" s="63"/>
      <c r="AN309" s="63"/>
      <c r="AO309" s="63"/>
      <c r="AP309" s="63"/>
      <c r="AQ309" s="63"/>
      <c r="AR309" s="63"/>
      <c r="AS309" s="63"/>
      <c r="AT309" s="63"/>
    </row>
    <row r="310" spans="30:46" x14ac:dyDescent="0.3">
      <c r="AD310" s="63"/>
      <c r="AE310" s="63"/>
      <c r="AF310" s="63"/>
      <c r="AG310" s="63"/>
      <c r="AH310" s="63"/>
      <c r="AI310" s="63"/>
      <c r="AJ310" s="63"/>
      <c r="AK310" s="63"/>
      <c r="AL310" s="63"/>
      <c r="AM310" s="63"/>
      <c r="AN310" s="63"/>
      <c r="AO310" s="63"/>
      <c r="AP310" s="63"/>
      <c r="AQ310" s="63"/>
      <c r="AR310" s="63"/>
      <c r="AS310" s="63"/>
      <c r="AT310" s="63"/>
    </row>
    <row r="311" spans="30:46" x14ac:dyDescent="0.3">
      <c r="AD311" s="63"/>
      <c r="AE311" s="63"/>
      <c r="AF311" s="63"/>
      <c r="AG311" s="63"/>
      <c r="AH311" s="63"/>
      <c r="AI311" s="63"/>
      <c r="AJ311" s="63"/>
      <c r="AK311" s="63"/>
      <c r="AL311" s="63"/>
      <c r="AM311" s="63"/>
      <c r="AN311" s="63"/>
      <c r="AO311" s="63"/>
      <c r="AP311" s="63"/>
      <c r="AQ311" s="63"/>
      <c r="AR311" s="63"/>
      <c r="AS311" s="63"/>
      <c r="AT311" s="63"/>
    </row>
    <row r="312" spans="30:46" x14ac:dyDescent="0.3">
      <c r="AD312" s="63"/>
      <c r="AE312" s="63"/>
      <c r="AF312" s="63"/>
      <c r="AG312" s="63"/>
      <c r="AH312" s="63"/>
      <c r="AI312" s="63"/>
      <c r="AJ312" s="63"/>
      <c r="AK312" s="63"/>
      <c r="AL312" s="63"/>
      <c r="AM312" s="63"/>
      <c r="AN312" s="63"/>
      <c r="AO312" s="63"/>
      <c r="AP312" s="63"/>
      <c r="AQ312" s="63"/>
      <c r="AR312" s="63"/>
      <c r="AS312" s="63"/>
      <c r="AT312" s="63"/>
    </row>
    <row r="313" spans="30:46" x14ac:dyDescent="0.3">
      <c r="AD313" s="63"/>
      <c r="AE313" s="63"/>
      <c r="AF313" s="63"/>
      <c r="AG313" s="63"/>
      <c r="AH313" s="63"/>
      <c r="AI313" s="63"/>
      <c r="AJ313" s="63"/>
      <c r="AK313" s="63"/>
      <c r="AL313" s="63"/>
      <c r="AM313" s="63"/>
      <c r="AN313" s="63"/>
      <c r="AO313" s="63"/>
      <c r="AP313" s="63"/>
      <c r="AQ313" s="63"/>
      <c r="AR313" s="63"/>
      <c r="AS313" s="63"/>
      <c r="AT313" s="63"/>
    </row>
    <row r="314" spans="30:46" x14ac:dyDescent="0.3">
      <c r="AD314" s="63"/>
      <c r="AE314" s="63"/>
      <c r="AF314" s="63"/>
      <c r="AG314" s="63"/>
      <c r="AH314" s="63"/>
      <c r="AI314" s="63"/>
      <c r="AJ314" s="63"/>
      <c r="AK314" s="63"/>
      <c r="AL314" s="63"/>
      <c r="AM314" s="63"/>
      <c r="AN314" s="63"/>
      <c r="AO314" s="63"/>
      <c r="AP314" s="63"/>
      <c r="AQ314" s="63"/>
      <c r="AR314" s="63"/>
      <c r="AS314" s="63"/>
      <c r="AT314" s="63"/>
    </row>
    <row r="315" spans="30:46" x14ac:dyDescent="0.3">
      <c r="AD315" s="63"/>
      <c r="AE315" s="63"/>
      <c r="AF315" s="63"/>
      <c r="AG315" s="63"/>
      <c r="AH315" s="63"/>
      <c r="AI315" s="63"/>
      <c r="AJ315" s="63"/>
      <c r="AK315" s="63"/>
      <c r="AL315" s="63"/>
      <c r="AM315" s="63"/>
      <c r="AN315" s="63"/>
      <c r="AO315" s="63"/>
      <c r="AP315" s="63"/>
      <c r="AQ315" s="63"/>
      <c r="AR315" s="63"/>
      <c r="AS315" s="63"/>
      <c r="AT315" s="63"/>
    </row>
    <row r="316" spans="30:46" x14ac:dyDescent="0.3">
      <c r="AD316" s="63"/>
      <c r="AE316" s="63"/>
      <c r="AF316" s="63"/>
      <c r="AG316" s="63"/>
      <c r="AH316" s="63"/>
      <c r="AI316" s="63"/>
      <c r="AJ316" s="63"/>
      <c r="AK316" s="63"/>
      <c r="AL316" s="63"/>
      <c r="AM316" s="63"/>
      <c r="AN316" s="63"/>
      <c r="AO316" s="63"/>
      <c r="AP316" s="63"/>
      <c r="AQ316" s="63"/>
      <c r="AR316" s="63"/>
      <c r="AS316" s="63"/>
      <c r="AT316" s="63"/>
    </row>
    <row r="317" spans="30:46" x14ac:dyDescent="0.3">
      <c r="AD317" s="63"/>
      <c r="AE317" s="63"/>
      <c r="AF317" s="63"/>
      <c r="AG317" s="63"/>
      <c r="AH317" s="63"/>
      <c r="AI317" s="63"/>
      <c r="AJ317" s="63"/>
      <c r="AK317" s="63"/>
      <c r="AL317" s="63"/>
      <c r="AM317" s="63"/>
      <c r="AN317" s="63"/>
      <c r="AO317" s="63"/>
      <c r="AP317" s="63"/>
      <c r="AQ317" s="63"/>
      <c r="AR317" s="63"/>
      <c r="AS317" s="63"/>
      <c r="AT317" s="63"/>
    </row>
    <row r="318" spans="30:46" x14ac:dyDescent="0.3">
      <c r="AD318" s="63"/>
      <c r="AE318" s="63"/>
      <c r="AF318" s="63"/>
      <c r="AG318" s="63"/>
      <c r="AH318" s="63"/>
      <c r="AI318" s="63"/>
      <c r="AJ318" s="63"/>
      <c r="AK318" s="63"/>
      <c r="AL318" s="63"/>
      <c r="AM318" s="63"/>
      <c r="AN318" s="63"/>
      <c r="AO318" s="63"/>
      <c r="AP318" s="63"/>
      <c r="AQ318" s="63"/>
      <c r="AR318" s="63"/>
      <c r="AS318" s="63"/>
      <c r="AT318" s="63"/>
    </row>
    <row r="319" spans="30:46" x14ac:dyDescent="0.3">
      <c r="AD319" s="63"/>
      <c r="AE319" s="63"/>
      <c r="AF319" s="63"/>
      <c r="AG319" s="63"/>
      <c r="AH319" s="63"/>
      <c r="AI319" s="63"/>
      <c r="AJ319" s="63"/>
      <c r="AK319" s="63"/>
      <c r="AL319" s="63"/>
      <c r="AM319" s="63"/>
      <c r="AN319" s="63"/>
      <c r="AO319" s="63"/>
      <c r="AP319" s="63"/>
      <c r="AQ319" s="63"/>
      <c r="AR319" s="63"/>
      <c r="AS319" s="63"/>
      <c r="AT319" s="63"/>
    </row>
    <row r="320" spans="30:46" x14ac:dyDescent="0.3">
      <c r="AD320" s="63"/>
      <c r="AE320" s="63"/>
      <c r="AF320" s="63"/>
      <c r="AG320" s="63"/>
      <c r="AH320" s="63"/>
      <c r="AI320" s="63"/>
      <c r="AJ320" s="63"/>
      <c r="AK320" s="63"/>
      <c r="AL320" s="63"/>
      <c r="AM320" s="63"/>
      <c r="AN320" s="63"/>
      <c r="AO320" s="63"/>
      <c r="AP320" s="63"/>
      <c r="AQ320" s="63"/>
      <c r="AR320" s="63"/>
      <c r="AS320" s="63"/>
      <c r="AT320" s="63"/>
    </row>
    <row r="321" spans="30:46" x14ac:dyDescent="0.3">
      <c r="AD321" s="63"/>
      <c r="AE321" s="63"/>
      <c r="AF321" s="63"/>
      <c r="AG321" s="63"/>
      <c r="AH321" s="63"/>
      <c r="AI321" s="63"/>
      <c r="AJ321" s="63"/>
      <c r="AK321" s="63"/>
      <c r="AL321" s="63"/>
      <c r="AM321" s="63"/>
      <c r="AN321" s="63"/>
      <c r="AO321" s="63"/>
      <c r="AP321" s="63"/>
      <c r="AQ321" s="63"/>
      <c r="AR321" s="63"/>
      <c r="AS321" s="63"/>
      <c r="AT321" s="63"/>
    </row>
    <row r="322" spans="30:46" x14ac:dyDescent="0.3">
      <c r="AD322" s="63"/>
      <c r="AE322" s="63"/>
      <c r="AF322" s="63"/>
      <c r="AG322" s="63"/>
      <c r="AH322" s="63"/>
      <c r="AI322" s="63"/>
      <c r="AJ322" s="63"/>
      <c r="AK322" s="63"/>
      <c r="AL322" s="63"/>
      <c r="AM322" s="63"/>
      <c r="AN322" s="63"/>
      <c r="AO322" s="63"/>
      <c r="AP322" s="63"/>
      <c r="AQ322" s="63"/>
      <c r="AR322" s="63"/>
      <c r="AS322" s="63"/>
      <c r="AT322" s="63"/>
    </row>
    <row r="323" spans="30:46" x14ac:dyDescent="0.3">
      <c r="AD323" s="63"/>
      <c r="AE323" s="63"/>
      <c r="AF323" s="63"/>
      <c r="AG323" s="63"/>
      <c r="AH323" s="63"/>
      <c r="AI323" s="63"/>
      <c r="AJ323" s="63"/>
      <c r="AK323" s="63"/>
      <c r="AL323" s="63"/>
      <c r="AM323" s="63"/>
      <c r="AN323" s="63"/>
      <c r="AO323" s="63"/>
      <c r="AP323" s="63"/>
      <c r="AQ323" s="63"/>
      <c r="AR323" s="63"/>
      <c r="AS323" s="63"/>
      <c r="AT323" s="63"/>
    </row>
    <row r="324" spans="30:46" x14ac:dyDescent="0.3">
      <c r="AD324" s="63"/>
      <c r="AE324" s="63"/>
      <c r="AF324" s="63"/>
      <c r="AG324" s="63"/>
      <c r="AH324" s="63"/>
      <c r="AI324" s="63"/>
      <c r="AJ324" s="63"/>
      <c r="AK324" s="63"/>
      <c r="AL324" s="63"/>
      <c r="AM324" s="63"/>
      <c r="AN324" s="63"/>
      <c r="AO324" s="63"/>
      <c r="AP324" s="63"/>
      <c r="AQ324" s="63"/>
      <c r="AR324" s="63"/>
      <c r="AS324" s="63"/>
      <c r="AT324" s="63"/>
    </row>
    <row r="325" spans="30:46" x14ac:dyDescent="0.3">
      <c r="AD325" s="63"/>
      <c r="AE325" s="63"/>
      <c r="AF325" s="63"/>
      <c r="AG325" s="63"/>
      <c r="AH325" s="63"/>
      <c r="AI325" s="63"/>
      <c r="AJ325" s="63"/>
      <c r="AK325" s="63"/>
      <c r="AL325" s="63"/>
      <c r="AM325" s="63"/>
      <c r="AN325" s="63"/>
      <c r="AO325" s="63"/>
      <c r="AP325" s="63"/>
      <c r="AQ325" s="63"/>
      <c r="AR325" s="63"/>
      <c r="AS325" s="63"/>
      <c r="AT325" s="63"/>
    </row>
    <row r="326" spans="30:46" x14ac:dyDescent="0.3">
      <c r="AD326" s="63"/>
      <c r="AE326" s="63"/>
      <c r="AF326" s="63"/>
      <c r="AG326" s="63"/>
      <c r="AH326" s="63"/>
      <c r="AI326" s="63"/>
      <c r="AJ326" s="63"/>
      <c r="AK326" s="63"/>
      <c r="AL326" s="63"/>
      <c r="AM326" s="63"/>
      <c r="AN326" s="63"/>
      <c r="AO326" s="63"/>
      <c r="AP326" s="63"/>
      <c r="AQ326" s="63"/>
      <c r="AR326" s="63"/>
      <c r="AS326" s="63"/>
      <c r="AT326" s="63"/>
    </row>
    <row r="327" spans="30:46" x14ac:dyDescent="0.3">
      <c r="AD327" s="63"/>
      <c r="AE327" s="63"/>
      <c r="AF327" s="63"/>
      <c r="AG327" s="63"/>
      <c r="AH327" s="63"/>
      <c r="AI327" s="63"/>
      <c r="AJ327" s="63"/>
      <c r="AK327" s="63"/>
      <c r="AL327" s="63"/>
      <c r="AM327" s="63"/>
      <c r="AN327" s="63"/>
      <c r="AO327" s="63"/>
      <c r="AP327" s="63"/>
      <c r="AQ327" s="63"/>
      <c r="AR327" s="63"/>
      <c r="AS327" s="63"/>
      <c r="AT327" s="63"/>
    </row>
    <row r="328" spans="30:46" x14ac:dyDescent="0.3">
      <c r="AD328" s="63"/>
      <c r="AE328" s="63"/>
      <c r="AF328" s="63"/>
      <c r="AG328" s="63"/>
      <c r="AH328" s="63"/>
      <c r="AI328" s="63"/>
      <c r="AJ328" s="63"/>
      <c r="AK328" s="63"/>
      <c r="AL328" s="63"/>
      <c r="AM328" s="63"/>
      <c r="AN328" s="63"/>
      <c r="AO328" s="63"/>
      <c r="AP328" s="63"/>
      <c r="AQ328" s="63"/>
      <c r="AR328" s="63"/>
      <c r="AS328" s="63"/>
      <c r="AT328" s="63"/>
    </row>
    <row r="329" spans="30:46" x14ac:dyDescent="0.3">
      <c r="AD329" s="63"/>
      <c r="AE329" s="63"/>
      <c r="AF329" s="63"/>
      <c r="AG329" s="63"/>
      <c r="AH329" s="63"/>
      <c r="AI329" s="63"/>
      <c r="AJ329" s="63"/>
      <c r="AK329" s="63"/>
      <c r="AL329" s="63"/>
      <c r="AM329" s="63"/>
      <c r="AN329" s="63"/>
      <c r="AO329" s="63"/>
      <c r="AP329" s="63"/>
      <c r="AQ329" s="63"/>
      <c r="AR329" s="63"/>
      <c r="AS329" s="63"/>
      <c r="AT329" s="63"/>
    </row>
    <row r="330" spans="30:46" x14ac:dyDescent="0.3">
      <c r="AD330" s="63"/>
      <c r="AE330" s="63"/>
      <c r="AF330" s="63"/>
      <c r="AG330" s="63"/>
      <c r="AH330" s="63"/>
      <c r="AI330" s="63"/>
      <c r="AJ330" s="63"/>
      <c r="AK330" s="63"/>
      <c r="AL330" s="63"/>
      <c r="AM330" s="63"/>
      <c r="AN330" s="63"/>
      <c r="AO330" s="63"/>
      <c r="AP330" s="63"/>
      <c r="AQ330" s="63"/>
      <c r="AR330" s="63"/>
      <c r="AS330" s="63"/>
      <c r="AT330" s="63"/>
    </row>
    <row r="331" spans="30:46" x14ac:dyDescent="0.3">
      <c r="AD331" s="63"/>
      <c r="AE331" s="63"/>
      <c r="AF331" s="63"/>
      <c r="AG331" s="63"/>
      <c r="AH331" s="63"/>
      <c r="AI331" s="63"/>
      <c r="AJ331" s="63"/>
      <c r="AK331" s="63"/>
      <c r="AL331" s="63"/>
      <c r="AM331" s="63"/>
      <c r="AN331" s="63"/>
      <c r="AO331" s="63"/>
      <c r="AP331" s="63"/>
      <c r="AQ331" s="63"/>
      <c r="AR331" s="63"/>
      <c r="AS331" s="63"/>
      <c r="AT331" s="63"/>
    </row>
    <row r="332" spans="30:46" x14ac:dyDescent="0.3">
      <c r="AD332" s="63"/>
      <c r="AE332" s="63"/>
      <c r="AF332" s="63"/>
      <c r="AG332" s="63"/>
      <c r="AH332" s="63"/>
      <c r="AI332" s="63"/>
      <c r="AJ332" s="63"/>
      <c r="AK332" s="63"/>
      <c r="AL332" s="63"/>
      <c r="AM332" s="63"/>
      <c r="AN332" s="63"/>
      <c r="AO332" s="63"/>
      <c r="AP332" s="63"/>
      <c r="AQ332" s="63"/>
      <c r="AR332" s="63"/>
      <c r="AS332" s="63"/>
      <c r="AT332" s="63"/>
    </row>
    <row r="333" spans="30:46" x14ac:dyDescent="0.3">
      <c r="AD333" s="63"/>
      <c r="AE333" s="63"/>
      <c r="AF333" s="63"/>
      <c r="AG333" s="63"/>
      <c r="AH333" s="63"/>
      <c r="AI333" s="63"/>
      <c r="AJ333" s="63"/>
      <c r="AK333" s="63"/>
      <c r="AL333" s="63"/>
      <c r="AM333" s="63"/>
      <c r="AN333" s="63"/>
      <c r="AO333" s="63"/>
      <c r="AP333" s="63"/>
      <c r="AQ333" s="63"/>
      <c r="AR333" s="63"/>
      <c r="AS333" s="63"/>
      <c r="AT333" s="63"/>
    </row>
    <row r="334" spans="30:46" x14ac:dyDescent="0.3">
      <c r="AD334" s="63"/>
      <c r="AE334" s="63"/>
      <c r="AF334" s="63"/>
      <c r="AG334" s="63"/>
      <c r="AH334" s="63"/>
      <c r="AI334" s="63"/>
      <c r="AJ334" s="63"/>
      <c r="AK334" s="63"/>
      <c r="AL334" s="63"/>
      <c r="AM334" s="63"/>
      <c r="AN334" s="63"/>
      <c r="AO334" s="63"/>
      <c r="AP334" s="63"/>
      <c r="AQ334" s="63"/>
      <c r="AR334" s="63"/>
      <c r="AS334" s="63"/>
      <c r="AT334" s="63"/>
    </row>
    <row r="335" spans="30:46" x14ac:dyDescent="0.3">
      <c r="AD335" s="63"/>
      <c r="AE335" s="63"/>
      <c r="AF335" s="63"/>
      <c r="AG335" s="63"/>
      <c r="AH335" s="63"/>
      <c r="AI335" s="63"/>
      <c r="AJ335" s="63"/>
      <c r="AK335" s="63"/>
      <c r="AL335" s="63"/>
      <c r="AM335" s="63"/>
      <c r="AN335" s="63"/>
      <c r="AO335" s="63"/>
      <c r="AP335" s="63"/>
      <c r="AQ335" s="63"/>
      <c r="AR335" s="63"/>
      <c r="AS335" s="63"/>
      <c r="AT335" s="63"/>
    </row>
    <row r="336" spans="30:46" x14ac:dyDescent="0.3">
      <c r="AD336" s="63"/>
      <c r="AE336" s="63"/>
      <c r="AF336" s="63"/>
      <c r="AG336" s="63"/>
      <c r="AH336" s="63"/>
      <c r="AI336" s="63"/>
      <c r="AJ336" s="63"/>
      <c r="AK336" s="63"/>
      <c r="AL336" s="63"/>
      <c r="AM336" s="63"/>
      <c r="AN336" s="63"/>
      <c r="AO336" s="63"/>
      <c r="AP336" s="63"/>
      <c r="AQ336" s="63"/>
      <c r="AR336" s="63"/>
      <c r="AS336" s="63"/>
      <c r="AT336" s="63"/>
    </row>
    <row r="337" spans="30:46" x14ac:dyDescent="0.3">
      <c r="AD337" s="63"/>
      <c r="AE337" s="63"/>
      <c r="AF337" s="63"/>
      <c r="AG337" s="63"/>
      <c r="AH337" s="63"/>
      <c r="AI337" s="63"/>
      <c r="AJ337" s="63"/>
      <c r="AK337" s="63"/>
      <c r="AL337" s="63"/>
      <c r="AM337" s="63"/>
      <c r="AN337" s="63"/>
      <c r="AO337" s="63"/>
      <c r="AP337" s="63"/>
      <c r="AQ337" s="63"/>
      <c r="AR337" s="63"/>
      <c r="AS337" s="63"/>
      <c r="AT337" s="63"/>
    </row>
    <row r="338" spans="30:46" x14ac:dyDescent="0.3">
      <c r="AD338" s="63"/>
      <c r="AE338" s="63"/>
      <c r="AF338" s="63"/>
      <c r="AG338" s="63"/>
      <c r="AH338" s="63"/>
      <c r="AI338" s="63"/>
      <c r="AJ338" s="63"/>
      <c r="AK338" s="63"/>
      <c r="AL338" s="63"/>
      <c r="AM338" s="63"/>
      <c r="AN338" s="63"/>
      <c r="AO338" s="63"/>
      <c r="AP338" s="63"/>
      <c r="AQ338" s="63"/>
      <c r="AR338" s="63"/>
      <c r="AS338" s="63"/>
      <c r="AT338" s="63"/>
    </row>
    <row r="339" spans="30:46" x14ac:dyDescent="0.3">
      <c r="AD339" s="63"/>
      <c r="AE339" s="63"/>
      <c r="AF339" s="63"/>
      <c r="AG339" s="63"/>
      <c r="AH339" s="63"/>
      <c r="AI339" s="63"/>
      <c r="AJ339" s="63"/>
      <c r="AK339" s="63"/>
      <c r="AL339" s="63"/>
      <c r="AM339" s="63"/>
      <c r="AN339" s="63"/>
      <c r="AO339" s="63"/>
      <c r="AP339" s="63"/>
      <c r="AQ339" s="63"/>
      <c r="AR339" s="63"/>
      <c r="AS339" s="63"/>
      <c r="AT339" s="63"/>
    </row>
    <row r="340" spans="30:46" x14ac:dyDescent="0.3">
      <c r="AD340" s="63"/>
      <c r="AE340" s="63"/>
      <c r="AF340" s="63"/>
      <c r="AG340" s="63"/>
      <c r="AH340" s="63"/>
      <c r="AI340" s="63"/>
      <c r="AJ340" s="63"/>
      <c r="AK340" s="63"/>
      <c r="AL340" s="63"/>
      <c r="AM340" s="63"/>
      <c r="AN340" s="63"/>
      <c r="AO340" s="63"/>
      <c r="AP340" s="63"/>
      <c r="AQ340" s="63"/>
      <c r="AR340" s="63"/>
      <c r="AS340" s="63"/>
      <c r="AT340" s="63"/>
    </row>
    <row r="341" spans="30:46" x14ac:dyDescent="0.3">
      <c r="AD341" s="63"/>
      <c r="AE341" s="63"/>
      <c r="AF341" s="63"/>
      <c r="AG341" s="63"/>
      <c r="AH341" s="63"/>
      <c r="AI341" s="63"/>
      <c r="AJ341" s="63"/>
      <c r="AK341" s="63"/>
      <c r="AL341" s="63"/>
      <c r="AM341" s="63"/>
      <c r="AN341" s="63"/>
      <c r="AO341" s="63"/>
      <c r="AP341" s="63"/>
      <c r="AQ341" s="63"/>
      <c r="AR341" s="63"/>
      <c r="AS341" s="63"/>
      <c r="AT341" s="63"/>
    </row>
    <row r="342" spans="30:46" x14ac:dyDescent="0.3">
      <c r="AD342" s="63"/>
      <c r="AE342" s="63"/>
      <c r="AF342" s="63"/>
      <c r="AG342" s="63"/>
      <c r="AH342" s="63"/>
      <c r="AI342" s="63"/>
      <c r="AJ342" s="63"/>
      <c r="AK342" s="63"/>
      <c r="AL342" s="63"/>
      <c r="AM342" s="63"/>
      <c r="AN342" s="63"/>
      <c r="AO342" s="63"/>
      <c r="AP342" s="63"/>
      <c r="AQ342" s="63"/>
      <c r="AR342" s="63"/>
      <c r="AS342" s="63"/>
      <c r="AT342" s="63"/>
    </row>
    <row r="343" spans="30:46" x14ac:dyDescent="0.3">
      <c r="AD343" s="63"/>
      <c r="AE343" s="63"/>
      <c r="AF343" s="63"/>
      <c r="AG343" s="63"/>
      <c r="AH343" s="63"/>
      <c r="AI343" s="63"/>
      <c r="AJ343" s="63"/>
      <c r="AK343" s="63"/>
      <c r="AL343" s="63"/>
      <c r="AM343" s="63"/>
      <c r="AN343" s="63"/>
      <c r="AO343" s="63"/>
      <c r="AP343" s="63"/>
      <c r="AQ343" s="63"/>
      <c r="AR343" s="63"/>
      <c r="AS343" s="63"/>
      <c r="AT343" s="63"/>
    </row>
    <row r="344" spans="30:46" x14ac:dyDescent="0.3">
      <c r="AD344" s="63"/>
      <c r="AE344" s="63"/>
      <c r="AF344" s="63"/>
      <c r="AG344" s="63"/>
      <c r="AH344" s="63"/>
      <c r="AI344" s="63"/>
      <c r="AJ344" s="63"/>
      <c r="AK344" s="63"/>
      <c r="AL344" s="63"/>
      <c r="AM344" s="63"/>
      <c r="AN344" s="63"/>
      <c r="AO344" s="63"/>
      <c r="AP344" s="63"/>
      <c r="AQ344" s="63"/>
      <c r="AR344" s="63"/>
      <c r="AS344" s="63"/>
      <c r="AT344" s="63"/>
    </row>
    <row r="345" spans="30:46" x14ac:dyDescent="0.3">
      <c r="AD345" s="63"/>
      <c r="AE345" s="63"/>
      <c r="AF345" s="63"/>
      <c r="AG345" s="63"/>
      <c r="AH345" s="63"/>
      <c r="AI345" s="63"/>
      <c r="AJ345" s="63"/>
      <c r="AK345" s="63"/>
      <c r="AL345" s="63"/>
      <c r="AM345" s="63"/>
      <c r="AN345" s="63"/>
      <c r="AO345" s="63"/>
      <c r="AP345" s="63"/>
      <c r="AQ345" s="63"/>
      <c r="AR345" s="63"/>
      <c r="AS345" s="63"/>
      <c r="AT345" s="63"/>
    </row>
    <row r="346" spans="30:46" x14ac:dyDescent="0.3">
      <c r="AD346" s="63"/>
      <c r="AE346" s="63"/>
      <c r="AF346" s="63"/>
      <c r="AG346" s="63"/>
      <c r="AH346" s="63"/>
      <c r="AI346" s="63"/>
      <c r="AJ346" s="63"/>
      <c r="AK346" s="63"/>
      <c r="AL346" s="63"/>
      <c r="AM346" s="63"/>
      <c r="AN346" s="63"/>
      <c r="AO346" s="63"/>
      <c r="AP346" s="63"/>
      <c r="AQ346" s="63"/>
      <c r="AR346" s="63"/>
      <c r="AS346" s="63"/>
      <c r="AT346" s="63"/>
    </row>
    <row r="347" spans="30:46" x14ac:dyDescent="0.3">
      <c r="AD347" s="63"/>
      <c r="AE347" s="63"/>
      <c r="AF347" s="63"/>
      <c r="AG347" s="63"/>
      <c r="AH347" s="63"/>
      <c r="AI347" s="63"/>
      <c r="AJ347" s="63"/>
      <c r="AK347" s="63"/>
      <c r="AL347" s="63"/>
      <c r="AM347" s="63"/>
      <c r="AN347" s="63"/>
      <c r="AO347" s="63"/>
      <c r="AP347" s="63"/>
      <c r="AQ347" s="63"/>
      <c r="AR347" s="63"/>
      <c r="AS347" s="63"/>
      <c r="AT347" s="63"/>
    </row>
    <row r="348" spans="30:46" x14ac:dyDescent="0.3">
      <c r="AD348" s="63"/>
      <c r="AE348" s="63"/>
      <c r="AF348" s="63"/>
      <c r="AG348" s="63"/>
      <c r="AH348" s="63"/>
      <c r="AI348" s="63"/>
      <c r="AJ348" s="63"/>
      <c r="AK348" s="63"/>
      <c r="AL348" s="63"/>
      <c r="AM348" s="63"/>
      <c r="AN348" s="63"/>
      <c r="AO348" s="63"/>
      <c r="AP348" s="63"/>
      <c r="AQ348" s="63"/>
      <c r="AR348" s="63"/>
      <c r="AS348" s="63"/>
      <c r="AT348" s="63"/>
    </row>
    <row r="349" spans="30:46" x14ac:dyDescent="0.3">
      <c r="AD349" s="63"/>
      <c r="AE349" s="63"/>
      <c r="AF349" s="63"/>
      <c r="AG349" s="63"/>
      <c r="AH349" s="63"/>
      <c r="AI349" s="63"/>
      <c r="AJ349" s="63"/>
      <c r="AK349" s="63"/>
      <c r="AL349" s="63"/>
      <c r="AM349" s="63"/>
      <c r="AN349" s="63"/>
      <c r="AO349" s="63"/>
      <c r="AP349" s="63"/>
      <c r="AQ349" s="63"/>
      <c r="AR349" s="63"/>
      <c r="AS349" s="63"/>
      <c r="AT349" s="63"/>
    </row>
    <row r="350" spans="30:46" x14ac:dyDescent="0.3">
      <c r="AD350" s="63"/>
      <c r="AE350" s="63"/>
      <c r="AF350" s="63"/>
      <c r="AG350" s="63"/>
      <c r="AH350" s="63"/>
      <c r="AI350" s="63"/>
      <c r="AJ350" s="63"/>
      <c r="AK350" s="63"/>
      <c r="AL350" s="63"/>
      <c r="AM350" s="63"/>
      <c r="AN350" s="63"/>
      <c r="AO350" s="63"/>
      <c r="AP350" s="63"/>
      <c r="AQ350" s="63"/>
      <c r="AR350" s="63"/>
      <c r="AS350" s="63"/>
      <c r="AT350" s="63"/>
    </row>
    <row r="351" spans="30:46" x14ac:dyDescent="0.3">
      <c r="AD351" s="63"/>
      <c r="AE351" s="63"/>
      <c r="AF351" s="63"/>
      <c r="AG351" s="63"/>
      <c r="AH351" s="63"/>
      <c r="AI351" s="63"/>
      <c r="AJ351" s="63"/>
      <c r="AK351" s="63"/>
      <c r="AL351" s="63"/>
      <c r="AM351" s="63"/>
      <c r="AN351" s="63"/>
      <c r="AO351" s="63"/>
      <c r="AP351" s="63"/>
      <c r="AQ351" s="63"/>
      <c r="AR351" s="63"/>
      <c r="AS351" s="63"/>
      <c r="AT351" s="63"/>
    </row>
    <row r="352" spans="30:46" x14ac:dyDescent="0.3">
      <c r="AD352" s="63"/>
      <c r="AE352" s="63"/>
      <c r="AF352" s="63"/>
      <c r="AG352" s="63"/>
      <c r="AH352" s="63"/>
      <c r="AI352" s="63"/>
      <c r="AJ352" s="63"/>
      <c r="AK352" s="63"/>
      <c r="AL352" s="63"/>
      <c r="AM352" s="63"/>
      <c r="AN352" s="63"/>
      <c r="AO352" s="63"/>
      <c r="AP352" s="63"/>
      <c r="AQ352" s="63"/>
      <c r="AR352" s="63"/>
      <c r="AS352" s="63"/>
      <c r="AT352" s="63"/>
    </row>
    <row r="353" spans="30:46" x14ac:dyDescent="0.3">
      <c r="AD353" s="63"/>
      <c r="AE353" s="63"/>
      <c r="AF353" s="63"/>
      <c r="AG353" s="63"/>
      <c r="AH353" s="63"/>
      <c r="AI353" s="63"/>
      <c r="AJ353" s="63"/>
      <c r="AK353" s="63"/>
      <c r="AL353" s="63"/>
      <c r="AM353" s="63"/>
      <c r="AN353" s="63"/>
      <c r="AO353" s="63"/>
      <c r="AP353" s="63"/>
      <c r="AQ353" s="63"/>
      <c r="AR353" s="63"/>
      <c r="AS353" s="63"/>
      <c r="AT353" s="63"/>
    </row>
    <row r="354" spans="30:46" x14ac:dyDescent="0.3">
      <c r="AD354" s="63"/>
      <c r="AE354" s="63"/>
      <c r="AF354" s="63"/>
      <c r="AG354" s="63"/>
      <c r="AH354" s="63"/>
      <c r="AI354" s="63"/>
      <c r="AJ354" s="63"/>
      <c r="AK354" s="63"/>
      <c r="AL354" s="63"/>
      <c r="AM354" s="63"/>
      <c r="AN354" s="63"/>
      <c r="AO354" s="63"/>
      <c r="AP354" s="63"/>
      <c r="AQ354" s="63"/>
      <c r="AR354" s="63"/>
      <c r="AS354" s="63"/>
      <c r="AT354" s="63"/>
    </row>
    <row r="355" spans="30:46" x14ac:dyDescent="0.3">
      <c r="AD355" s="63"/>
      <c r="AE355" s="63"/>
      <c r="AF355" s="63"/>
      <c r="AG355" s="63"/>
      <c r="AH355" s="63"/>
      <c r="AI355" s="63"/>
      <c r="AJ355" s="63"/>
      <c r="AK355" s="63"/>
      <c r="AL355" s="63"/>
      <c r="AM355" s="63"/>
      <c r="AN355" s="63"/>
      <c r="AO355" s="63"/>
      <c r="AP355" s="63"/>
      <c r="AQ355" s="63"/>
      <c r="AR355" s="63"/>
      <c r="AS355" s="63"/>
      <c r="AT355" s="63"/>
    </row>
    <row r="356" spans="30:46" x14ac:dyDescent="0.3">
      <c r="AD356" s="63"/>
      <c r="AE356" s="63"/>
      <c r="AF356" s="63"/>
      <c r="AG356" s="63"/>
      <c r="AH356" s="63"/>
      <c r="AI356" s="63"/>
      <c r="AJ356" s="63"/>
      <c r="AK356" s="63"/>
      <c r="AL356" s="63"/>
      <c r="AM356" s="63"/>
      <c r="AN356" s="63"/>
      <c r="AO356" s="63"/>
      <c r="AP356" s="63"/>
      <c r="AQ356" s="63"/>
      <c r="AR356" s="63"/>
      <c r="AS356" s="63"/>
      <c r="AT356" s="63"/>
    </row>
    <row r="357" spans="30:46" x14ac:dyDescent="0.3">
      <c r="AD357" s="63"/>
      <c r="AE357" s="63"/>
      <c r="AF357" s="63"/>
      <c r="AG357" s="63"/>
      <c r="AH357" s="63"/>
      <c r="AI357" s="63"/>
      <c r="AJ357" s="63"/>
      <c r="AK357" s="63"/>
      <c r="AL357" s="63"/>
      <c r="AM357" s="63"/>
      <c r="AN357" s="63"/>
      <c r="AO357" s="63"/>
      <c r="AP357" s="63"/>
      <c r="AQ357" s="63"/>
      <c r="AR357" s="63"/>
      <c r="AS357" s="63"/>
      <c r="AT357" s="63"/>
    </row>
    <row r="358" spans="30:46" x14ac:dyDescent="0.3">
      <c r="AD358" s="63"/>
      <c r="AE358" s="63"/>
      <c r="AF358" s="63"/>
      <c r="AG358" s="63"/>
      <c r="AH358" s="63"/>
      <c r="AI358" s="63"/>
      <c r="AJ358" s="63"/>
      <c r="AK358" s="63"/>
      <c r="AL358" s="63"/>
      <c r="AM358" s="63"/>
      <c r="AN358" s="63"/>
      <c r="AO358" s="63"/>
      <c r="AP358" s="63"/>
      <c r="AQ358" s="63"/>
      <c r="AR358" s="63"/>
      <c r="AS358" s="63"/>
      <c r="AT358" s="63"/>
    </row>
    <row r="359" spans="30:46" x14ac:dyDescent="0.3">
      <c r="AD359" s="63"/>
      <c r="AE359" s="63"/>
      <c r="AF359" s="63"/>
      <c r="AG359" s="63"/>
      <c r="AH359" s="63"/>
      <c r="AI359" s="63"/>
      <c r="AJ359" s="63"/>
      <c r="AK359" s="63"/>
      <c r="AL359" s="63"/>
      <c r="AM359" s="63"/>
      <c r="AN359" s="63"/>
      <c r="AO359" s="63"/>
      <c r="AP359" s="63"/>
      <c r="AQ359" s="63"/>
      <c r="AR359" s="63"/>
      <c r="AS359" s="63"/>
      <c r="AT359" s="63"/>
    </row>
    <row r="360" spans="30:46" x14ac:dyDescent="0.3">
      <c r="AD360" s="63"/>
      <c r="AE360" s="63"/>
      <c r="AF360" s="63"/>
      <c r="AG360" s="63"/>
      <c r="AH360" s="63"/>
      <c r="AI360" s="63"/>
      <c r="AJ360" s="63"/>
      <c r="AK360" s="63"/>
      <c r="AL360" s="63"/>
      <c r="AM360" s="63"/>
      <c r="AN360" s="63"/>
      <c r="AO360" s="63"/>
      <c r="AP360" s="63"/>
      <c r="AQ360" s="63"/>
      <c r="AR360" s="63"/>
      <c r="AS360" s="63"/>
      <c r="AT360" s="63"/>
    </row>
    <row r="361" spans="30:46" x14ac:dyDescent="0.3">
      <c r="AD361" s="63"/>
      <c r="AE361" s="63"/>
      <c r="AF361" s="63"/>
      <c r="AG361" s="63"/>
      <c r="AH361" s="63"/>
      <c r="AI361" s="63"/>
      <c r="AJ361" s="63"/>
      <c r="AK361" s="63"/>
      <c r="AL361" s="63"/>
      <c r="AM361" s="63"/>
      <c r="AN361" s="63"/>
      <c r="AO361" s="63"/>
      <c r="AP361" s="63"/>
      <c r="AQ361" s="63"/>
      <c r="AR361" s="63"/>
      <c r="AS361" s="63"/>
      <c r="AT361" s="63"/>
    </row>
    <row r="362" spans="30:46" x14ac:dyDescent="0.3">
      <c r="AD362" s="63"/>
      <c r="AE362" s="63"/>
      <c r="AF362" s="63"/>
      <c r="AG362" s="63"/>
      <c r="AH362" s="63"/>
      <c r="AI362" s="63"/>
      <c r="AJ362" s="63"/>
      <c r="AK362" s="63"/>
      <c r="AL362" s="63"/>
      <c r="AM362" s="63"/>
      <c r="AN362" s="63"/>
      <c r="AO362" s="63"/>
      <c r="AP362" s="63"/>
      <c r="AQ362" s="63"/>
      <c r="AR362" s="63"/>
      <c r="AS362" s="63"/>
      <c r="AT362" s="63"/>
    </row>
    <row r="363" spans="30:46" x14ac:dyDescent="0.3">
      <c r="AD363" s="63"/>
      <c r="AE363" s="63"/>
      <c r="AF363" s="63"/>
      <c r="AG363" s="63"/>
      <c r="AH363" s="63"/>
      <c r="AI363" s="63"/>
      <c r="AJ363" s="63"/>
      <c r="AK363" s="63"/>
      <c r="AL363" s="63"/>
      <c r="AM363" s="63"/>
      <c r="AN363" s="63"/>
      <c r="AO363" s="63"/>
      <c r="AP363" s="63"/>
      <c r="AQ363" s="63"/>
      <c r="AR363" s="63"/>
      <c r="AS363" s="63"/>
      <c r="AT363" s="63"/>
    </row>
    <row r="364" spans="30:46" x14ac:dyDescent="0.3">
      <c r="AD364" s="63"/>
      <c r="AE364" s="63"/>
      <c r="AF364" s="63"/>
      <c r="AG364" s="63"/>
      <c r="AH364" s="63"/>
      <c r="AI364" s="63"/>
      <c r="AJ364" s="63"/>
      <c r="AK364" s="63"/>
      <c r="AL364" s="63"/>
      <c r="AM364" s="63"/>
      <c r="AN364" s="63"/>
      <c r="AO364" s="63"/>
      <c r="AP364" s="63"/>
      <c r="AQ364" s="63"/>
      <c r="AR364" s="63"/>
      <c r="AS364" s="63"/>
      <c r="AT364" s="63"/>
    </row>
    <row r="365" spans="30:46" x14ac:dyDescent="0.3">
      <c r="AD365" s="63"/>
      <c r="AE365" s="63"/>
      <c r="AF365" s="63"/>
      <c r="AG365" s="63"/>
      <c r="AH365" s="63"/>
      <c r="AI365" s="63"/>
      <c r="AJ365" s="63"/>
      <c r="AK365" s="63"/>
      <c r="AL365" s="63"/>
      <c r="AM365" s="63"/>
      <c r="AN365" s="63"/>
      <c r="AO365" s="63"/>
      <c r="AP365" s="63"/>
      <c r="AQ365" s="63"/>
      <c r="AR365" s="63"/>
      <c r="AS365" s="63"/>
      <c r="AT365" s="63"/>
    </row>
    <row r="366" spans="30:46" x14ac:dyDescent="0.3">
      <c r="AD366" s="63"/>
      <c r="AE366" s="63"/>
      <c r="AF366" s="63"/>
      <c r="AG366" s="63"/>
      <c r="AH366" s="63"/>
      <c r="AI366" s="63"/>
      <c r="AJ366" s="63"/>
      <c r="AK366" s="63"/>
      <c r="AL366" s="63"/>
      <c r="AM366" s="63"/>
      <c r="AN366" s="63"/>
      <c r="AO366" s="63"/>
      <c r="AP366" s="63"/>
      <c r="AQ366" s="63"/>
      <c r="AR366" s="63"/>
      <c r="AS366" s="63"/>
      <c r="AT366" s="63"/>
    </row>
    <row r="367" spans="30:46" x14ac:dyDescent="0.3">
      <c r="AD367" s="63"/>
      <c r="AE367" s="63"/>
      <c r="AF367" s="63"/>
      <c r="AG367" s="63"/>
      <c r="AH367" s="63"/>
      <c r="AI367" s="63"/>
      <c r="AJ367" s="63"/>
      <c r="AK367" s="63"/>
      <c r="AL367" s="63"/>
      <c r="AM367" s="63"/>
      <c r="AN367" s="63"/>
      <c r="AO367" s="63"/>
      <c r="AP367" s="63"/>
      <c r="AQ367" s="63"/>
      <c r="AR367" s="63"/>
      <c r="AS367" s="63"/>
      <c r="AT367" s="63"/>
    </row>
    <row r="368" spans="30:46" x14ac:dyDescent="0.3">
      <c r="AD368" s="63"/>
      <c r="AE368" s="63"/>
      <c r="AF368" s="63"/>
      <c r="AG368" s="63"/>
      <c r="AH368" s="63"/>
      <c r="AI368" s="63"/>
      <c r="AJ368" s="63"/>
      <c r="AK368" s="63"/>
      <c r="AL368" s="63"/>
      <c r="AM368" s="63"/>
      <c r="AN368" s="63"/>
      <c r="AO368" s="63"/>
      <c r="AP368" s="63"/>
      <c r="AQ368" s="63"/>
      <c r="AR368" s="63"/>
      <c r="AS368" s="63"/>
      <c r="AT368" s="63"/>
    </row>
    <row r="369" spans="30:46" x14ac:dyDescent="0.3">
      <c r="AD369" s="63"/>
      <c r="AE369" s="63"/>
      <c r="AF369" s="63"/>
      <c r="AG369" s="63"/>
      <c r="AH369" s="63"/>
      <c r="AI369" s="63"/>
      <c r="AJ369" s="63"/>
      <c r="AK369" s="63"/>
      <c r="AL369" s="63"/>
      <c r="AM369" s="63"/>
      <c r="AN369" s="63"/>
      <c r="AO369" s="63"/>
      <c r="AP369" s="63"/>
      <c r="AQ369" s="63"/>
      <c r="AR369" s="63"/>
      <c r="AS369" s="63"/>
      <c r="AT369" s="63"/>
    </row>
    <row r="370" spans="30:46" x14ac:dyDescent="0.3">
      <c r="AD370" s="63"/>
      <c r="AE370" s="63"/>
      <c r="AF370" s="63"/>
      <c r="AG370" s="63"/>
      <c r="AH370" s="63"/>
      <c r="AI370" s="63"/>
      <c r="AJ370" s="63"/>
      <c r="AK370" s="63"/>
      <c r="AL370" s="63"/>
      <c r="AM370" s="63"/>
      <c r="AN370" s="63"/>
      <c r="AO370" s="63"/>
      <c r="AP370" s="63"/>
      <c r="AQ370" s="63"/>
      <c r="AR370" s="63"/>
      <c r="AS370" s="63"/>
      <c r="AT370" s="63"/>
    </row>
    <row r="371" spans="30:46" x14ac:dyDescent="0.3">
      <c r="AD371" s="63"/>
      <c r="AE371" s="63"/>
      <c r="AF371" s="63"/>
      <c r="AG371" s="63"/>
      <c r="AH371" s="63"/>
      <c r="AI371" s="63"/>
      <c r="AJ371" s="63"/>
      <c r="AK371" s="63"/>
      <c r="AL371" s="63"/>
      <c r="AM371" s="63"/>
      <c r="AN371" s="63"/>
      <c r="AO371" s="63"/>
      <c r="AP371" s="63"/>
      <c r="AQ371" s="63"/>
      <c r="AR371" s="63"/>
      <c r="AS371" s="63"/>
      <c r="AT371" s="63"/>
    </row>
    <row r="372" spans="30:46" x14ac:dyDescent="0.3">
      <c r="AD372" s="63"/>
      <c r="AE372" s="63"/>
      <c r="AF372" s="63"/>
      <c r="AG372" s="63"/>
      <c r="AH372" s="63"/>
      <c r="AI372" s="63"/>
      <c r="AJ372" s="63"/>
      <c r="AK372" s="63"/>
      <c r="AL372" s="63"/>
      <c r="AM372" s="63"/>
      <c r="AN372" s="63"/>
      <c r="AO372" s="63"/>
      <c r="AP372" s="63"/>
      <c r="AQ372" s="63"/>
      <c r="AR372" s="63"/>
      <c r="AS372" s="63"/>
      <c r="AT372" s="63"/>
    </row>
    <row r="373" spans="30:46" x14ac:dyDescent="0.3">
      <c r="AD373" s="63"/>
      <c r="AE373" s="63"/>
      <c r="AF373" s="63"/>
      <c r="AG373" s="63"/>
      <c r="AH373" s="63"/>
      <c r="AI373" s="63"/>
      <c r="AJ373" s="63"/>
      <c r="AK373" s="63"/>
      <c r="AL373" s="63"/>
      <c r="AM373" s="63"/>
      <c r="AN373" s="63"/>
      <c r="AO373" s="63"/>
      <c r="AP373" s="63"/>
      <c r="AQ373" s="63"/>
      <c r="AR373" s="63"/>
      <c r="AS373" s="63"/>
      <c r="AT373" s="63"/>
    </row>
    <row r="374" spans="30:46" x14ac:dyDescent="0.3">
      <c r="AD374" s="63"/>
      <c r="AE374" s="63"/>
      <c r="AF374" s="63"/>
      <c r="AG374" s="63"/>
      <c r="AH374" s="63"/>
      <c r="AI374" s="63"/>
      <c r="AJ374" s="63"/>
      <c r="AK374" s="63"/>
      <c r="AL374" s="63"/>
      <c r="AM374" s="63"/>
      <c r="AN374" s="63"/>
      <c r="AO374" s="63"/>
      <c r="AP374" s="63"/>
      <c r="AQ374" s="63"/>
      <c r="AR374" s="63"/>
      <c r="AS374" s="63"/>
      <c r="AT374" s="63"/>
    </row>
    <row r="375" spans="30:46" x14ac:dyDescent="0.3">
      <c r="AD375" s="63"/>
      <c r="AE375" s="63"/>
      <c r="AF375" s="63"/>
      <c r="AG375" s="63"/>
      <c r="AH375" s="63"/>
      <c r="AI375" s="63"/>
      <c r="AJ375" s="63"/>
      <c r="AK375" s="63"/>
      <c r="AL375" s="63"/>
      <c r="AM375" s="63"/>
      <c r="AN375" s="63"/>
      <c r="AO375" s="63"/>
      <c r="AP375" s="63"/>
      <c r="AQ375" s="63"/>
      <c r="AR375" s="63"/>
      <c r="AS375" s="63"/>
      <c r="AT375" s="63"/>
    </row>
    <row r="376" spans="30:46" x14ac:dyDescent="0.3">
      <c r="AD376" s="63"/>
      <c r="AE376" s="63"/>
      <c r="AF376" s="63"/>
      <c r="AG376" s="63"/>
      <c r="AH376" s="63"/>
      <c r="AI376" s="63"/>
      <c r="AJ376" s="63"/>
      <c r="AK376" s="63"/>
      <c r="AL376" s="63"/>
      <c r="AM376" s="63"/>
      <c r="AN376" s="63"/>
      <c r="AO376" s="63"/>
      <c r="AP376" s="63"/>
      <c r="AQ376" s="63"/>
      <c r="AR376" s="63"/>
      <c r="AS376" s="63"/>
      <c r="AT376" s="63"/>
    </row>
    <row r="377" spans="30:46" x14ac:dyDescent="0.3">
      <c r="AD377" s="63"/>
      <c r="AE377" s="63"/>
      <c r="AF377" s="63"/>
      <c r="AG377" s="63"/>
      <c r="AH377" s="63"/>
      <c r="AI377" s="63"/>
      <c r="AJ377" s="63"/>
      <c r="AK377" s="63"/>
      <c r="AL377" s="63"/>
      <c r="AM377" s="63"/>
      <c r="AN377" s="63"/>
      <c r="AO377" s="63"/>
      <c r="AP377" s="63"/>
      <c r="AQ377" s="63"/>
      <c r="AR377" s="63"/>
      <c r="AS377" s="63"/>
      <c r="AT377" s="63"/>
    </row>
    <row r="378" spans="30:46" x14ac:dyDescent="0.3">
      <c r="AD378" s="63"/>
      <c r="AE378" s="63"/>
      <c r="AF378" s="63"/>
      <c r="AG378" s="63"/>
      <c r="AH378" s="63"/>
      <c r="AI378" s="63"/>
      <c r="AJ378" s="63"/>
      <c r="AK378" s="63"/>
      <c r="AL378" s="63"/>
      <c r="AM378" s="63"/>
      <c r="AN378" s="63"/>
      <c r="AO378" s="63"/>
      <c r="AP378" s="63"/>
      <c r="AQ378" s="63"/>
      <c r="AR378" s="63"/>
      <c r="AS378" s="63"/>
      <c r="AT378" s="63"/>
    </row>
    <row r="379" spans="30:46" x14ac:dyDescent="0.3">
      <c r="AD379" s="63"/>
      <c r="AE379" s="63"/>
      <c r="AF379" s="63"/>
      <c r="AG379" s="63"/>
      <c r="AH379" s="63"/>
      <c r="AI379" s="63"/>
      <c r="AJ379" s="63"/>
      <c r="AK379" s="63"/>
      <c r="AL379" s="63"/>
      <c r="AM379" s="63"/>
      <c r="AN379" s="63"/>
      <c r="AO379" s="63"/>
      <c r="AP379" s="63"/>
      <c r="AQ379" s="63"/>
      <c r="AR379" s="63"/>
      <c r="AS379" s="63"/>
      <c r="AT379" s="63"/>
    </row>
    <row r="380" spans="30:46" x14ac:dyDescent="0.3">
      <c r="AD380" s="63"/>
      <c r="AE380" s="63"/>
      <c r="AF380" s="63"/>
      <c r="AG380" s="63"/>
      <c r="AH380" s="63"/>
      <c r="AI380" s="63"/>
      <c r="AJ380" s="63"/>
      <c r="AK380" s="63"/>
      <c r="AL380" s="63"/>
      <c r="AM380" s="63"/>
      <c r="AN380" s="63"/>
      <c r="AO380" s="63"/>
      <c r="AP380" s="63"/>
      <c r="AQ380" s="63"/>
      <c r="AR380" s="63"/>
      <c r="AS380" s="63"/>
      <c r="AT380" s="63"/>
    </row>
    <row r="381" spans="30:46" x14ac:dyDescent="0.3">
      <c r="AD381" s="63"/>
      <c r="AE381" s="63"/>
      <c r="AF381" s="63"/>
      <c r="AG381" s="63"/>
      <c r="AH381" s="63"/>
      <c r="AI381" s="63"/>
      <c r="AJ381" s="63"/>
      <c r="AK381" s="63"/>
      <c r="AL381" s="63"/>
      <c r="AM381" s="63"/>
      <c r="AN381" s="63"/>
      <c r="AO381" s="63"/>
      <c r="AP381" s="63"/>
      <c r="AQ381" s="63"/>
      <c r="AR381" s="63"/>
      <c r="AS381" s="63"/>
      <c r="AT381" s="63"/>
    </row>
    <row r="382" spans="30:46" x14ac:dyDescent="0.3">
      <c r="AD382" s="63"/>
      <c r="AE382" s="63"/>
      <c r="AF382" s="63"/>
      <c r="AG382" s="63"/>
      <c r="AH382" s="63"/>
      <c r="AI382" s="63"/>
      <c r="AJ382" s="63"/>
      <c r="AK382" s="63"/>
      <c r="AL382" s="63"/>
      <c r="AM382" s="63"/>
      <c r="AN382" s="63"/>
      <c r="AO382" s="63"/>
      <c r="AP382" s="63"/>
      <c r="AQ382" s="63"/>
      <c r="AR382" s="63"/>
      <c r="AS382" s="63"/>
      <c r="AT382" s="63"/>
    </row>
    <row r="383" spans="30:46" x14ac:dyDescent="0.3">
      <c r="AD383" s="63"/>
      <c r="AE383" s="63"/>
      <c r="AF383" s="63"/>
      <c r="AG383" s="63"/>
      <c r="AH383" s="63"/>
      <c r="AI383" s="63"/>
      <c r="AJ383" s="63"/>
      <c r="AK383" s="63"/>
      <c r="AL383" s="63"/>
      <c r="AM383" s="63"/>
      <c r="AN383" s="63"/>
      <c r="AO383" s="63"/>
      <c r="AP383" s="63"/>
      <c r="AQ383" s="63"/>
      <c r="AR383" s="63"/>
      <c r="AS383" s="63"/>
      <c r="AT383" s="63"/>
    </row>
    <row r="384" spans="30:46" x14ac:dyDescent="0.3">
      <c r="AD384" s="63"/>
      <c r="AE384" s="63"/>
      <c r="AF384" s="63"/>
      <c r="AG384" s="63"/>
      <c r="AH384" s="63"/>
      <c r="AI384" s="63"/>
      <c r="AJ384" s="63"/>
      <c r="AK384" s="63"/>
      <c r="AL384" s="63"/>
      <c r="AM384" s="63"/>
      <c r="AN384" s="63"/>
      <c r="AO384" s="63"/>
      <c r="AP384" s="63"/>
      <c r="AQ384" s="63"/>
      <c r="AR384" s="63"/>
      <c r="AS384" s="63"/>
      <c r="AT384" s="63"/>
    </row>
    <row r="385" spans="30:46" x14ac:dyDescent="0.3">
      <c r="AD385" s="63"/>
      <c r="AE385" s="63"/>
      <c r="AF385" s="63"/>
      <c r="AG385" s="63"/>
      <c r="AH385" s="63"/>
      <c r="AI385" s="63"/>
      <c r="AJ385" s="63"/>
      <c r="AK385" s="63"/>
      <c r="AL385" s="63"/>
      <c r="AM385" s="63"/>
      <c r="AN385" s="63"/>
      <c r="AO385" s="63"/>
      <c r="AP385" s="63"/>
      <c r="AQ385" s="63"/>
      <c r="AR385" s="63"/>
      <c r="AS385" s="63"/>
      <c r="AT385" s="63"/>
    </row>
    <row r="386" spans="30:46" x14ac:dyDescent="0.3">
      <c r="AD386" s="63"/>
      <c r="AE386" s="63"/>
      <c r="AF386" s="63"/>
      <c r="AG386" s="63"/>
      <c r="AH386" s="63"/>
      <c r="AI386" s="63"/>
      <c r="AJ386" s="63"/>
      <c r="AK386" s="63"/>
      <c r="AL386" s="63"/>
      <c r="AM386" s="63"/>
      <c r="AN386" s="63"/>
      <c r="AO386" s="63"/>
      <c r="AP386" s="63"/>
      <c r="AQ386" s="63"/>
      <c r="AR386" s="63"/>
      <c r="AS386" s="63"/>
      <c r="AT386" s="63"/>
    </row>
    <row r="387" spans="30:46" x14ac:dyDescent="0.3">
      <c r="AD387" s="63"/>
      <c r="AE387" s="63"/>
      <c r="AF387" s="63"/>
      <c r="AG387" s="63"/>
      <c r="AH387" s="63"/>
      <c r="AI387" s="63"/>
      <c r="AJ387" s="63"/>
      <c r="AK387" s="63"/>
      <c r="AL387" s="63"/>
      <c r="AM387" s="63"/>
      <c r="AN387" s="63"/>
      <c r="AO387" s="63"/>
      <c r="AP387" s="63"/>
      <c r="AQ387" s="63"/>
      <c r="AR387" s="63"/>
      <c r="AS387" s="63"/>
      <c r="AT387" s="63"/>
    </row>
    <row r="388" spans="30:46" x14ac:dyDescent="0.3">
      <c r="AD388" s="63"/>
      <c r="AE388" s="63"/>
      <c r="AF388" s="63"/>
      <c r="AG388" s="63"/>
      <c r="AH388" s="63"/>
      <c r="AI388" s="63"/>
      <c r="AJ388" s="63"/>
      <c r="AK388" s="63"/>
      <c r="AL388" s="63"/>
      <c r="AM388" s="63"/>
      <c r="AN388" s="63"/>
      <c r="AO388" s="63"/>
      <c r="AP388" s="63"/>
      <c r="AQ388" s="63"/>
      <c r="AR388" s="63"/>
      <c r="AS388" s="63"/>
      <c r="AT388" s="63"/>
    </row>
    <row r="389" spans="30:46" x14ac:dyDescent="0.3">
      <c r="AD389" s="63"/>
      <c r="AE389" s="63"/>
      <c r="AF389" s="63"/>
      <c r="AG389" s="63"/>
      <c r="AH389" s="63"/>
      <c r="AI389" s="63"/>
      <c r="AJ389" s="63"/>
      <c r="AK389" s="63"/>
      <c r="AL389" s="63"/>
      <c r="AM389" s="63"/>
      <c r="AN389" s="63"/>
      <c r="AO389" s="63"/>
      <c r="AP389" s="63"/>
      <c r="AQ389" s="63"/>
      <c r="AR389" s="63"/>
      <c r="AS389" s="63"/>
      <c r="AT389" s="63"/>
    </row>
    <row r="390" spans="30:46" x14ac:dyDescent="0.3">
      <c r="AD390" s="63"/>
      <c r="AE390" s="63"/>
      <c r="AF390" s="63"/>
      <c r="AG390" s="63"/>
      <c r="AH390" s="63"/>
      <c r="AI390" s="63"/>
      <c r="AJ390" s="63"/>
      <c r="AK390" s="63"/>
      <c r="AL390" s="63"/>
      <c r="AM390" s="63"/>
      <c r="AN390" s="63"/>
      <c r="AO390" s="63"/>
      <c r="AP390" s="63"/>
      <c r="AQ390" s="63"/>
      <c r="AR390" s="63"/>
      <c r="AS390" s="63"/>
      <c r="AT390" s="63"/>
    </row>
    <row r="391" spans="30:46" x14ac:dyDescent="0.3">
      <c r="AD391" s="63"/>
      <c r="AE391" s="63"/>
      <c r="AF391" s="63"/>
      <c r="AG391" s="63"/>
      <c r="AH391" s="63"/>
      <c r="AI391" s="63"/>
      <c r="AJ391" s="63"/>
      <c r="AK391" s="63"/>
      <c r="AL391" s="63"/>
      <c r="AM391" s="63"/>
      <c r="AN391" s="63"/>
      <c r="AO391" s="63"/>
      <c r="AP391" s="63"/>
      <c r="AQ391" s="63"/>
      <c r="AR391" s="63"/>
      <c r="AS391" s="63"/>
      <c r="AT391" s="63"/>
    </row>
    <row r="392" spans="30:46" x14ac:dyDescent="0.3">
      <c r="AD392" s="63"/>
      <c r="AE392" s="63"/>
      <c r="AF392" s="63"/>
      <c r="AG392" s="63"/>
      <c r="AH392" s="63"/>
      <c r="AI392" s="63"/>
      <c r="AJ392" s="63"/>
      <c r="AK392" s="63"/>
      <c r="AL392" s="63"/>
      <c r="AM392" s="63"/>
      <c r="AN392" s="63"/>
      <c r="AO392" s="63"/>
      <c r="AP392" s="63"/>
      <c r="AQ392" s="63"/>
      <c r="AR392" s="63"/>
      <c r="AS392" s="63"/>
      <c r="AT392" s="63"/>
    </row>
    <row r="393" spans="30:46" x14ac:dyDescent="0.3">
      <c r="AD393" s="63"/>
      <c r="AE393" s="63"/>
      <c r="AF393" s="63"/>
      <c r="AG393" s="63"/>
      <c r="AH393" s="63"/>
      <c r="AI393" s="63"/>
      <c r="AJ393" s="63"/>
      <c r="AK393" s="63"/>
      <c r="AL393" s="63"/>
      <c r="AM393" s="63"/>
      <c r="AN393" s="63"/>
      <c r="AO393" s="63"/>
      <c r="AP393" s="63"/>
      <c r="AQ393" s="63"/>
      <c r="AR393" s="63"/>
      <c r="AS393" s="63"/>
      <c r="AT393" s="63"/>
    </row>
    <row r="394" spans="30:46" x14ac:dyDescent="0.3">
      <c r="AD394" s="63"/>
      <c r="AE394" s="63"/>
      <c r="AF394" s="63"/>
      <c r="AG394" s="63"/>
      <c r="AH394" s="63"/>
      <c r="AI394" s="63"/>
      <c r="AJ394" s="63"/>
      <c r="AK394" s="63"/>
      <c r="AL394" s="63"/>
      <c r="AM394" s="63"/>
      <c r="AN394" s="63"/>
      <c r="AO394" s="63"/>
      <c r="AP394" s="63"/>
      <c r="AQ394" s="63"/>
      <c r="AR394" s="63"/>
      <c r="AS394" s="63"/>
      <c r="AT394" s="63"/>
    </row>
    <row r="395" spans="30:46" x14ac:dyDescent="0.3">
      <c r="AD395" s="63"/>
      <c r="AE395" s="63"/>
      <c r="AF395" s="63"/>
      <c r="AG395" s="63"/>
      <c r="AH395" s="63"/>
      <c r="AI395" s="63"/>
      <c r="AJ395" s="63"/>
      <c r="AK395" s="63"/>
      <c r="AL395" s="63"/>
      <c r="AM395" s="63"/>
      <c r="AN395" s="63"/>
      <c r="AO395" s="63"/>
      <c r="AP395" s="63"/>
      <c r="AQ395" s="63"/>
      <c r="AR395" s="63"/>
      <c r="AS395" s="63"/>
      <c r="AT395" s="63"/>
    </row>
    <row r="396" spans="30:46" x14ac:dyDescent="0.3">
      <c r="AD396" s="63"/>
      <c r="AE396" s="63"/>
      <c r="AF396" s="63"/>
      <c r="AG396" s="63"/>
      <c r="AH396" s="63"/>
      <c r="AI396" s="63"/>
      <c r="AJ396" s="63"/>
      <c r="AK396" s="63"/>
      <c r="AL396" s="63"/>
      <c r="AM396" s="63"/>
      <c r="AN396" s="63"/>
      <c r="AO396" s="63"/>
      <c r="AP396" s="63"/>
      <c r="AQ396" s="63"/>
      <c r="AR396" s="63"/>
      <c r="AS396" s="63"/>
      <c r="AT396" s="63"/>
    </row>
    <row r="397" spans="30:46" x14ac:dyDescent="0.3">
      <c r="AD397" s="63"/>
      <c r="AE397" s="63"/>
      <c r="AF397" s="63"/>
      <c r="AG397" s="63"/>
      <c r="AH397" s="63"/>
      <c r="AI397" s="63"/>
      <c r="AJ397" s="63"/>
      <c r="AK397" s="63"/>
      <c r="AL397" s="63"/>
      <c r="AM397" s="63"/>
      <c r="AN397" s="63"/>
      <c r="AO397" s="63"/>
      <c r="AP397" s="63"/>
      <c r="AQ397" s="63"/>
      <c r="AR397" s="63"/>
      <c r="AS397" s="63"/>
      <c r="AT397" s="63"/>
    </row>
    <row r="398" spans="30:46" x14ac:dyDescent="0.3">
      <c r="AD398" s="63"/>
      <c r="AE398" s="63"/>
      <c r="AF398" s="63"/>
      <c r="AG398" s="63"/>
      <c r="AH398" s="63"/>
      <c r="AI398" s="63"/>
      <c r="AJ398" s="63"/>
      <c r="AK398" s="63"/>
      <c r="AL398" s="63"/>
      <c r="AM398" s="63"/>
      <c r="AN398" s="63"/>
      <c r="AO398" s="63"/>
      <c r="AP398" s="63"/>
      <c r="AQ398" s="63"/>
      <c r="AR398" s="63"/>
      <c r="AS398" s="63"/>
      <c r="AT398" s="63"/>
    </row>
  </sheetData>
  <mergeCells count="1">
    <mergeCell ref="A1:AG19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33D53-E1E2-404A-B6CF-C394A8F8E29B}">
  <dimension ref="A1:AO373"/>
  <sheetViews>
    <sheetView topLeftCell="AM1" zoomScale="97" zoomScaleNormal="145" workbookViewId="0">
      <selection activeCell="AT13" sqref="AT13"/>
    </sheetView>
  </sheetViews>
  <sheetFormatPr defaultRowHeight="14.4" x14ac:dyDescent="0.3"/>
  <cols>
    <col min="1" max="1" width="11.5546875" bestFit="1" customWidth="1"/>
    <col min="2" max="2" width="7.109375" bestFit="1" customWidth="1"/>
    <col min="3" max="3" width="10.33203125" bestFit="1" customWidth="1"/>
    <col min="4" max="4" width="23.21875" bestFit="1" customWidth="1"/>
    <col min="5" max="5" width="10.6640625" bestFit="1" customWidth="1"/>
    <col min="6" max="6" width="16.88671875" bestFit="1" customWidth="1"/>
    <col min="7" max="7" width="21.6640625" bestFit="1" customWidth="1"/>
    <col min="8" max="8" width="15.21875" bestFit="1" customWidth="1"/>
    <col min="9" max="9" width="6.44140625" bestFit="1" customWidth="1"/>
    <col min="10" max="10" width="19.109375" bestFit="1" customWidth="1"/>
    <col min="11" max="11" width="13.88671875" bestFit="1" customWidth="1"/>
    <col min="12" max="12" width="8" bestFit="1" customWidth="1"/>
    <col min="13" max="13" width="12.77734375" bestFit="1" customWidth="1"/>
    <col min="14" max="14" width="20.88671875" bestFit="1" customWidth="1"/>
    <col min="15" max="15" width="25.109375" bestFit="1" customWidth="1"/>
    <col min="16" max="16" width="8.6640625" bestFit="1" customWidth="1"/>
    <col min="17" max="17" width="25" bestFit="1" customWidth="1"/>
    <col min="18" max="18" width="34.5546875" bestFit="1" customWidth="1"/>
    <col min="19" max="19" width="21" bestFit="1" customWidth="1"/>
    <col min="20" max="20" width="28.77734375" bestFit="1" customWidth="1"/>
    <col min="21" max="21" width="10.5546875" bestFit="1" customWidth="1"/>
    <col min="22" max="22" width="11.44140625" bestFit="1" customWidth="1"/>
    <col min="23" max="23" width="22.88671875" bestFit="1" customWidth="1"/>
    <col min="24" max="24" width="10.33203125" bestFit="1" customWidth="1"/>
    <col min="25" max="25" width="14.88671875" bestFit="1" customWidth="1"/>
    <col min="26" max="26" width="29.77734375" bestFit="1" customWidth="1"/>
    <col min="27" max="27" width="8.88671875" bestFit="1" customWidth="1"/>
    <col min="28" max="28" width="30" bestFit="1" customWidth="1"/>
    <col min="29" max="29" width="27.44140625" bestFit="1" customWidth="1"/>
    <col min="30" max="30" width="12" bestFit="1" customWidth="1"/>
    <col min="31" max="31" width="25.33203125" bestFit="1" customWidth="1"/>
    <col min="32" max="32" width="15.5546875" bestFit="1" customWidth="1"/>
    <col min="33" max="33" width="15.109375" bestFit="1" customWidth="1"/>
    <col min="34" max="34" width="16.6640625" bestFit="1" customWidth="1"/>
    <col min="35" max="35" width="15.77734375" bestFit="1" customWidth="1"/>
    <col min="36" max="36" width="17.33203125" bestFit="1" customWidth="1"/>
    <col min="37" max="37" width="24.5546875" bestFit="1" customWidth="1"/>
    <col min="38" max="38" width="22.77734375" bestFit="1" customWidth="1"/>
    <col min="39" max="39" width="25.109375" bestFit="1" customWidth="1"/>
    <col min="40" max="40" width="26.6640625" bestFit="1" customWidth="1"/>
    <col min="41" max="41" width="25" bestFit="1" customWidth="1"/>
  </cols>
  <sheetData>
    <row r="1" spans="1:41" x14ac:dyDescent="0.3">
      <c r="A1" s="10" t="s">
        <v>32</v>
      </c>
      <c r="B1" s="11" t="s">
        <v>33</v>
      </c>
      <c r="C1" s="11" t="s">
        <v>34</v>
      </c>
      <c r="D1" s="11" t="s">
        <v>106</v>
      </c>
      <c r="E1" s="11" t="s">
        <v>35</v>
      </c>
      <c r="F1" s="11" t="s">
        <v>36</v>
      </c>
      <c r="G1" s="11" t="s">
        <v>37</v>
      </c>
      <c r="H1" s="11" t="s">
        <v>38</v>
      </c>
      <c r="I1" s="11" t="s">
        <v>39</v>
      </c>
      <c r="J1" s="11" t="s">
        <v>40</v>
      </c>
      <c r="K1" s="11" t="s">
        <v>41</v>
      </c>
      <c r="L1" s="11" t="s">
        <v>42</v>
      </c>
      <c r="M1" s="11" t="s">
        <v>43</v>
      </c>
      <c r="N1" s="11" t="s">
        <v>44</v>
      </c>
      <c r="O1" s="11" t="s">
        <v>45</v>
      </c>
      <c r="P1" s="11" t="s">
        <v>46</v>
      </c>
      <c r="Q1" s="11" t="s">
        <v>47</v>
      </c>
      <c r="R1" s="11" t="s">
        <v>48</v>
      </c>
      <c r="S1" s="11" t="s">
        <v>49</v>
      </c>
      <c r="T1" s="11" t="s">
        <v>50</v>
      </c>
      <c r="U1" s="11" t="s">
        <v>51</v>
      </c>
      <c r="V1" s="11" t="s">
        <v>52</v>
      </c>
      <c r="W1" s="11" t="s">
        <v>53</v>
      </c>
      <c r="X1" s="11" t="s">
        <v>54</v>
      </c>
      <c r="Y1" s="11" t="s">
        <v>55</v>
      </c>
      <c r="Z1" s="11" t="s">
        <v>56</v>
      </c>
      <c r="AA1" s="11" t="s">
        <v>57</v>
      </c>
      <c r="AB1" s="11" t="s">
        <v>58</v>
      </c>
      <c r="AC1" s="11" t="s">
        <v>59</v>
      </c>
      <c r="AD1" s="11" t="s">
        <v>60</v>
      </c>
      <c r="AE1" s="11" t="s">
        <v>61</v>
      </c>
      <c r="AF1" s="11" t="s">
        <v>62</v>
      </c>
      <c r="AG1" s="11" t="s">
        <v>63</v>
      </c>
      <c r="AH1" s="11" t="s">
        <v>88</v>
      </c>
      <c r="AI1" s="11" t="s">
        <v>94</v>
      </c>
      <c r="AJ1" s="11" t="s">
        <v>93</v>
      </c>
      <c r="AK1" s="11" t="s">
        <v>92</v>
      </c>
      <c r="AL1" s="11" t="s">
        <v>91</v>
      </c>
      <c r="AM1" s="11" t="s">
        <v>95</v>
      </c>
      <c r="AN1" s="11" t="s">
        <v>90</v>
      </c>
      <c r="AO1" s="12" t="s">
        <v>89</v>
      </c>
    </row>
    <row r="2" spans="1:41" x14ac:dyDescent="0.3">
      <c r="A2" s="26" t="s">
        <v>0</v>
      </c>
      <c r="B2" s="21">
        <v>2013</v>
      </c>
      <c r="C2" s="21" t="s">
        <v>1</v>
      </c>
      <c r="D2" s="21" t="str">
        <f>TEXT(DATE(B2, MONTH(1&amp;C2), 1), "mmm-yy")</f>
        <v>Jan-13</v>
      </c>
      <c r="E2" s="32">
        <v>41275</v>
      </c>
      <c r="F2" s="21" t="s">
        <v>84</v>
      </c>
      <c r="G2" s="21">
        <v>107.5</v>
      </c>
      <c r="H2" s="21">
        <v>106.3</v>
      </c>
      <c r="I2" s="21">
        <v>108.1</v>
      </c>
      <c r="J2" s="21">
        <v>104.9</v>
      </c>
      <c r="K2" s="21">
        <v>106.1</v>
      </c>
      <c r="L2" s="21">
        <v>103.9</v>
      </c>
      <c r="M2" s="21">
        <v>101.9</v>
      </c>
      <c r="N2" s="21">
        <v>106.1</v>
      </c>
      <c r="O2" s="21">
        <v>106.8</v>
      </c>
      <c r="P2" s="21">
        <v>103.1</v>
      </c>
      <c r="Q2" s="21">
        <v>104.8</v>
      </c>
      <c r="R2" s="21">
        <v>106.7</v>
      </c>
      <c r="S2" s="21">
        <v>105.5</v>
      </c>
      <c r="T2" s="21">
        <v>105.1</v>
      </c>
      <c r="U2" s="21">
        <v>106.5</v>
      </c>
      <c r="V2" s="21">
        <v>105.8</v>
      </c>
      <c r="W2" s="21">
        <v>106.4</v>
      </c>
      <c r="X2" s="28">
        <f>'Handle missing value sheet only'!$C$1</f>
        <v>139.27096774193564</v>
      </c>
      <c r="Y2" s="21">
        <v>105.5</v>
      </c>
      <c r="Z2" s="21">
        <v>104.8</v>
      </c>
      <c r="AA2" s="21">
        <v>104</v>
      </c>
      <c r="AB2" s="21">
        <v>103.3</v>
      </c>
      <c r="AC2" s="21">
        <v>103.4</v>
      </c>
      <c r="AD2" s="21">
        <v>103.8</v>
      </c>
      <c r="AE2" s="21">
        <v>104.7</v>
      </c>
      <c r="AF2" s="21">
        <v>104</v>
      </c>
      <c r="AG2" s="21">
        <v>105.1</v>
      </c>
      <c r="AH2" s="28">
        <f>SUM(X2:AF2,G2:V2)</f>
        <v>2661.8709677419356</v>
      </c>
      <c r="AI2" s="28">
        <f>SUM(AF2,AE2,AD2,AC2)</f>
        <v>415.9</v>
      </c>
      <c r="AJ2" s="28">
        <f>SUM(V2,U2)</f>
        <v>212.3</v>
      </c>
      <c r="AK2" s="28">
        <f>SUM(Z2,X2)</f>
        <v>244.07096774193565</v>
      </c>
      <c r="AL2" s="28">
        <f>SUM(G2:T2)</f>
        <v>1476.7999999999997</v>
      </c>
      <c r="AM2" s="28">
        <f>AVERAGE(AF2,AE2,AD2,AC2)</f>
        <v>103.97499999999999</v>
      </c>
      <c r="AN2" s="28">
        <f>AVERAGE(X2,Z2)</f>
        <v>122.03548387096782</v>
      </c>
      <c r="AO2" s="29">
        <v>105.48571428571427</v>
      </c>
    </row>
    <row r="3" spans="1:41" x14ac:dyDescent="0.3">
      <c r="A3" s="27" t="s">
        <v>2</v>
      </c>
      <c r="B3" s="20">
        <v>2013</v>
      </c>
      <c r="C3" s="20" t="s">
        <v>1</v>
      </c>
      <c r="D3" s="21" t="str">
        <f t="shared" ref="D3:D66" si="0">TEXT(DATE(B3, MONTH(1&amp;C3), 1), "mmm-yy")</f>
        <v>Jan-13</v>
      </c>
      <c r="E3" s="33">
        <v>41275</v>
      </c>
      <c r="F3" s="20" t="s">
        <v>84</v>
      </c>
      <c r="G3" s="20">
        <v>110.5</v>
      </c>
      <c r="H3" s="20">
        <v>109.1</v>
      </c>
      <c r="I3" s="20">
        <v>113</v>
      </c>
      <c r="J3" s="20">
        <v>103.6</v>
      </c>
      <c r="K3" s="20">
        <v>103.4</v>
      </c>
      <c r="L3" s="20">
        <v>102.3</v>
      </c>
      <c r="M3" s="20">
        <v>102.9</v>
      </c>
      <c r="N3" s="20">
        <v>105.8</v>
      </c>
      <c r="O3" s="20">
        <v>105.1</v>
      </c>
      <c r="P3" s="20">
        <v>101.8</v>
      </c>
      <c r="Q3" s="20">
        <v>105.1</v>
      </c>
      <c r="R3" s="20">
        <v>107.9</v>
      </c>
      <c r="S3" s="20">
        <v>105.9</v>
      </c>
      <c r="T3" s="20">
        <v>105.2</v>
      </c>
      <c r="U3" s="20">
        <v>105.9</v>
      </c>
      <c r="V3" s="20">
        <v>105</v>
      </c>
      <c r="W3" s="20">
        <v>105.8</v>
      </c>
      <c r="X3" s="20">
        <v>100.3</v>
      </c>
      <c r="Y3" s="20">
        <v>105.4</v>
      </c>
      <c r="Z3" s="20">
        <v>104.8</v>
      </c>
      <c r="AA3" s="20">
        <v>104.1</v>
      </c>
      <c r="AB3" s="20">
        <v>103.2</v>
      </c>
      <c r="AC3" s="20">
        <v>102.9</v>
      </c>
      <c r="AD3" s="20">
        <v>103.5</v>
      </c>
      <c r="AE3" s="20">
        <v>104.3</v>
      </c>
      <c r="AF3" s="20">
        <v>103.7</v>
      </c>
      <c r="AG3" s="20">
        <v>104</v>
      </c>
      <c r="AH3" s="28">
        <f t="shared" ref="AH3:AH66" si="1">SUM(X3:AF3,G3:V3)</f>
        <v>2624.7</v>
      </c>
      <c r="AI3" s="28">
        <f t="shared" ref="AI3:AI66" si="2">SUM(AF3,AE3,AD3,AC3)</f>
        <v>414.4</v>
      </c>
      <c r="AJ3" s="28">
        <f t="shared" ref="AJ3:AJ66" si="3">SUM(V3,U3)</f>
        <v>210.9</v>
      </c>
      <c r="AK3" s="28">
        <f t="shared" ref="AK3:AK66" si="4">SUM(Z3,X3)</f>
        <v>205.1</v>
      </c>
      <c r="AL3" s="28">
        <f t="shared" ref="AL3:AL66" si="5">SUM(G3:T3)</f>
        <v>1481.6000000000001</v>
      </c>
      <c r="AM3" s="28">
        <f t="shared" ref="AM3:AM66" si="6">AVERAGE(AF3,AE3,AD3,AC3)</f>
        <v>103.6</v>
      </c>
      <c r="AN3" s="28">
        <f t="shared" ref="AN3:AN66" si="7">AVERAGE(X3,Z3)</f>
        <v>102.55</v>
      </c>
      <c r="AO3" s="31">
        <v>105.82857142857144</v>
      </c>
    </row>
    <row r="4" spans="1:41" x14ac:dyDescent="0.3">
      <c r="A4" s="26" t="s">
        <v>3</v>
      </c>
      <c r="B4" s="21">
        <v>2013</v>
      </c>
      <c r="C4" s="21" t="s">
        <v>1</v>
      </c>
      <c r="D4" s="21" t="str">
        <f t="shared" si="0"/>
        <v>Jan-13</v>
      </c>
      <c r="E4" s="32">
        <v>41275</v>
      </c>
      <c r="F4" s="21" t="s">
        <v>84</v>
      </c>
      <c r="G4" s="21">
        <v>108.4</v>
      </c>
      <c r="H4" s="21">
        <v>107.3</v>
      </c>
      <c r="I4" s="21">
        <v>110</v>
      </c>
      <c r="J4" s="21">
        <v>104.4</v>
      </c>
      <c r="K4" s="21">
        <v>105.1</v>
      </c>
      <c r="L4" s="21">
        <v>103.2</v>
      </c>
      <c r="M4" s="21">
        <v>102.2</v>
      </c>
      <c r="N4" s="21">
        <v>106</v>
      </c>
      <c r="O4" s="21">
        <v>106.2</v>
      </c>
      <c r="P4" s="21">
        <v>102.7</v>
      </c>
      <c r="Q4" s="21">
        <v>104.9</v>
      </c>
      <c r="R4" s="21">
        <v>107.3</v>
      </c>
      <c r="S4" s="21">
        <v>105.6</v>
      </c>
      <c r="T4" s="21">
        <v>105.1</v>
      </c>
      <c r="U4" s="21">
        <v>106.3</v>
      </c>
      <c r="V4" s="21">
        <v>105.5</v>
      </c>
      <c r="W4" s="21">
        <v>106.2</v>
      </c>
      <c r="X4" s="21">
        <v>100.3</v>
      </c>
      <c r="Y4" s="21">
        <v>105.5</v>
      </c>
      <c r="Z4" s="21">
        <v>104.8</v>
      </c>
      <c r="AA4" s="21">
        <v>104</v>
      </c>
      <c r="AB4" s="21">
        <v>103.2</v>
      </c>
      <c r="AC4" s="21">
        <v>103.1</v>
      </c>
      <c r="AD4" s="21">
        <v>103.6</v>
      </c>
      <c r="AE4" s="21">
        <v>104.5</v>
      </c>
      <c r="AF4" s="21">
        <v>103.9</v>
      </c>
      <c r="AG4" s="21">
        <v>104.6</v>
      </c>
      <c r="AH4" s="28">
        <f t="shared" si="1"/>
        <v>2623.1000000000004</v>
      </c>
      <c r="AI4" s="28">
        <f t="shared" si="2"/>
        <v>415.1</v>
      </c>
      <c r="AJ4" s="28">
        <f t="shared" si="3"/>
        <v>211.8</v>
      </c>
      <c r="AK4" s="28">
        <f t="shared" si="4"/>
        <v>205.1</v>
      </c>
      <c r="AL4" s="28">
        <f t="shared" si="5"/>
        <v>1478.4</v>
      </c>
      <c r="AM4" s="28">
        <f t="shared" si="6"/>
        <v>103.77500000000001</v>
      </c>
      <c r="AN4" s="28">
        <f t="shared" si="7"/>
        <v>102.55</v>
      </c>
      <c r="AO4" s="29">
        <v>105.60000000000001</v>
      </c>
    </row>
    <row r="5" spans="1:41" x14ac:dyDescent="0.3">
      <c r="A5" s="27" t="s">
        <v>0</v>
      </c>
      <c r="B5" s="20">
        <v>2013</v>
      </c>
      <c r="C5" s="20" t="s">
        <v>4</v>
      </c>
      <c r="D5" s="21" t="str">
        <f t="shared" si="0"/>
        <v>Feb-13</v>
      </c>
      <c r="E5" s="33">
        <v>41306</v>
      </c>
      <c r="F5" s="20" t="s">
        <v>84</v>
      </c>
      <c r="G5" s="20">
        <v>109.2</v>
      </c>
      <c r="H5" s="20">
        <v>108.7</v>
      </c>
      <c r="I5" s="20">
        <v>110.2</v>
      </c>
      <c r="J5" s="20">
        <v>105.4</v>
      </c>
      <c r="K5" s="20">
        <v>106.7</v>
      </c>
      <c r="L5" s="20">
        <v>104</v>
      </c>
      <c r="M5" s="20">
        <v>102.4</v>
      </c>
      <c r="N5" s="20">
        <v>105.9</v>
      </c>
      <c r="O5" s="20">
        <v>105.7</v>
      </c>
      <c r="P5" s="20">
        <v>103.1</v>
      </c>
      <c r="Q5" s="20">
        <v>105.1</v>
      </c>
      <c r="R5" s="20">
        <v>107.7</v>
      </c>
      <c r="S5" s="20">
        <v>106.3</v>
      </c>
      <c r="T5" s="20">
        <v>105.6</v>
      </c>
      <c r="U5" s="20">
        <v>107.1</v>
      </c>
      <c r="V5" s="20">
        <v>106.3</v>
      </c>
      <c r="W5" s="20">
        <v>107</v>
      </c>
      <c r="X5" s="30">
        <f>'Handle missing value sheet only'!$C$1</f>
        <v>139.27096774193564</v>
      </c>
      <c r="Y5" s="20">
        <v>106.2</v>
      </c>
      <c r="Z5" s="20">
        <v>105.2</v>
      </c>
      <c r="AA5" s="20">
        <v>104.4</v>
      </c>
      <c r="AB5" s="20">
        <v>103.9</v>
      </c>
      <c r="AC5" s="20">
        <v>104</v>
      </c>
      <c r="AD5" s="20">
        <v>104.1</v>
      </c>
      <c r="AE5" s="20">
        <v>104.6</v>
      </c>
      <c r="AF5" s="20">
        <v>104.4</v>
      </c>
      <c r="AG5" s="20">
        <v>105.8</v>
      </c>
      <c r="AH5" s="28">
        <f t="shared" si="1"/>
        <v>2675.470967741936</v>
      </c>
      <c r="AI5" s="28">
        <f t="shared" si="2"/>
        <v>417.1</v>
      </c>
      <c r="AJ5" s="28">
        <f t="shared" si="3"/>
        <v>213.39999999999998</v>
      </c>
      <c r="AK5" s="28">
        <f t="shared" si="4"/>
        <v>244.47096774193562</v>
      </c>
      <c r="AL5" s="28">
        <f t="shared" si="5"/>
        <v>1485.9999999999998</v>
      </c>
      <c r="AM5" s="28">
        <f t="shared" si="6"/>
        <v>104.27500000000001</v>
      </c>
      <c r="AN5" s="28">
        <f t="shared" si="7"/>
        <v>122.23548387096781</v>
      </c>
      <c r="AO5" s="31">
        <v>106.14285714285712</v>
      </c>
    </row>
    <row r="6" spans="1:41" x14ac:dyDescent="0.3">
      <c r="A6" s="26" t="s">
        <v>2</v>
      </c>
      <c r="B6" s="21">
        <v>2013</v>
      </c>
      <c r="C6" s="21" t="s">
        <v>4</v>
      </c>
      <c r="D6" s="21" t="str">
        <f t="shared" si="0"/>
        <v>Feb-13</v>
      </c>
      <c r="E6" s="32">
        <v>41306</v>
      </c>
      <c r="F6" s="21" t="s">
        <v>84</v>
      </c>
      <c r="G6" s="21">
        <v>112.9</v>
      </c>
      <c r="H6" s="21">
        <v>112.9</v>
      </c>
      <c r="I6" s="21">
        <v>116.9</v>
      </c>
      <c r="J6" s="21">
        <v>104</v>
      </c>
      <c r="K6" s="21">
        <v>103.5</v>
      </c>
      <c r="L6" s="21">
        <v>103.1</v>
      </c>
      <c r="M6" s="21">
        <v>104.9</v>
      </c>
      <c r="N6" s="21">
        <v>104.1</v>
      </c>
      <c r="O6" s="21">
        <v>103.8</v>
      </c>
      <c r="P6" s="21">
        <v>102.3</v>
      </c>
      <c r="Q6" s="21">
        <v>106</v>
      </c>
      <c r="R6" s="21">
        <v>109</v>
      </c>
      <c r="S6" s="21">
        <v>107.2</v>
      </c>
      <c r="T6" s="21">
        <v>106</v>
      </c>
      <c r="U6" s="21">
        <v>106.6</v>
      </c>
      <c r="V6" s="21">
        <v>105.5</v>
      </c>
      <c r="W6" s="21">
        <v>106.4</v>
      </c>
      <c r="X6" s="21">
        <v>100.4</v>
      </c>
      <c r="Y6" s="21">
        <v>105.7</v>
      </c>
      <c r="Z6" s="21">
        <v>105.2</v>
      </c>
      <c r="AA6" s="21">
        <v>104.7</v>
      </c>
      <c r="AB6" s="21">
        <v>104.4</v>
      </c>
      <c r="AC6" s="21">
        <v>103.3</v>
      </c>
      <c r="AD6" s="21">
        <v>103.7</v>
      </c>
      <c r="AE6" s="21">
        <v>104.3</v>
      </c>
      <c r="AF6" s="21">
        <v>104.3</v>
      </c>
      <c r="AG6" s="21">
        <v>104.7</v>
      </c>
      <c r="AH6" s="28">
        <f t="shared" si="1"/>
        <v>2644.6999999999994</v>
      </c>
      <c r="AI6" s="28">
        <f t="shared" si="2"/>
        <v>415.6</v>
      </c>
      <c r="AJ6" s="28">
        <f t="shared" si="3"/>
        <v>212.1</v>
      </c>
      <c r="AK6" s="28">
        <f t="shared" si="4"/>
        <v>205.60000000000002</v>
      </c>
      <c r="AL6" s="28">
        <f t="shared" si="5"/>
        <v>1496.6000000000001</v>
      </c>
      <c r="AM6" s="28">
        <f t="shared" si="6"/>
        <v>103.9</v>
      </c>
      <c r="AN6" s="28">
        <f t="shared" si="7"/>
        <v>102.80000000000001</v>
      </c>
      <c r="AO6" s="29">
        <v>106.9</v>
      </c>
    </row>
    <row r="7" spans="1:41" x14ac:dyDescent="0.3">
      <c r="A7" s="27" t="s">
        <v>3</v>
      </c>
      <c r="B7" s="20">
        <v>2013</v>
      </c>
      <c r="C7" s="20" t="s">
        <v>4</v>
      </c>
      <c r="D7" s="21" t="str">
        <f t="shared" si="0"/>
        <v>Feb-13</v>
      </c>
      <c r="E7" s="33">
        <v>41306</v>
      </c>
      <c r="F7" s="20" t="s">
        <v>84</v>
      </c>
      <c r="G7" s="20">
        <v>110.4</v>
      </c>
      <c r="H7" s="20">
        <v>110.2</v>
      </c>
      <c r="I7" s="20">
        <v>112.8</v>
      </c>
      <c r="J7" s="20">
        <v>104.9</v>
      </c>
      <c r="K7" s="20">
        <v>105.5</v>
      </c>
      <c r="L7" s="20">
        <v>103.6</v>
      </c>
      <c r="M7" s="20">
        <v>103.2</v>
      </c>
      <c r="N7" s="20">
        <v>105.3</v>
      </c>
      <c r="O7" s="20">
        <v>105.1</v>
      </c>
      <c r="P7" s="20">
        <v>102.8</v>
      </c>
      <c r="Q7" s="20">
        <v>105.5</v>
      </c>
      <c r="R7" s="20">
        <v>108.3</v>
      </c>
      <c r="S7" s="20">
        <v>106.6</v>
      </c>
      <c r="T7" s="20">
        <v>105.7</v>
      </c>
      <c r="U7" s="20">
        <v>106.9</v>
      </c>
      <c r="V7" s="20">
        <v>106</v>
      </c>
      <c r="W7" s="20">
        <v>106.8</v>
      </c>
      <c r="X7" s="20">
        <v>100.4</v>
      </c>
      <c r="Y7" s="20">
        <v>106</v>
      </c>
      <c r="Z7" s="20">
        <v>105.2</v>
      </c>
      <c r="AA7" s="20">
        <v>104.5</v>
      </c>
      <c r="AB7" s="20">
        <v>104.2</v>
      </c>
      <c r="AC7" s="20">
        <v>103.6</v>
      </c>
      <c r="AD7" s="20">
        <v>103.9</v>
      </c>
      <c r="AE7" s="20">
        <v>104.5</v>
      </c>
      <c r="AF7" s="20">
        <v>104.4</v>
      </c>
      <c r="AG7" s="20">
        <v>105.3</v>
      </c>
      <c r="AH7" s="28">
        <f t="shared" si="1"/>
        <v>2639.5</v>
      </c>
      <c r="AI7" s="28">
        <f t="shared" si="2"/>
        <v>416.4</v>
      </c>
      <c r="AJ7" s="28">
        <f t="shared" si="3"/>
        <v>212.9</v>
      </c>
      <c r="AK7" s="28">
        <f t="shared" si="4"/>
        <v>205.60000000000002</v>
      </c>
      <c r="AL7" s="28">
        <f t="shared" si="5"/>
        <v>1489.9</v>
      </c>
      <c r="AM7" s="28">
        <f t="shared" si="6"/>
        <v>104.1</v>
      </c>
      <c r="AN7" s="28">
        <f t="shared" si="7"/>
        <v>102.80000000000001</v>
      </c>
      <c r="AO7" s="31">
        <v>106.42142857142858</v>
      </c>
    </row>
    <row r="8" spans="1:41" x14ac:dyDescent="0.3">
      <c r="A8" s="26" t="s">
        <v>0</v>
      </c>
      <c r="B8" s="21">
        <v>2013</v>
      </c>
      <c r="C8" s="21" t="s">
        <v>5</v>
      </c>
      <c r="D8" s="21" t="str">
        <f t="shared" si="0"/>
        <v>Mar-13</v>
      </c>
      <c r="E8" s="32">
        <v>41334</v>
      </c>
      <c r="F8" s="21" t="s">
        <v>84</v>
      </c>
      <c r="G8" s="21">
        <v>110.2</v>
      </c>
      <c r="H8" s="21">
        <v>108.8</v>
      </c>
      <c r="I8" s="21">
        <v>109.9</v>
      </c>
      <c r="J8" s="21">
        <v>105.6</v>
      </c>
      <c r="K8" s="21">
        <v>106.2</v>
      </c>
      <c r="L8" s="21">
        <v>105.7</v>
      </c>
      <c r="M8" s="21">
        <v>101.4</v>
      </c>
      <c r="N8" s="21">
        <v>105.7</v>
      </c>
      <c r="O8" s="21">
        <v>105</v>
      </c>
      <c r="P8" s="21">
        <v>103.3</v>
      </c>
      <c r="Q8" s="21">
        <v>105.6</v>
      </c>
      <c r="R8" s="21">
        <v>108.2</v>
      </c>
      <c r="S8" s="21">
        <v>106.6</v>
      </c>
      <c r="T8" s="21">
        <v>106.5</v>
      </c>
      <c r="U8" s="21">
        <v>107.6</v>
      </c>
      <c r="V8" s="21">
        <v>106.8</v>
      </c>
      <c r="W8" s="21">
        <v>107.5</v>
      </c>
      <c r="X8" s="28">
        <f>'Handle missing value sheet only'!$C$1</f>
        <v>139.27096774193564</v>
      </c>
      <c r="Y8" s="21">
        <v>106.1</v>
      </c>
      <c r="Z8" s="21">
        <v>105.6</v>
      </c>
      <c r="AA8" s="21">
        <v>104.7</v>
      </c>
      <c r="AB8" s="21">
        <v>104.6</v>
      </c>
      <c r="AC8" s="21">
        <v>104</v>
      </c>
      <c r="AD8" s="21">
        <v>104.3</v>
      </c>
      <c r="AE8" s="21">
        <v>104.3</v>
      </c>
      <c r="AF8" s="21">
        <v>104.6</v>
      </c>
      <c r="AG8" s="21">
        <v>106</v>
      </c>
      <c r="AH8" s="28">
        <f t="shared" si="1"/>
        <v>2680.5709677419354</v>
      </c>
      <c r="AI8" s="28">
        <f t="shared" si="2"/>
        <v>417.2</v>
      </c>
      <c r="AJ8" s="28">
        <f t="shared" si="3"/>
        <v>214.39999999999998</v>
      </c>
      <c r="AK8" s="28">
        <f t="shared" si="4"/>
        <v>244.87096774193563</v>
      </c>
      <c r="AL8" s="28">
        <f t="shared" si="5"/>
        <v>1488.7</v>
      </c>
      <c r="AM8" s="28">
        <f t="shared" si="6"/>
        <v>104.3</v>
      </c>
      <c r="AN8" s="28">
        <f t="shared" si="7"/>
        <v>122.43548387096781</v>
      </c>
      <c r="AO8" s="29">
        <v>106.33571428571429</v>
      </c>
    </row>
    <row r="9" spans="1:41" x14ac:dyDescent="0.3">
      <c r="A9" s="27" t="s">
        <v>2</v>
      </c>
      <c r="B9" s="20">
        <v>2013</v>
      </c>
      <c r="C9" s="20" t="s">
        <v>5</v>
      </c>
      <c r="D9" s="21" t="str">
        <f t="shared" si="0"/>
        <v>Mar-13</v>
      </c>
      <c r="E9" s="33">
        <v>41334</v>
      </c>
      <c r="F9" s="20" t="s">
        <v>84</v>
      </c>
      <c r="G9" s="20">
        <v>113.9</v>
      </c>
      <c r="H9" s="20">
        <v>111.4</v>
      </c>
      <c r="I9" s="20">
        <v>113.2</v>
      </c>
      <c r="J9" s="20">
        <v>104.3</v>
      </c>
      <c r="K9" s="20">
        <v>102.7</v>
      </c>
      <c r="L9" s="20">
        <v>104.9</v>
      </c>
      <c r="M9" s="20">
        <v>103.8</v>
      </c>
      <c r="N9" s="20">
        <v>103.5</v>
      </c>
      <c r="O9" s="20">
        <v>102.6</v>
      </c>
      <c r="P9" s="20">
        <v>102.4</v>
      </c>
      <c r="Q9" s="20">
        <v>107</v>
      </c>
      <c r="R9" s="20">
        <v>109.8</v>
      </c>
      <c r="S9" s="20">
        <v>107.3</v>
      </c>
      <c r="T9" s="20">
        <v>106.8</v>
      </c>
      <c r="U9" s="20">
        <v>107.2</v>
      </c>
      <c r="V9" s="20">
        <v>106</v>
      </c>
      <c r="W9" s="20">
        <v>107</v>
      </c>
      <c r="X9" s="20">
        <v>100.4</v>
      </c>
      <c r="Y9" s="20">
        <v>106</v>
      </c>
      <c r="Z9" s="20">
        <v>105.7</v>
      </c>
      <c r="AA9" s="20">
        <v>105.2</v>
      </c>
      <c r="AB9" s="20">
        <v>105.5</v>
      </c>
      <c r="AC9" s="20">
        <v>103.5</v>
      </c>
      <c r="AD9" s="20">
        <v>103.8</v>
      </c>
      <c r="AE9" s="20">
        <v>104.2</v>
      </c>
      <c r="AF9" s="20">
        <v>104.9</v>
      </c>
      <c r="AG9" s="20">
        <v>105</v>
      </c>
      <c r="AH9" s="28">
        <f t="shared" si="1"/>
        <v>2646.0000000000005</v>
      </c>
      <c r="AI9" s="28">
        <f t="shared" si="2"/>
        <v>416.40000000000003</v>
      </c>
      <c r="AJ9" s="28">
        <f t="shared" si="3"/>
        <v>213.2</v>
      </c>
      <c r="AK9" s="28">
        <f t="shared" si="4"/>
        <v>206.10000000000002</v>
      </c>
      <c r="AL9" s="28">
        <f t="shared" si="5"/>
        <v>1493.6</v>
      </c>
      <c r="AM9" s="28">
        <f t="shared" si="6"/>
        <v>104.10000000000001</v>
      </c>
      <c r="AN9" s="28">
        <f t="shared" si="7"/>
        <v>103.05000000000001</v>
      </c>
      <c r="AO9" s="31">
        <v>106.68571428571428</v>
      </c>
    </row>
    <row r="10" spans="1:41" x14ac:dyDescent="0.3">
      <c r="A10" s="26" t="s">
        <v>3</v>
      </c>
      <c r="B10" s="21">
        <v>2013</v>
      </c>
      <c r="C10" s="21" t="s">
        <v>5</v>
      </c>
      <c r="D10" s="21" t="str">
        <f t="shared" si="0"/>
        <v>Mar-13</v>
      </c>
      <c r="E10" s="32">
        <v>41334</v>
      </c>
      <c r="F10" s="21" t="s">
        <v>84</v>
      </c>
      <c r="G10" s="21">
        <v>111.4</v>
      </c>
      <c r="H10" s="21">
        <v>109.7</v>
      </c>
      <c r="I10" s="21">
        <v>111.2</v>
      </c>
      <c r="J10" s="21">
        <v>105.1</v>
      </c>
      <c r="K10" s="21">
        <v>104.9</v>
      </c>
      <c r="L10" s="21">
        <v>105.3</v>
      </c>
      <c r="M10" s="21">
        <v>102.2</v>
      </c>
      <c r="N10" s="21">
        <v>105</v>
      </c>
      <c r="O10" s="21">
        <v>104.2</v>
      </c>
      <c r="P10" s="21">
        <v>103</v>
      </c>
      <c r="Q10" s="21">
        <v>106.2</v>
      </c>
      <c r="R10" s="21">
        <v>108.9</v>
      </c>
      <c r="S10" s="21">
        <v>106.9</v>
      </c>
      <c r="T10" s="21">
        <v>106.6</v>
      </c>
      <c r="U10" s="21">
        <v>107.4</v>
      </c>
      <c r="V10" s="21">
        <v>106.5</v>
      </c>
      <c r="W10" s="21">
        <v>107.3</v>
      </c>
      <c r="X10" s="21">
        <v>100.4</v>
      </c>
      <c r="Y10" s="21">
        <v>106.1</v>
      </c>
      <c r="Z10" s="21">
        <v>105.6</v>
      </c>
      <c r="AA10" s="21">
        <v>104.9</v>
      </c>
      <c r="AB10" s="21">
        <v>105.1</v>
      </c>
      <c r="AC10" s="21">
        <v>103.7</v>
      </c>
      <c r="AD10" s="21">
        <v>104</v>
      </c>
      <c r="AE10" s="21">
        <v>104.3</v>
      </c>
      <c r="AF10" s="21">
        <v>104.7</v>
      </c>
      <c r="AG10" s="21">
        <v>105.5</v>
      </c>
      <c r="AH10" s="28">
        <f t="shared" si="1"/>
        <v>2643.3</v>
      </c>
      <c r="AI10" s="28">
        <f t="shared" si="2"/>
        <v>416.7</v>
      </c>
      <c r="AJ10" s="28">
        <f t="shared" si="3"/>
        <v>213.9</v>
      </c>
      <c r="AK10" s="28">
        <f t="shared" si="4"/>
        <v>206</v>
      </c>
      <c r="AL10" s="28">
        <f t="shared" si="5"/>
        <v>1490.6000000000001</v>
      </c>
      <c r="AM10" s="28">
        <f t="shared" si="6"/>
        <v>104.175</v>
      </c>
      <c r="AN10" s="28">
        <f t="shared" si="7"/>
        <v>103</v>
      </c>
      <c r="AO10" s="29">
        <v>106.47142857142858</v>
      </c>
    </row>
    <row r="11" spans="1:41" x14ac:dyDescent="0.3">
      <c r="A11" s="27" t="s">
        <v>0</v>
      </c>
      <c r="B11" s="20">
        <v>2013</v>
      </c>
      <c r="C11" s="20" t="s">
        <v>6</v>
      </c>
      <c r="D11" s="21" t="str">
        <f t="shared" si="0"/>
        <v>Apr-13</v>
      </c>
      <c r="E11" s="33">
        <v>41365</v>
      </c>
      <c r="F11" s="20" t="s">
        <v>84</v>
      </c>
      <c r="G11" s="20">
        <v>110.2</v>
      </c>
      <c r="H11" s="20">
        <v>109.5</v>
      </c>
      <c r="I11" s="20">
        <v>106.9</v>
      </c>
      <c r="J11" s="20">
        <v>106.3</v>
      </c>
      <c r="K11" s="20">
        <v>105.7</v>
      </c>
      <c r="L11" s="20">
        <v>108.3</v>
      </c>
      <c r="M11" s="20">
        <v>103.4</v>
      </c>
      <c r="N11" s="20">
        <v>105.7</v>
      </c>
      <c r="O11" s="20">
        <v>104.2</v>
      </c>
      <c r="P11" s="20">
        <v>103.2</v>
      </c>
      <c r="Q11" s="20">
        <v>106.5</v>
      </c>
      <c r="R11" s="20">
        <v>108.8</v>
      </c>
      <c r="S11" s="20">
        <v>107.1</v>
      </c>
      <c r="T11" s="20">
        <v>107.1</v>
      </c>
      <c r="U11" s="20">
        <v>108.1</v>
      </c>
      <c r="V11" s="20">
        <v>107.4</v>
      </c>
      <c r="W11" s="20">
        <v>108</v>
      </c>
      <c r="X11" s="30">
        <f>'Handle missing value sheet only'!$C$1</f>
        <v>139.27096774193564</v>
      </c>
      <c r="Y11" s="20">
        <v>106.5</v>
      </c>
      <c r="Z11" s="20">
        <v>106.1</v>
      </c>
      <c r="AA11" s="20">
        <v>105.1</v>
      </c>
      <c r="AB11" s="20">
        <v>104.4</v>
      </c>
      <c r="AC11" s="20">
        <v>104.5</v>
      </c>
      <c r="AD11" s="20">
        <v>104.8</v>
      </c>
      <c r="AE11" s="20">
        <v>102.7</v>
      </c>
      <c r="AF11" s="20">
        <v>104.6</v>
      </c>
      <c r="AG11" s="20">
        <v>106.4</v>
      </c>
      <c r="AH11" s="28">
        <f t="shared" si="1"/>
        <v>2686.3709677419356</v>
      </c>
      <c r="AI11" s="28">
        <f t="shared" si="2"/>
        <v>416.6</v>
      </c>
      <c r="AJ11" s="28">
        <f t="shared" si="3"/>
        <v>215.5</v>
      </c>
      <c r="AK11" s="28">
        <f t="shared" si="4"/>
        <v>245.37096774193563</v>
      </c>
      <c r="AL11" s="28">
        <f t="shared" si="5"/>
        <v>1492.8999999999999</v>
      </c>
      <c r="AM11" s="28">
        <f t="shared" si="6"/>
        <v>104.15</v>
      </c>
      <c r="AN11" s="28">
        <f t="shared" si="7"/>
        <v>122.68548387096781</v>
      </c>
      <c r="AO11" s="31">
        <v>106.63571428571427</v>
      </c>
    </row>
    <row r="12" spans="1:41" x14ac:dyDescent="0.3">
      <c r="A12" s="26" t="s">
        <v>2</v>
      </c>
      <c r="B12" s="21">
        <v>2013</v>
      </c>
      <c r="C12" s="21" t="s">
        <v>6</v>
      </c>
      <c r="D12" s="21" t="str">
        <f t="shared" si="0"/>
        <v>Apr-13</v>
      </c>
      <c r="E12" s="32">
        <v>41365</v>
      </c>
      <c r="F12" s="21" t="s">
        <v>84</v>
      </c>
      <c r="G12" s="21">
        <v>114.6</v>
      </c>
      <c r="H12" s="21">
        <v>113.4</v>
      </c>
      <c r="I12" s="21">
        <v>106</v>
      </c>
      <c r="J12" s="21">
        <v>104.7</v>
      </c>
      <c r="K12" s="21">
        <v>102.1</v>
      </c>
      <c r="L12" s="21">
        <v>109.5</v>
      </c>
      <c r="M12" s="21">
        <v>109.7</v>
      </c>
      <c r="N12" s="21">
        <v>104.6</v>
      </c>
      <c r="O12" s="21">
        <v>102</v>
      </c>
      <c r="P12" s="21">
        <v>103.5</v>
      </c>
      <c r="Q12" s="21">
        <v>108.2</v>
      </c>
      <c r="R12" s="21">
        <v>110.6</v>
      </c>
      <c r="S12" s="21">
        <v>108.8</v>
      </c>
      <c r="T12" s="21">
        <v>108.5</v>
      </c>
      <c r="U12" s="21">
        <v>107.9</v>
      </c>
      <c r="V12" s="21">
        <v>106.4</v>
      </c>
      <c r="W12" s="21">
        <v>107.7</v>
      </c>
      <c r="X12" s="21">
        <v>100.5</v>
      </c>
      <c r="Y12" s="21">
        <v>106.4</v>
      </c>
      <c r="Z12" s="21">
        <v>106.5</v>
      </c>
      <c r="AA12" s="21">
        <v>105.7</v>
      </c>
      <c r="AB12" s="21">
        <v>105</v>
      </c>
      <c r="AC12" s="21">
        <v>104</v>
      </c>
      <c r="AD12" s="21">
        <v>105.2</v>
      </c>
      <c r="AE12" s="21">
        <v>103.2</v>
      </c>
      <c r="AF12" s="21">
        <v>105.1</v>
      </c>
      <c r="AG12" s="21">
        <v>105.7</v>
      </c>
      <c r="AH12" s="28">
        <f t="shared" si="1"/>
        <v>2662.1000000000004</v>
      </c>
      <c r="AI12" s="28">
        <f t="shared" si="2"/>
        <v>417.5</v>
      </c>
      <c r="AJ12" s="28">
        <f t="shared" si="3"/>
        <v>214.3</v>
      </c>
      <c r="AK12" s="28">
        <f t="shared" si="4"/>
        <v>207</v>
      </c>
      <c r="AL12" s="28">
        <f t="shared" si="5"/>
        <v>1506.1999999999998</v>
      </c>
      <c r="AM12" s="28">
        <f t="shared" si="6"/>
        <v>104.375</v>
      </c>
      <c r="AN12" s="28">
        <f t="shared" si="7"/>
        <v>103.5</v>
      </c>
      <c r="AO12" s="29">
        <v>107.58571428571427</v>
      </c>
    </row>
    <row r="13" spans="1:41" x14ac:dyDescent="0.3">
      <c r="A13" s="27" t="s">
        <v>3</v>
      </c>
      <c r="B13" s="20">
        <v>2013</v>
      </c>
      <c r="C13" s="20" t="s">
        <v>6</v>
      </c>
      <c r="D13" s="21" t="str">
        <f t="shared" si="0"/>
        <v>Apr-13</v>
      </c>
      <c r="E13" s="33">
        <v>41365</v>
      </c>
      <c r="F13" s="20" t="s">
        <v>84</v>
      </c>
      <c r="G13" s="20">
        <v>111.6</v>
      </c>
      <c r="H13" s="20">
        <v>110.9</v>
      </c>
      <c r="I13" s="20">
        <v>106.6</v>
      </c>
      <c r="J13" s="20">
        <v>105.7</v>
      </c>
      <c r="K13" s="20">
        <v>104.4</v>
      </c>
      <c r="L13" s="20">
        <v>108.9</v>
      </c>
      <c r="M13" s="20">
        <v>105.5</v>
      </c>
      <c r="N13" s="20">
        <v>105.3</v>
      </c>
      <c r="O13" s="20">
        <v>103.5</v>
      </c>
      <c r="P13" s="20">
        <v>103.3</v>
      </c>
      <c r="Q13" s="20">
        <v>107.2</v>
      </c>
      <c r="R13" s="20">
        <v>109.6</v>
      </c>
      <c r="S13" s="20">
        <v>107.7</v>
      </c>
      <c r="T13" s="20">
        <v>107.5</v>
      </c>
      <c r="U13" s="20">
        <v>108</v>
      </c>
      <c r="V13" s="20">
        <v>107</v>
      </c>
      <c r="W13" s="20">
        <v>107.9</v>
      </c>
      <c r="X13" s="20">
        <v>100.5</v>
      </c>
      <c r="Y13" s="20">
        <v>106.5</v>
      </c>
      <c r="Z13" s="20">
        <v>106.3</v>
      </c>
      <c r="AA13" s="20">
        <v>105.3</v>
      </c>
      <c r="AB13" s="20">
        <v>104.7</v>
      </c>
      <c r="AC13" s="20">
        <v>104.2</v>
      </c>
      <c r="AD13" s="20">
        <v>105</v>
      </c>
      <c r="AE13" s="20">
        <v>102.9</v>
      </c>
      <c r="AF13" s="20">
        <v>104.8</v>
      </c>
      <c r="AG13" s="20">
        <v>106.1</v>
      </c>
      <c r="AH13" s="28">
        <f t="shared" si="1"/>
        <v>2652.8999999999996</v>
      </c>
      <c r="AI13" s="28">
        <f t="shared" si="2"/>
        <v>416.9</v>
      </c>
      <c r="AJ13" s="28">
        <f t="shared" si="3"/>
        <v>215</v>
      </c>
      <c r="AK13" s="28">
        <f t="shared" si="4"/>
        <v>206.8</v>
      </c>
      <c r="AL13" s="28">
        <f t="shared" si="5"/>
        <v>1497.7</v>
      </c>
      <c r="AM13" s="28">
        <f t="shared" si="6"/>
        <v>104.22499999999999</v>
      </c>
      <c r="AN13" s="28">
        <f t="shared" si="7"/>
        <v>103.4</v>
      </c>
      <c r="AO13" s="31">
        <v>106.97857142857143</v>
      </c>
    </row>
    <row r="14" spans="1:41" x14ac:dyDescent="0.3">
      <c r="A14" s="26" t="s">
        <v>0</v>
      </c>
      <c r="B14" s="21">
        <v>2013</v>
      </c>
      <c r="C14" s="21" t="s">
        <v>7</v>
      </c>
      <c r="D14" s="21" t="str">
        <f t="shared" si="0"/>
        <v>May-13</v>
      </c>
      <c r="E14" s="32">
        <v>41395</v>
      </c>
      <c r="F14" s="21" t="s">
        <v>84</v>
      </c>
      <c r="G14" s="21">
        <v>110.9</v>
      </c>
      <c r="H14" s="21">
        <v>109.8</v>
      </c>
      <c r="I14" s="21">
        <v>105.9</v>
      </c>
      <c r="J14" s="21">
        <v>107.5</v>
      </c>
      <c r="K14" s="21">
        <v>105.3</v>
      </c>
      <c r="L14" s="21">
        <v>108.1</v>
      </c>
      <c r="M14" s="21">
        <v>107.3</v>
      </c>
      <c r="N14" s="21">
        <v>106.1</v>
      </c>
      <c r="O14" s="21">
        <v>103.7</v>
      </c>
      <c r="P14" s="21">
        <v>104</v>
      </c>
      <c r="Q14" s="21">
        <v>107.4</v>
      </c>
      <c r="R14" s="21">
        <v>109.9</v>
      </c>
      <c r="S14" s="21">
        <v>108.1</v>
      </c>
      <c r="T14" s="21">
        <v>108.1</v>
      </c>
      <c r="U14" s="21">
        <v>108.8</v>
      </c>
      <c r="V14" s="21">
        <v>107.9</v>
      </c>
      <c r="W14" s="21">
        <v>108.6</v>
      </c>
      <c r="X14" s="28">
        <f>'Handle missing value sheet only'!$C$1</f>
        <v>139.27096774193564</v>
      </c>
      <c r="Y14" s="21">
        <v>107.5</v>
      </c>
      <c r="Z14" s="21">
        <v>106.8</v>
      </c>
      <c r="AA14" s="21">
        <v>105.7</v>
      </c>
      <c r="AB14" s="21">
        <v>104.1</v>
      </c>
      <c r="AC14" s="21">
        <v>105</v>
      </c>
      <c r="AD14" s="21">
        <v>105.5</v>
      </c>
      <c r="AE14" s="21">
        <v>102.1</v>
      </c>
      <c r="AF14" s="21">
        <v>104.8</v>
      </c>
      <c r="AG14" s="21">
        <v>107.2</v>
      </c>
      <c r="AH14" s="28">
        <f t="shared" si="1"/>
        <v>2699.5709677419359</v>
      </c>
      <c r="AI14" s="28">
        <f t="shared" si="2"/>
        <v>417.4</v>
      </c>
      <c r="AJ14" s="28">
        <f t="shared" si="3"/>
        <v>216.7</v>
      </c>
      <c r="AK14" s="28">
        <f t="shared" si="4"/>
        <v>246.07096774193565</v>
      </c>
      <c r="AL14" s="28">
        <f t="shared" si="5"/>
        <v>1502.1</v>
      </c>
      <c r="AM14" s="28">
        <f t="shared" si="6"/>
        <v>104.35</v>
      </c>
      <c r="AN14" s="28">
        <f t="shared" si="7"/>
        <v>123.03548387096782</v>
      </c>
      <c r="AO14" s="29">
        <v>107.29285714285713</v>
      </c>
    </row>
    <row r="15" spans="1:41" x14ac:dyDescent="0.3">
      <c r="A15" s="27" t="s">
        <v>2</v>
      </c>
      <c r="B15" s="20">
        <v>2013</v>
      </c>
      <c r="C15" s="20" t="s">
        <v>7</v>
      </c>
      <c r="D15" s="21" t="str">
        <f t="shared" si="0"/>
        <v>May-13</v>
      </c>
      <c r="E15" s="33">
        <v>41395</v>
      </c>
      <c r="F15" s="20" t="s">
        <v>84</v>
      </c>
      <c r="G15" s="20">
        <v>115.4</v>
      </c>
      <c r="H15" s="20">
        <v>114.2</v>
      </c>
      <c r="I15" s="20">
        <v>102.7</v>
      </c>
      <c r="J15" s="20">
        <v>105.5</v>
      </c>
      <c r="K15" s="20">
        <v>101.5</v>
      </c>
      <c r="L15" s="20">
        <v>110.6</v>
      </c>
      <c r="M15" s="20">
        <v>123.7</v>
      </c>
      <c r="N15" s="20">
        <v>105.2</v>
      </c>
      <c r="O15" s="20">
        <v>101.9</v>
      </c>
      <c r="P15" s="20">
        <v>105</v>
      </c>
      <c r="Q15" s="20">
        <v>109.1</v>
      </c>
      <c r="R15" s="20">
        <v>111.3</v>
      </c>
      <c r="S15" s="20">
        <v>111.1</v>
      </c>
      <c r="T15" s="20">
        <v>109.8</v>
      </c>
      <c r="U15" s="20">
        <v>108.5</v>
      </c>
      <c r="V15" s="20">
        <v>106.7</v>
      </c>
      <c r="W15" s="20">
        <v>108.3</v>
      </c>
      <c r="X15" s="20">
        <v>100.5</v>
      </c>
      <c r="Y15" s="20">
        <v>107.2</v>
      </c>
      <c r="Z15" s="20">
        <v>107.1</v>
      </c>
      <c r="AA15" s="20">
        <v>106.2</v>
      </c>
      <c r="AB15" s="20">
        <v>103.9</v>
      </c>
      <c r="AC15" s="20">
        <v>104.6</v>
      </c>
      <c r="AD15" s="20">
        <v>105.7</v>
      </c>
      <c r="AE15" s="20">
        <v>102.6</v>
      </c>
      <c r="AF15" s="20">
        <v>104.9</v>
      </c>
      <c r="AG15" s="20">
        <v>106.6</v>
      </c>
      <c r="AH15" s="28">
        <f t="shared" si="1"/>
        <v>2684.9000000000005</v>
      </c>
      <c r="AI15" s="28">
        <f t="shared" si="2"/>
        <v>417.79999999999995</v>
      </c>
      <c r="AJ15" s="28">
        <f t="shared" si="3"/>
        <v>215.2</v>
      </c>
      <c r="AK15" s="28">
        <f t="shared" si="4"/>
        <v>207.6</v>
      </c>
      <c r="AL15" s="28">
        <f t="shared" si="5"/>
        <v>1526.9999999999998</v>
      </c>
      <c r="AM15" s="28">
        <f t="shared" si="6"/>
        <v>104.44999999999999</v>
      </c>
      <c r="AN15" s="28">
        <f t="shared" si="7"/>
        <v>103.8</v>
      </c>
      <c r="AO15" s="31">
        <v>109.07142857142856</v>
      </c>
    </row>
    <row r="16" spans="1:41" x14ac:dyDescent="0.3">
      <c r="A16" s="26" t="s">
        <v>3</v>
      </c>
      <c r="B16" s="21">
        <v>2013</v>
      </c>
      <c r="C16" s="21" t="s">
        <v>7</v>
      </c>
      <c r="D16" s="21" t="str">
        <f t="shared" si="0"/>
        <v>May-13</v>
      </c>
      <c r="E16" s="32">
        <v>41395</v>
      </c>
      <c r="F16" s="21" t="s">
        <v>84</v>
      </c>
      <c r="G16" s="21">
        <v>112.3</v>
      </c>
      <c r="H16" s="21">
        <v>111.3</v>
      </c>
      <c r="I16" s="21">
        <v>104.7</v>
      </c>
      <c r="J16" s="21">
        <v>106.8</v>
      </c>
      <c r="K16" s="21">
        <v>103.9</v>
      </c>
      <c r="L16" s="21">
        <v>109.3</v>
      </c>
      <c r="M16" s="21">
        <v>112.9</v>
      </c>
      <c r="N16" s="21">
        <v>105.8</v>
      </c>
      <c r="O16" s="21">
        <v>103.1</v>
      </c>
      <c r="P16" s="21">
        <v>104.3</v>
      </c>
      <c r="Q16" s="21">
        <v>108.1</v>
      </c>
      <c r="R16" s="21">
        <v>110.5</v>
      </c>
      <c r="S16" s="21">
        <v>109.2</v>
      </c>
      <c r="T16" s="21">
        <v>108.6</v>
      </c>
      <c r="U16" s="21">
        <v>108.7</v>
      </c>
      <c r="V16" s="21">
        <v>107.4</v>
      </c>
      <c r="W16" s="21">
        <v>108.5</v>
      </c>
      <c r="X16" s="21">
        <v>100.5</v>
      </c>
      <c r="Y16" s="21">
        <v>107.4</v>
      </c>
      <c r="Z16" s="21">
        <v>106.9</v>
      </c>
      <c r="AA16" s="21">
        <v>105.9</v>
      </c>
      <c r="AB16" s="21">
        <v>104</v>
      </c>
      <c r="AC16" s="21">
        <v>104.8</v>
      </c>
      <c r="AD16" s="21">
        <v>105.6</v>
      </c>
      <c r="AE16" s="21">
        <v>102.3</v>
      </c>
      <c r="AF16" s="21">
        <v>104.8</v>
      </c>
      <c r="AG16" s="21">
        <v>106.9</v>
      </c>
      <c r="AH16" s="28">
        <f t="shared" si="1"/>
        <v>2669.0999999999995</v>
      </c>
      <c r="AI16" s="28">
        <f t="shared" si="2"/>
        <v>417.5</v>
      </c>
      <c r="AJ16" s="28">
        <f t="shared" si="3"/>
        <v>216.10000000000002</v>
      </c>
      <c r="AK16" s="28">
        <f t="shared" si="4"/>
        <v>207.4</v>
      </c>
      <c r="AL16" s="28">
        <f t="shared" si="5"/>
        <v>1510.7999999999997</v>
      </c>
      <c r="AM16" s="28">
        <f t="shared" si="6"/>
        <v>104.375</v>
      </c>
      <c r="AN16" s="28">
        <f t="shared" si="7"/>
        <v>103.7</v>
      </c>
      <c r="AO16" s="29">
        <v>107.9142857142857</v>
      </c>
    </row>
    <row r="17" spans="1:41" x14ac:dyDescent="0.3">
      <c r="A17" s="27" t="s">
        <v>0</v>
      </c>
      <c r="B17" s="20">
        <v>2013</v>
      </c>
      <c r="C17" s="20" t="s">
        <v>8</v>
      </c>
      <c r="D17" s="21" t="str">
        <f t="shared" si="0"/>
        <v>Jun-13</v>
      </c>
      <c r="E17" s="33">
        <v>41426</v>
      </c>
      <c r="F17" s="20" t="s">
        <v>84</v>
      </c>
      <c r="G17" s="20">
        <v>112.3</v>
      </c>
      <c r="H17" s="20">
        <v>112.1</v>
      </c>
      <c r="I17" s="20">
        <v>108.1</v>
      </c>
      <c r="J17" s="20">
        <v>108.3</v>
      </c>
      <c r="K17" s="20">
        <v>105.9</v>
      </c>
      <c r="L17" s="20">
        <v>109.2</v>
      </c>
      <c r="M17" s="20">
        <v>118</v>
      </c>
      <c r="N17" s="20">
        <v>106.8</v>
      </c>
      <c r="O17" s="20">
        <v>104.1</v>
      </c>
      <c r="P17" s="20">
        <v>105.4</v>
      </c>
      <c r="Q17" s="20">
        <v>108.2</v>
      </c>
      <c r="R17" s="20">
        <v>111</v>
      </c>
      <c r="S17" s="20">
        <v>110.6</v>
      </c>
      <c r="T17" s="20">
        <v>109</v>
      </c>
      <c r="U17" s="20">
        <v>109.7</v>
      </c>
      <c r="V17" s="20">
        <v>108.8</v>
      </c>
      <c r="W17" s="20">
        <v>109.5</v>
      </c>
      <c r="X17" s="30">
        <f>'Handle missing value sheet only'!$C$1</f>
        <v>139.27096774193564</v>
      </c>
      <c r="Y17" s="20">
        <v>108.5</v>
      </c>
      <c r="Z17" s="20">
        <v>107.5</v>
      </c>
      <c r="AA17" s="20">
        <v>106.3</v>
      </c>
      <c r="AB17" s="20">
        <v>105</v>
      </c>
      <c r="AC17" s="20">
        <v>105.6</v>
      </c>
      <c r="AD17" s="20">
        <v>106.5</v>
      </c>
      <c r="AE17" s="20">
        <v>102.5</v>
      </c>
      <c r="AF17" s="20">
        <v>105.5</v>
      </c>
      <c r="AG17" s="20">
        <v>108.9</v>
      </c>
      <c r="AH17" s="28">
        <f t="shared" si="1"/>
        <v>2734.1709677419353</v>
      </c>
      <c r="AI17" s="28">
        <f t="shared" si="2"/>
        <v>420.1</v>
      </c>
      <c r="AJ17" s="28">
        <f t="shared" si="3"/>
        <v>218.5</v>
      </c>
      <c r="AK17" s="28">
        <f t="shared" si="4"/>
        <v>246.77096774193564</v>
      </c>
      <c r="AL17" s="28">
        <f t="shared" si="5"/>
        <v>1529</v>
      </c>
      <c r="AM17" s="28">
        <f t="shared" si="6"/>
        <v>105.02500000000001</v>
      </c>
      <c r="AN17" s="28">
        <f t="shared" si="7"/>
        <v>123.38548387096782</v>
      </c>
      <c r="AO17" s="31">
        <v>109.21428571428571</v>
      </c>
    </row>
    <row r="18" spans="1:41" x14ac:dyDescent="0.3">
      <c r="A18" s="26" t="s">
        <v>2</v>
      </c>
      <c r="B18" s="21">
        <v>2013</v>
      </c>
      <c r="C18" s="21" t="s">
        <v>8</v>
      </c>
      <c r="D18" s="21" t="str">
        <f t="shared" si="0"/>
        <v>Jun-13</v>
      </c>
      <c r="E18" s="32">
        <v>41426</v>
      </c>
      <c r="F18" s="21" t="s">
        <v>84</v>
      </c>
      <c r="G18" s="21">
        <v>117</v>
      </c>
      <c r="H18" s="21">
        <v>120.1</v>
      </c>
      <c r="I18" s="21">
        <v>112.5</v>
      </c>
      <c r="J18" s="21">
        <v>107.3</v>
      </c>
      <c r="K18" s="21">
        <v>101.3</v>
      </c>
      <c r="L18" s="21">
        <v>112.4</v>
      </c>
      <c r="M18" s="21">
        <v>143.6</v>
      </c>
      <c r="N18" s="21">
        <v>105.4</v>
      </c>
      <c r="O18" s="21">
        <v>101.4</v>
      </c>
      <c r="P18" s="21">
        <v>106.4</v>
      </c>
      <c r="Q18" s="21">
        <v>110</v>
      </c>
      <c r="R18" s="21">
        <v>112.2</v>
      </c>
      <c r="S18" s="21">
        <v>115</v>
      </c>
      <c r="T18" s="21">
        <v>110.9</v>
      </c>
      <c r="U18" s="21">
        <v>109.2</v>
      </c>
      <c r="V18" s="21">
        <v>107.2</v>
      </c>
      <c r="W18" s="21">
        <v>108.9</v>
      </c>
      <c r="X18" s="21">
        <v>106.6</v>
      </c>
      <c r="Y18" s="21">
        <v>108</v>
      </c>
      <c r="Z18" s="21">
        <v>107.7</v>
      </c>
      <c r="AA18" s="21">
        <v>106.5</v>
      </c>
      <c r="AB18" s="21">
        <v>105.2</v>
      </c>
      <c r="AC18" s="21">
        <v>105.2</v>
      </c>
      <c r="AD18" s="21">
        <v>108.1</v>
      </c>
      <c r="AE18" s="21">
        <v>103.3</v>
      </c>
      <c r="AF18" s="21">
        <v>106.1</v>
      </c>
      <c r="AG18" s="21">
        <v>109.7</v>
      </c>
      <c r="AH18" s="28">
        <f t="shared" si="1"/>
        <v>2748.5999999999995</v>
      </c>
      <c r="AI18" s="28">
        <f t="shared" si="2"/>
        <v>422.7</v>
      </c>
      <c r="AJ18" s="28">
        <f t="shared" si="3"/>
        <v>216.4</v>
      </c>
      <c r="AK18" s="28">
        <f t="shared" si="4"/>
        <v>214.3</v>
      </c>
      <c r="AL18" s="28">
        <f t="shared" si="5"/>
        <v>1575.5000000000002</v>
      </c>
      <c r="AM18" s="28">
        <f t="shared" si="6"/>
        <v>105.675</v>
      </c>
      <c r="AN18" s="28">
        <f t="shared" si="7"/>
        <v>107.15</v>
      </c>
      <c r="AO18" s="29">
        <v>112.53571428571431</v>
      </c>
    </row>
    <row r="19" spans="1:41" x14ac:dyDescent="0.3">
      <c r="A19" s="27" t="s">
        <v>3</v>
      </c>
      <c r="B19" s="20">
        <v>2013</v>
      </c>
      <c r="C19" s="20" t="s">
        <v>8</v>
      </c>
      <c r="D19" s="21" t="str">
        <f t="shared" si="0"/>
        <v>Jun-13</v>
      </c>
      <c r="E19" s="33">
        <v>41426</v>
      </c>
      <c r="F19" s="20" t="s">
        <v>84</v>
      </c>
      <c r="G19" s="20">
        <v>113.8</v>
      </c>
      <c r="H19" s="20">
        <v>114.9</v>
      </c>
      <c r="I19" s="20">
        <v>109.8</v>
      </c>
      <c r="J19" s="20">
        <v>107.9</v>
      </c>
      <c r="K19" s="20">
        <v>104.2</v>
      </c>
      <c r="L19" s="20">
        <v>110.7</v>
      </c>
      <c r="M19" s="20">
        <v>126.7</v>
      </c>
      <c r="N19" s="20">
        <v>106.3</v>
      </c>
      <c r="O19" s="20">
        <v>103.2</v>
      </c>
      <c r="P19" s="20">
        <v>105.7</v>
      </c>
      <c r="Q19" s="20">
        <v>109</v>
      </c>
      <c r="R19" s="20">
        <v>111.6</v>
      </c>
      <c r="S19" s="20">
        <v>112.2</v>
      </c>
      <c r="T19" s="20">
        <v>109.5</v>
      </c>
      <c r="U19" s="20">
        <v>109.5</v>
      </c>
      <c r="V19" s="20">
        <v>108.1</v>
      </c>
      <c r="W19" s="20">
        <v>109.3</v>
      </c>
      <c r="X19" s="20">
        <v>106.6</v>
      </c>
      <c r="Y19" s="20">
        <v>108.3</v>
      </c>
      <c r="Z19" s="20">
        <v>107.6</v>
      </c>
      <c r="AA19" s="20">
        <v>106.4</v>
      </c>
      <c r="AB19" s="20">
        <v>105.1</v>
      </c>
      <c r="AC19" s="20">
        <v>105.4</v>
      </c>
      <c r="AD19" s="20">
        <v>107.4</v>
      </c>
      <c r="AE19" s="20">
        <v>102.8</v>
      </c>
      <c r="AF19" s="20">
        <v>105.8</v>
      </c>
      <c r="AG19" s="20">
        <v>109.3</v>
      </c>
      <c r="AH19" s="28">
        <f t="shared" si="1"/>
        <v>2718.4999999999995</v>
      </c>
      <c r="AI19" s="28">
        <f t="shared" si="2"/>
        <v>421.4</v>
      </c>
      <c r="AJ19" s="28">
        <f t="shared" si="3"/>
        <v>217.6</v>
      </c>
      <c r="AK19" s="28">
        <f t="shared" si="4"/>
        <v>214.2</v>
      </c>
      <c r="AL19" s="28">
        <f t="shared" si="5"/>
        <v>1545.5</v>
      </c>
      <c r="AM19" s="28">
        <f t="shared" si="6"/>
        <v>105.35</v>
      </c>
      <c r="AN19" s="28">
        <f t="shared" si="7"/>
        <v>107.1</v>
      </c>
      <c r="AO19" s="31">
        <v>110.39285714285714</v>
      </c>
    </row>
    <row r="20" spans="1:41" x14ac:dyDescent="0.3">
      <c r="A20" s="26" t="s">
        <v>0</v>
      </c>
      <c r="B20" s="21">
        <v>2013</v>
      </c>
      <c r="C20" s="21" t="s">
        <v>9</v>
      </c>
      <c r="D20" s="21" t="str">
        <f t="shared" si="0"/>
        <v>Jul-13</v>
      </c>
      <c r="E20" s="32">
        <v>41456</v>
      </c>
      <c r="F20" s="21" t="s">
        <v>84</v>
      </c>
      <c r="G20" s="21">
        <v>113.4</v>
      </c>
      <c r="H20" s="21">
        <v>114.9</v>
      </c>
      <c r="I20" s="21">
        <v>110.5</v>
      </c>
      <c r="J20" s="21">
        <v>109.3</v>
      </c>
      <c r="K20" s="21">
        <v>106.2</v>
      </c>
      <c r="L20" s="21">
        <v>110.3</v>
      </c>
      <c r="M20" s="21">
        <v>129.19999999999999</v>
      </c>
      <c r="N20" s="21">
        <v>107.1</v>
      </c>
      <c r="O20" s="21">
        <v>104.3</v>
      </c>
      <c r="P20" s="21">
        <v>106.4</v>
      </c>
      <c r="Q20" s="21">
        <v>109.1</v>
      </c>
      <c r="R20" s="21">
        <v>112.1</v>
      </c>
      <c r="S20" s="21">
        <v>113.1</v>
      </c>
      <c r="T20" s="21">
        <v>109.8</v>
      </c>
      <c r="U20" s="21">
        <v>110.5</v>
      </c>
      <c r="V20" s="21">
        <v>109.5</v>
      </c>
      <c r="W20" s="21">
        <v>110.3</v>
      </c>
      <c r="X20" s="28">
        <f>'Handle missing value sheet only'!$C$1</f>
        <v>139.27096774193564</v>
      </c>
      <c r="Y20" s="21">
        <v>109.5</v>
      </c>
      <c r="Z20" s="21">
        <v>108.3</v>
      </c>
      <c r="AA20" s="21">
        <v>106.9</v>
      </c>
      <c r="AB20" s="21">
        <v>106.8</v>
      </c>
      <c r="AC20" s="21">
        <v>106.4</v>
      </c>
      <c r="AD20" s="21">
        <v>107.8</v>
      </c>
      <c r="AE20" s="21">
        <v>102.5</v>
      </c>
      <c r="AF20" s="21">
        <v>106.5</v>
      </c>
      <c r="AG20" s="21">
        <v>110.7</v>
      </c>
      <c r="AH20" s="28">
        <f t="shared" si="1"/>
        <v>2769.6709677419353</v>
      </c>
      <c r="AI20" s="28">
        <f t="shared" si="2"/>
        <v>423.20000000000005</v>
      </c>
      <c r="AJ20" s="28">
        <f t="shared" si="3"/>
        <v>220</v>
      </c>
      <c r="AK20" s="28">
        <f t="shared" si="4"/>
        <v>247.57096774193565</v>
      </c>
      <c r="AL20" s="28">
        <f t="shared" si="5"/>
        <v>1555.6999999999996</v>
      </c>
      <c r="AM20" s="28">
        <f t="shared" si="6"/>
        <v>105.80000000000001</v>
      </c>
      <c r="AN20" s="28">
        <f t="shared" si="7"/>
        <v>123.78548387096782</v>
      </c>
      <c r="AO20" s="29">
        <v>111.12142857142854</v>
      </c>
    </row>
    <row r="21" spans="1:41" x14ac:dyDescent="0.3">
      <c r="A21" s="27" t="s">
        <v>2</v>
      </c>
      <c r="B21" s="20">
        <v>2013</v>
      </c>
      <c r="C21" s="20" t="s">
        <v>9</v>
      </c>
      <c r="D21" s="21" t="str">
        <f t="shared" si="0"/>
        <v>Jul-13</v>
      </c>
      <c r="E21" s="33">
        <v>41456</v>
      </c>
      <c r="F21" s="20" t="s">
        <v>84</v>
      </c>
      <c r="G21" s="20">
        <v>117.8</v>
      </c>
      <c r="H21" s="20">
        <v>119.2</v>
      </c>
      <c r="I21" s="20">
        <v>114</v>
      </c>
      <c r="J21" s="20">
        <v>108.3</v>
      </c>
      <c r="K21" s="20">
        <v>101.1</v>
      </c>
      <c r="L21" s="20">
        <v>113.2</v>
      </c>
      <c r="M21" s="20">
        <v>160.9</v>
      </c>
      <c r="N21" s="20">
        <v>105.1</v>
      </c>
      <c r="O21" s="20">
        <v>101.3</v>
      </c>
      <c r="P21" s="20">
        <v>107.5</v>
      </c>
      <c r="Q21" s="20">
        <v>110.4</v>
      </c>
      <c r="R21" s="20">
        <v>113.1</v>
      </c>
      <c r="S21" s="20">
        <v>117.5</v>
      </c>
      <c r="T21" s="20">
        <v>111.7</v>
      </c>
      <c r="U21" s="20">
        <v>109.8</v>
      </c>
      <c r="V21" s="20">
        <v>107.8</v>
      </c>
      <c r="W21" s="20">
        <v>109.5</v>
      </c>
      <c r="X21" s="20">
        <v>107.7</v>
      </c>
      <c r="Y21" s="20">
        <v>108.6</v>
      </c>
      <c r="Z21" s="20">
        <v>108.1</v>
      </c>
      <c r="AA21" s="20">
        <v>107.1</v>
      </c>
      <c r="AB21" s="20">
        <v>107.3</v>
      </c>
      <c r="AC21" s="20">
        <v>105.9</v>
      </c>
      <c r="AD21" s="20">
        <v>110.1</v>
      </c>
      <c r="AE21" s="20">
        <v>103.2</v>
      </c>
      <c r="AF21" s="20">
        <v>107.3</v>
      </c>
      <c r="AG21" s="20">
        <v>111.4</v>
      </c>
      <c r="AH21" s="28">
        <f t="shared" si="1"/>
        <v>2784</v>
      </c>
      <c r="AI21" s="28">
        <f t="shared" si="2"/>
        <v>426.5</v>
      </c>
      <c r="AJ21" s="28">
        <f t="shared" si="3"/>
        <v>217.6</v>
      </c>
      <c r="AK21" s="28">
        <f t="shared" si="4"/>
        <v>215.8</v>
      </c>
      <c r="AL21" s="28">
        <f t="shared" si="5"/>
        <v>1601.1000000000001</v>
      </c>
      <c r="AM21" s="28">
        <f t="shared" si="6"/>
        <v>106.625</v>
      </c>
      <c r="AN21" s="28">
        <f t="shared" si="7"/>
        <v>107.9</v>
      </c>
      <c r="AO21" s="31">
        <v>114.36428571428573</v>
      </c>
    </row>
    <row r="22" spans="1:41" x14ac:dyDescent="0.3">
      <c r="A22" s="26" t="s">
        <v>3</v>
      </c>
      <c r="B22" s="21">
        <v>2013</v>
      </c>
      <c r="C22" s="21" t="s">
        <v>9</v>
      </c>
      <c r="D22" s="21" t="str">
        <f t="shared" si="0"/>
        <v>Jul-13</v>
      </c>
      <c r="E22" s="32">
        <v>41456</v>
      </c>
      <c r="F22" s="21" t="s">
        <v>84</v>
      </c>
      <c r="G22" s="21">
        <v>114.8</v>
      </c>
      <c r="H22" s="21">
        <v>116.4</v>
      </c>
      <c r="I22" s="21">
        <v>111.9</v>
      </c>
      <c r="J22" s="21">
        <v>108.9</v>
      </c>
      <c r="K22" s="21">
        <v>104.3</v>
      </c>
      <c r="L22" s="21">
        <v>111.7</v>
      </c>
      <c r="M22" s="21">
        <v>140</v>
      </c>
      <c r="N22" s="21">
        <v>106.4</v>
      </c>
      <c r="O22" s="21">
        <v>103.3</v>
      </c>
      <c r="P22" s="21">
        <v>106.8</v>
      </c>
      <c r="Q22" s="21">
        <v>109.6</v>
      </c>
      <c r="R22" s="21">
        <v>112.6</v>
      </c>
      <c r="S22" s="21">
        <v>114.7</v>
      </c>
      <c r="T22" s="21">
        <v>110.3</v>
      </c>
      <c r="U22" s="21">
        <v>110.2</v>
      </c>
      <c r="V22" s="21">
        <v>108.8</v>
      </c>
      <c r="W22" s="21">
        <v>110</v>
      </c>
      <c r="X22" s="21">
        <v>107.7</v>
      </c>
      <c r="Y22" s="21">
        <v>109.2</v>
      </c>
      <c r="Z22" s="21">
        <v>108.2</v>
      </c>
      <c r="AA22" s="21">
        <v>107</v>
      </c>
      <c r="AB22" s="21">
        <v>107.1</v>
      </c>
      <c r="AC22" s="21">
        <v>106.1</v>
      </c>
      <c r="AD22" s="21">
        <v>109.1</v>
      </c>
      <c r="AE22" s="21">
        <v>102.8</v>
      </c>
      <c r="AF22" s="21">
        <v>106.9</v>
      </c>
      <c r="AG22" s="21">
        <v>111</v>
      </c>
      <c r="AH22" s="28">
        <f t="shared" si="1"/>
        <v>2754.8</v>
      </c>
      <c r="AI22" s="28">
        <f t="shared" si="2"/>
        <v>424.9</v>
      </c>
      <c r="AJ22" s="28">
        <f t="shared" si="3"/>
        <v>219</v>
      </c>
      <c r="AK22" s="28">
        <f t="shared" si="4"/>
        <v>215.9</v>
      </c>
      <c r="AL22" s="28">
        <f t="shared" si="5"/>
        <v>1571.6999999999998</v>
      </c>
      <c r="AM22" s="28">
        <f t="shared" si="6"/>
        <v>106.22499999999999</v>
      </c>
      <c r="AN22" s="28">
        <f t="shared" si="7"/>
        <v>107.95</v>
      </c>
      <c r="AO22" s="29">
        <v>112.26428571428571</v>
      </c>
    </row>
    <row r="23" spans="1:41" x14ac:dyDescent="0.3">
      <c r="A23" s="27" t="s">
        <v>0</v>
      </c>
      <c r="B23" s="20">
        <v>2013</v>
      </c>
      <c r="C23" s="20" t="s">
        <v>10</v>
      </c>
      <c r="D23" s="21" t="str">
        <f t="shared" si="0"/>
        <v>Aug-13</v>
      </c>
      <c r="E23" s="33">
        <v>41487</v>
      </c>
      <c r="F23" s="20" t="s">
        <v>84</v>
      </c>
      <c r="G23" s="20">
        <v>114.3</v>
      </c>
      <c r="H23" s="20">
        <v>115.4</v>
      </c>
      <c r="I23" s="20">
        <v>111.1</v>
      </c>
      <c r="J23" s="20">
        <v>110</v>
      </c>
      <c r="K23" s="20">
        <v>106.4</v>
      </c>
      <c r="L23" s="20">
        <v>110.8</v>
      </c>
      <c r="M23" s="20">
        <v>138.9</v>
      </c>
      <c r="N23" s="20">
        <v>107.4</v>
      </c>
      <c r="O23" s="20">
        <v>104.1</v>
      </c>
      <c r="P23" s="20">
        <v>106.9</v>
      </c>
      <c r="Q23" s="20">
        <v>109.7</v>
      </c>
      <c r="R23" s="20">
        <v>112.6</v>
      </c>
      <c r="S23" s="20">
        <v>114.9</v>
      </c>
      <c r="T23" s="20">
        <v>110.7</v>
      </c>
      <c r="U23" s="20">
        <v>111.3</v>
      </c>
      <c r="V23" s="20">
        <v>110.2</v>
      </c>
      <c r="W23" s="20">
        <v>111.1</v>
      </c>
      <c r="X23" s="30">
        <f>'Handle missing value sheet only'!$C$1</f>
        <v>139.27096774193564</v>
      </c>
      <c r="Y23" s="20">
        <v>109.9</v>
      </c>
      <c r="Z23" s="20">
        <v>108.7</v>
      </c>
      <c r="AA23" s="20">
        <v>107.5</v>
      </c>
      <c r="AB23" s="20">
        <v>107.8</v>
      </c>
      <c r="AC23" s="20">
        <v>106.8</v>
      </c>
      <c r="AD23" s="20">
        <v>108.7</v>
      </c>
      <c r="AE23" s="20">
        <v>105</v>
      </c>
      <c r="AF23" s="20">
        <v>107.5</v>
      </c>
      <c r="AG23" s="20">
        <v>112.1</v>
      </c>
      <c r="AH23" s="28">
        <f t="shared" si="1"/>
        <v>2795.8709677419356</v>
      </c>
      <c r="AI23" s="28">
        <f t="shared" si="2"/>
        <v>428</v>
      </c>
      <c r="AJ23" s="28">
        <f t="shared" si="3"/>
        <v>221.5</v>
      </c>
      <c r="AK23" s="28">
        <f t="shared" si="4"/>
        <v>247.97096774193562</v>
      </c>
      <c r="AL23" s="28">
        <f t="shared" si="5"/>
        <v>1573.2</v>
      </c>
      <c r="AM23" s="28">
        <f t="shared" si="6"/>
        <v>107</v>
      </c>
      <c r="AN23" s="28">
        <f t="shared" si="7"/>
        <v>123.98548387096781</v>
      </c>
      <c r="AO23" s="31">
        <v>112.37142857142858</v>
      </c>
    </row>
    <row r="24" spans="1:41" x14ac:dyDescent="0.3">
      <c r="A24" s="26" t="s">
        <v>2</v>
      </c>
      <c r="B24" s="21">
        <v>2013</v>
      </c>
      <c r="C24" s="21" t="s">
        <v>10</v>
      </c>
      <c r="D24" s="21" t="str">
        <f t="shared" si="0"/>
        <v>Aug-13</v>
      </c>
      <c r="E24" s="32">
        <v>41487</v>
      </c>
      <c r="F24" s="21" t="s">
        <v>84</v>
      </c>
      <c r="G24" s="21">
        <v>118.3</v>
      </c>
      <c r="H24" s="21">
        <v>120.4</v>
      </c>
      <c r="I24" s="21">
        <v>112.7</v>
      </c>
      <c r="J24" s="21">
        <v>108.9</v>
      </c>
      <c r="K24" s="21">
        <v>101.1</v>
      </c>
      <c r="L24" s="21">
        <v>108.7</v>
      </c>
      <c r="M24" s="21">
        <v>177</v>
      </c>
      <c r="N24" s="21">
        <v>104.7</v>
      </c>
      <c r="O24" s="21">
        <v>101</v>
      </c>
      <c r="P24" s="21">
        <v>108.5</v>
      </c>
      <c r="Q24" s="21">
        <v>110.9</v>
      </c>
      <c r="R24" s="21">
        <v>114.3</v>
      </c>
      <c r="S24" s="21">
        <v>119.6</v>
      </c>
      <c r="T24" s="21">
        <v>112.4</v>
      </c>
      <c r="U24" s="21">
        <v>110.6</v>
      </c>
      <c r="V24" s="21">
        <v>108.3</v>
      </c>
      <c r="W24" s="21">
        <v>110.2</v>
      </c>
      <c r="X24" s="21">
        <v>108.9</v>
      </c>
      <c r="Y24" s="21">
        <v>109.3</v>
      </c>
      <c r="Z24" s="21">
        <v>108.7</v>
      </c>
      <c r="AA24" s="21">
        <v>107.6</v>
      </c>
      <c r="AB24" s="21">
        <v>108.1</v>
      </c>
      <c r="AC24" s="21">
        <v>106.5</v>
      </c>
      <c r="AD24" s="21">
        <v>110.8</v>
      </c>
      <c r="AE24" s="21">
        <v>106</v>
      </c>
      <c r="AF24" s="21">
        <v>108.3</v>
      </c>
      <c r="AG24" s="21">
        <v>112.7</v>
      </c>
      <c r="AH24" s="28">
        <f t="shared" si="1"/>
        <v>2811.6000000000004</v>
      </c>
      <c r="AI24" s="28">
        <f t="shared" si="2"/>
        <v>431.6</v>
      </c>
      <c r="AJ24" s="28">
        <f t="shared" si="3"/>
        <v>218.89999999999998</v>
      </c>
      <c r="AK24" s="28">
        <f t="shared" si="4"/>
        <v>217.60000000000002</v>
      </c>
      <c r="AL24" s="28">
        <f t="shared" si="5"/>
        <v>1618.5000000000002</v>
      </c>
      <c r="AM24" s="28">
        <f t="shared" si="6"/>
        <v>107.9</v>
      </c>
      <c r="AN24" s="28">
        <f t="shared" si="7"/>
        <v>108.80000000000001</v>
      </c>
      <c r="AO24" s="29">
        <v>115.60714285714288</v>
      </c>
    </row>
    <row r="25" spans="1:41" x14ac:dyDescent="0.3">
      <c r="A25" s="27" t="s">
        <v>3</v>
      </c>
      <c r="B25" s="20">
        <v>2013</v>
      </c>
      <c r="C25" s="20" t="s">
        <v>10</v>
      </c>
      <c r="D25" s="21" t="str">
        <f t="shared" si="0"/>
        <v>Aug-13</v>
      </c>
      <c r="E25" s="33">
        <v>41487</v>
      </c>
      <c r="F25" s="20" t="s">
        <v>84</v>
      </c>
      <c r="G25" s="20">
        <v>115.6</v>
      </c>
      <c r="H25" s="20">
        <v>117.2</v>
      </c>
      <c r="I25" s="20">
        <v>111.7</v>
      </c>
      <c r="J25" s="20">
        <v>109.6</v>
      </c>
      <c r="K25" s="20">
        <v>104.5</v>
      </c>
      <c r="L25" s="20">
        <v>109.8</v>
      </c>
      <c r="M25" s="20">
        <v>151.80000000000001</v>
      </c>
      <c r="N25" s="20">
        <v>106.5</v>
      </c>
      <c r="O25" s="20">
        <v>103.1</v>
      </c>
      <c r="P25" s="20">
        <v>107.4</v>
      </c>
      <c r="Q25" s="20">
        <v>110.2</v>
      </c>
      <c r="R25" s="20">
        <v>113.4</v>
      </c>
      <c r="S25" s="20">
        <v>116.6</v>
      </c>
      <c r="T25" s="20">
        <v>111.2</v>
      </c>
      <c r="U25" s="20">
        <v>111</v>
      </c>
      <c r="V25" s="20">
        <v>109.4</v>
      </c>
      <c r="W25" s="20">
        <v>110.7</v>
      </c>
      <c r="X25" s="20">
        <v>108.9</v>
      </c>
      <c r="Y25" s="20">
        <v>109.7</v>
      </c>
      <c r="Z25" s="20">
        <v>108.7</v>
      </c>
      <c r="AA25" s="20">
        <v>107.5</v>
      </c>
      <c r="AB25" s="20">
        <v>108</v>
      </c>
      <c r="AC25" s="20">
        <v>106.6</v>
      </c>
      <c r="AD25" s="20">
        <v>109.9</v>
      </c>
      <c r="AE25" s="20">
        <v>105.4</v>
      </c>
      <c r="AF25" s="20">
        <v>107.9</v>
      </c>
      <c r="AG25" s="20">
        <v>112.4</v>
      </c>
      <c r="AH25" s="28">
        <f t="shared" si="1"/>
        <v>2781.5999999999995</v>
      </c>
      <c r="AI25" s="28">
        <f t="shared" si="2"/>
        <v>429.80000000000007</v>
      </c>
      <c r="AJ25" s="28">
        <f t="shared" si="3"/>
        <v>220.4</v>
      </c>
      <c r="AK25" s="28">
        <f t="shared" si="4"/>
        <v>217.60000000000002</v>
      </c>
      <c r="AL25" s="28">
        <f t="shared" si="5"/>
        <v>1588.6000000000001</v>
      </c>
      <c r="AM25" s="28">
        <f t="shared" si="6"/>
        <v>107.45000000000002</v>
      </c>
      <c r="AN25" s="28">
        <f t="shared" si="7"/>
        <v>108.80000000000001</v>
      </c>
      <c r="AO25" s="31">
        <v>113.47142857142858</v>
      </c>
    </row>
    <row r="26" spans="1:41" x14ac:dyDescent="0.3">
      <c r="A26" s="26" t="s">
        <v>0</v>
      </c>
      <c r="B26" s="21">
        <v>2013</v>
      </c>
      <c r="C26" s="21" t="s">
        <v>11</v>
      </c>
      <c r="D26" s="21" t="str">
        <f t="shared" si="0"/>
        <v>Sep-13</v>
      </c>
      <c r="E26" s="32">
        <v>41518</v>
      </c>
      <c r="F26" s="21" t="s">
        <v>84</v>
      </c>
      <c r="G26" s="21">
        <v>115.4</v>
      </c>
      <c r="H26" s="21">
        <v>115.7</v>
      </c>
      <c r="I26" s="21">
        <v>111.7</v>
      </c>
      <c r="J26" s="21">
        <v>111</v>
      </c>
      <c r="K26" s="21">
        <v>107.4</v>
      </c>
      <c r="L26" s="21">
        <v>110.9</v>
      </c>
      <c r="M26" s="21">
        <v>154</v>
      </c>
      <c r="N26" s="21">
        <v>108.1</v>
      </c>
      <c r="O26" s="21">
        <v>104.2</v>
      </c>
      <c r="P26" s="21">
        <v>107.9</v>
      </c>
      <c r="Q26" s="21">
        <v>110.4</v>
      </c>
      <c r="R26" s="21">
        <v>114</v>
      </c>
      <c r="S26" s="21">
        <v>117.8</v>
      </c>
      <c r="T26" s="21">
        <v>111.7</v>
      </c>
      <c r="U26" s="21">
        <v>112.7</v>
      </c>
      <c r="V26" s="21">
        <v>111.4</v>
      </c>
      <c r="W26" s="21">
        <v>112.5</v>
      </c>
      <c r="X26" s="28">
        <f>'Handle missing value sheet only'!$C$1</f>
        <v>139.27096774193564</v>
      </c>
      <c r="Y26" s="21">
        <v>111.1</v>
      </c>
      <c r="Z26" s="21">
        <v>109.6</v>
      </c>
      <c r="AA26" s="21">
        <v>108.3</v>
      </c>
      <c r="AB26" s="21">
        <v>109.3</v>
      </c>
      <c r="AC26" s="21">
        <v>107.7</v>
      </c>
      <c r="AD26" s="21">
        <v>109.8</v>
      </c>
      <c r="AE26" s="21">
        <v>106.7</v>
      </c>
      <c r="AF26" s="21">
        <v>108.7</v>
      </c>
      <c r="AG26" s="21">
        <v>114.2</v>
      </c>
      <c r="AH26" s="28">
        <f t="shared" si="1"/>
        <v>2834.7709677419361</v>
      </c>
      <c r="AI26" s="28">
        <f t="shared" si="2"/>
        <v>432.9</v>
      </c>
      <c r="AJ26" s="28">
        <f t="shared" si="3"/>
        <v>224.10000000000002</v>
      </c>
      <c r="AK26" s="28">
        <f t="shared" si="4"/>
        <v>248.87096774193563</v>
      </c>
      <c r="AL26" s="28">
        <f t="shared" si="5"/>
        <v>1600.2000000000003</v>
      </c>
      <c r="AM26" s="28">
        <f t="shared" si="6"/>
        <v>108.22499999999999</v>
      </c>
      <c r="AN26" s="28">
        <f t="shared" si="7"/>
        <v>124.43548387096781</v>
      </c>
      <c r="AO26" s="29">
        <v>114.30000000000003</v>
      </c>
    </row>
    <row r="27" spans="1:41" x14ac:dyDescent="0.3">
      <c r="A27" s="27" t="s">
        <v>2</v>
      </c>
      <c r="B27" s="20">
        <v>2013</v>
      </c>
      <c r="C27" s="20" t="s">
        <v>11</v>
      </c>
      <c r="D27" s="21" t="str">
        <f t="shared" si="0"/>
        <v>Sep-13</v>
      </c>
      <c r="E27" s="33">
        <v>41518</v>
      </c>
      <c r="F27" s="20" t="s">
        <v>84</v>
      </c>
      <c r="G27" s="20">
        <v>118.6</v>
      </c>
      <c r="H27" s="20">
        <v>119.1</v>
      </c>
      <c r="I27" s="20">
        <v>113.2</v>
      </c>
      <c r="J27" s="20">
        <v>109.6</v>
      </c>
      <c r="K27" s="20">
        <v>101.7</v>
      </c>
      <c r="L27" s="20">
        <v>103.2</v>
      </c>
      <c r="M27" s="20">
        <v>174.3</v>
      </c>
      <c r="N27" s="20">
        <v>105.1</v>
      </c>
      <c r="O27" s="20">
        <v>100.8</v>
      </c>
      <c r="P27" s="20">
        <v>109.1</v>
      </c>
      <c r="Q27" s="20">
        <v>111.1</v>
      </c>
      <c r="R27" s="20">
        <v>115.4</v>
      </c>
      <c r="S27" s="20">
        <v>119.2</v>
      </c>
      <c r="T27" s="20">
        <v>112.9</v>
      </c>
      <c r="U27" s="20">
        <v>111.4</v>
      </c>
      <c r="V27" s="20">
        <v>109</v>
      </c>
      <c r="W27" s="20">
        <v>111.1</v>
      </c>
      <c r="X27" s="20">
        <v>109.7</v>
      </c>
      <c r="Y27" s="20">
        <v>109.5</v>
      </c>
      <c r="Z27" s="20">
        <v>109.6</v>
      </c>
      <c r="AA27" s="20">
        <v>107.9</v>
      </c>
      <c r="AB27" s="20">
        <v>110.4</v>
      </c>
      <c r="AC27" s="20">
        <v>107.4</v>
      </c>
      <c r="AD27" s="20">
        <v>111.2</v>
      </c>
      <c r="AE27" s="20">
        <v>106.9</v>
      </c>
      <c r="AF27" s="20">
        <v>109.4</v>
      </c>
      <c r="AG27" s="20">
        <v>113.2</v>
      </c>
      <c r="AH27" s="28">
        <f t="shared" si="1"/>
        <v>2815.7</v>
      </c>
      <c r="AI27" s="28">
        <f t="shared" si="2"/>
        <v>434.9</v>
      </c>
      <c r="AJ27" s="28">
        <f t="shared" si="3"/>
        <v>220.4</v>
      </c>
      <c r="AK27" s="28">
        <f t="shared" si="4"/>
        <v>219.3</v>
      </c>
      <c r="AL27" s="28">
        <f t="shared" si="5"/>
        <v>1613.3000000000002</v>
      </c>
      <c r="AM27" s="28">
        <f t="shared" si="6"/>
        <v>108.72499999999999</v>
      </c>
      <c r="AN27" s="28">
        <f t="shared" si="7"/>
        <v>109.65</v>
      </c>
      <c r="AO27" s="31">
        <v>115.23571428571429</v>
      </c>
    </row>
    <row r="28" spans="1:41" x14ac:dyDescent="0.3">
      <c r="A28" s="26" t="s">
        <v>3</v>
      </c>
      <c r="B28" s="21">
        <v>2013</v>
      </c>
      <c r="C28" s="21" t="s">
        <v>11</v>
      </c>
      <c r="D28" s="21" t="str">
        <f t="shared" si="0"/>
        <v>Sep-13</v>
      </c>
      <c r="E28" s="32">
        <v>41518</v>
      </c>
      <c r="F28" s="21" t="s">
        <v>84</v>
      </c>
      <c r="G28" s="21">
        <v>116.4</v>
      </c>
      <c r="H28" s="21">
        <v>116.9</v>
      </c>
      <c r="I28" s="21">
        <v>112.3</v>
      </c>
      <c r="J28" s="21">
        <v>110.5</v>
      </c>
      <c r="K28" s="21">
        <v>105.3</v>
      </c>
      <c r="L28" s="21">
        <v>107.3</v>
      </c>
      <c r="M28" s="21">
        <v>160.9</v>
      </c>
      <c r="N28" s="21">
        <v>107.1</v>
      </c>
      <c r="O28" s="21">
        <v>103.1</v>
      </c>
      <c r="P28" s="21">
        <v>108.3</v>
      </c>
      <c r="Q28" s="21">
        <v>110.7</v>
      </c>
      <c r="R28" s="21">
        <v>114.6</v>
      </c>
      <c r="S28" s="21">
        <v>118.3</v>
      </c>
      <c r="T28" s="21">
        <v>112</v>
      </c>
      <c r="U28" s="21">
        <v>112.2</v>
      </c>
      <c r="V28" s="21">
        <v>110.4</v>
      </c>
      <c r="W28" s="21">
        <v>111.9</v>
      </c>
      <c r="X28" s="21">
        <v>109.7</v>
      </c>
      <c r="Y28" s="21">
        <v>110.5</v>
      </c>
      <c r="Z28" s="21">
        <v>109.6</v>
      </c>
      <c r="AA28" s="21">
        <v>108.1</v>
      </c>
      <c r="AB28" s="21">
        <v>109.9</v>
      </c>
      <c r="AC28" s="21">
        <v>107.5</v>
      </c>
      <c r="AD28" s="21">
        <v>110.6</v>
      </c>
      <c r="AE28" s="21">
        <v>106.8</v>
      </c>
      <c r="AF28" s="21">
        <v>109</v>
      </c>
      <c r="AG28" s="21">
        <v>113.7</v>
      </c>
      <c r="AH28" s="28">
        <f t="shared" si="1"/>
        <v>2807.9999999999995</v>
      </c>
      <c r="AI28" s="28">
        <f t="shared" si="2"/>
        <v>433.9</v>
      </c>
      <c r="AJ28" s="28">
        <f t="shared" si="3"/>
        <v>222.60000000000002</v>
      </c>
      <c r="AK28" s="28">
        <f t="shared" si="4"/>
        <v>219.3</v>
      </c>
      <c r="AL28" s="28">
        <f t="shared" si="5"/>
        <v>1603.6999999999998</v>
      </c>
      <c r="AM28" s="28">
        <f t="shared" si="6"/>
        <v>108.47499999999999</v>
      </c>
      <c r="AN28" s="28">
        <f t="shared" si="7"/>
        <v>109.65</v>
      </c>
      <c r="AO28" s="29">
        <v>114.54999999999998</v>
      </c>
    </row>
    <row r="29" spans="1:41" x14ac:dyDescent="0.3">
      <c r="A29" s="27" t="s">
        <v>0</v>
      </c>
      <c r="B29" s="20">
        <v>2013</v>
      </c>
      <c r="C29" s="20" t="s">
        <v>12</v>
      </c>
      <c r="D29" s="21" t="str">
        <f t="shared" si="0"/>
        <v>Oct-13</v>
      </c>
      <c r="E29" s="33">
        <v>41548</v>
      </c>
      <c r="F29" s="20" t="s">
        <v>84</v>
      </c>
      <c r="G29" s="20">
        <v>116.3</v>
      </c>
      <c r="H29" s="20">
        <v>115.4</v>
      </c>
      <c r="I29" s="20">
        <v>112.6</v>
      </c>
      <c r="J29" s="20">
        <v>111.7</v>
      </c>
      <c r="K29" s="20">
        <v>107.7</v>
      </c>
      <c r="L29" s="20">
        <v>113.2</v>
      </c>
      <c r="M29" s="20">
        <v>164.9</v>
      </c>
      <c r="N29" s="20">
        <v>108.3</v>
      </c>
      <c r="O29" s="20">
        <v>103.9</v>
      </c>
      <c r="P29" s="20">
        <v>108.2</v>
      </c>
      <c r="Q29" s="20">
        <v>111.1</v>
      </c>
      <c r="R29" s="20">
        <v>114.9</v>
      </c>
      <c r="S29" s="20">
        <v>119.8</v>
      </c>
      <c r="T29" s="20">
        <v>112.2</v>
      </c>
      <c r="U29" s="20">
        <v>113.6</v>
      </c>
      <c r="V29" s="20">
        <v>112.3</v>
      </c>
      <c r="W29" s="20">
        <v>113.4</v>
      </c>
      <c r="X29" s="30">
        <f>'Handle missing value sheet only'!$C$1</f>
        <v>139.27096774193564</v>
      </c>
      <c r="Y29" s="20">
        <v>111.6</v>
      </c>
      <c r="Z29" s="20">
        <v>110.4</v>
      </c>
      <c r="AA29" s="20">
        <v>108.9</v>
      </c>
      <c r="AB29" s="20">
        <v>109.3</v>
      </c>
      <c r="AC29" s="20">
        <v>108.3</v>
      </c>
      <c r="AD29" s="20">
        <v>110.2</v>
      </c>
      <c r="AE29" s="20">
        <v>107.5</v>
      </c>
      <c r="AF29" s="20">
        <v>109.1</v>
      </c>
      <c r="AG29" s="20">
        <v>115.5</v>
      </c>
      <c r="AH29" s="28">
        <f t="shared" si="1"/>
        <v>2860.6709677419358</v>
      </c>
      <c r="AI29" s="28">
        <f t="shared" si="2"/>
        <v>435.1</v>
      </c>
      <c r="AJ29" s="28">
        <f t="shared" si="3"/>
        <v>225.89999999999998</v>
      </c>
      <c r="AK29" s="28">
        <f t="shared" si="4"/>
        <v>249.67096774193564</v>
      </c>
      <c r="AL29" s="28">
        <f t="shared" si="5"/>
        <v>1620.2</v>
      </c>
      <c r="AM29" s="28">
        <f t="shared" si="6"/>
        <v>108.77500000000001</v>
      </c>
      <c r="AN29" s="28">
        <f t="shared" si="7"/>
        <v>124.83548387096782</v>
      </c>
      <c r="AO29" s="31">
        <v>115.72857142857143</v>
      </c>
    </row>
    <row r="30" spans="1:41" x14ac:dyDescent="0.3">
      <c r="A30" s="26" t="s">
        <v>2</v>
      </c>
      <c r="B30" s="21">
        <v>2013</v>
      </c>
      <c r="C30" s="21" t="s">
        <v>12</v>
      </c>
      <c r="D30" s="21" t="str">
        <f t="shared" si="0"/>
        <v>Oct-13</v>
      </c>
      <c r="E30" s="32">
        <v>41548</v>
      </c>
      <c r="F30" s="21" t="s">
        <v>84</v>
      </c>
      <c r="G30" s="21">
        <v>118.9</v>
      </c>
      <c r="H30" s="21">
        <v>118.1</v>
      </c>
      <c r="I30" s="21">
        <v>114.5</v>
      </c>
      <c r="J30" s="21">
        <v>110.4</v>
      </c>
      <c r="K30" s="21">
        <v>102.3</v>
      </c>
      <c r="L30" s="21">
        <v>106.2</v>
      </c>
      <c r="M30" s="21">
        <v>183.5</v>
      </c>
      <c r="N30" s="21">
        <v>105.3</v>
      </c>
      <c r="O30" s="21">
        <v>100.2</v>
      </c>
      <c r="P30" s="21">
        <v>109.6</v>
      </c>
      <c r="Q30" s="21">
        <v>111.4</v>
      </c>
      <c r="R30" s="21">
        <v>116</v>
      </c>
      <c r="S30" s="21">
        <v>120.8</v>
      </c>
      <c r="T30" s="21">
        <v>113.5</v>
      </c>
      <c r="U30" s="21">
        <v>112.5</v>
      </c>
      <c r="V30" s="21">
        <v>109.7</v>
      </c>
      <c r="W30" s="21">
        <v>112</v>
      </c>
      <c r="X30" s="21">
        <v>110.5</v>
      </c>
      <c r="Y30" s="21">
        <v>109.7</v>
      </c>
      <c r="Z30" s="21">
        <v>110.2</v>
      </c>
      <c r="AA30" s="21">
        <v>108.2</v>
      </c>
      <c r="AB30" s="21">
        <v>109.7</v>
      </c>
      <c r="AC30" s="21">
        <v>108</v>
      </c>
      <c r="AD30" s="21">
        <v>111.3</v>
      </c>
      <c r="AE30" s="21">
        <v>107.3</v>
      </c>
      <c r="AF30" s="21">
        <v>109.4</v>
      </c>
      <c r="AG30" s="21">
        <v>114</v>
      </c>
      <c r="AH30" s="28">
        <f t="shared" si="1"/>
        <v>2837.2</v>
      </c>
      <c r="AI30" s="28">
        <f t="shared" si="2"/>
        <v>436</v>
      </c>
      <c r="AJ30" s="28">
        <f t="shared" si="3"/>
        <v>222.2</v>
      </c>
      <c r="AK30" s="28">
        <f t="shared" si="4"/>
        <v>220.7</v>
      </c>
      <c r="AL30" s="28">
        <f t="shared" si="5"/>
        <v>1630.6999999999998</v>
      </c>
      <c r="AM30" s="28">
        <f t="shared" si="6"/>
        <v>109</v>
      </c>
      <c r="AN30" s="28">
        <f t="shared" si="7"/>
        <v>110.35</v>
      </c>
      <c r="AO30" s="29">
        <v>116.47857142857141</v>
      </c>
    </row>
    <row r="31" spans="1:41" x14ac:dyDescent="0.3">
      <c r="A31" s="27" t="s">
        <v>3</v>
      </c>
      <c r="B31" s="20">
        <v>2013</v>
      </c>
      <c r="C31" s="20" t="s">
        <v>12</v>
      </c>
      <c r="D31" s="21" t="str">
        <f t="shared" si="0"/>
        <v>Oct-13</v>
      </c>
      <c r="E31" s="33">
        <v>41548</v>
      </c>
      <c r="F31" s="20" t="s">
        <v>84</v>
      </c>
      <c r="G31" s="20">
        <v>117.1</v>
      </c>
      <c r="H31" s="20">
        <v>116.3</v>
      </c>
      <c r="I31" s="20">
        <v>113.3</v>
      </c>
      <c r="J31" s="20">
        <v>111.2</v>
      </c>
      <c r="K31" s="20">
        <v>105.7</v>
      </c>
      <c r="L31" s="20">
        <v>109.9</v>
      </c>
      <c r="M31" s="20">
        <v>171.2</v>
      </c>
      <c r="N31" s="20">
        <v>107.3</v>
      </c>
      <c r="O31" s="20">
        <v>102.7</v>
      </c>
      <c r="P31" s="20">
        <v>108.7</v>
      </c>
      <c r="Q31" s="20">
        <v>111.2</v>
      </c>
      <c r="R31" s="20">
        <v>115.4</v>
      </c>
      <c r="S31" s="20">
        <v>120.2</v>
      </c>
      <c r="T31" s="20">
        <v>112.5</v>
      </c>
      <c r="U31" s="20">
        <v>113.2</v>
      </c>
      <c r="V31" s="20">
        <v>111.2</v>
      </c>
      <c r="W31" s="20">
        <v>112.8</v>
      </c>
      <c r="X31" s="20">
        <v>110.5</v>
      </c>
      <c r="Y31" s="20">
        <v>110.9</v>
      </c>
      <c r="Z31" s="20">
        <v>110.3</v>
      </c>
      <c r="AA31" s="20">
        <v>108.6</v>
      </c>
      <c r="AB31" s="20">
        <v>109.5</v>
      </c>
      <c r="AC31" s="20">
        <v>108.1</v>
      </c>
      <c r="AD31" s="20">
        <v>110.8</v>
      </c>
      <c r="AE31" s="20">
        <v>107.4</v>
      </c>
      <c r="AF31" s="20">
        <v>109.2</v>
      </c>
      <c r="AG31" s="20">
        <v>114.8</v>
      </c>
      <c r="AH31" s="28">
        <f t="shared" si="1"/>
        <v>2832.3999999999992</v>
      </c>
      <c r="AI31" s="28">
        <f t="shared" si="2"/>
        <v>435.5</v>
      </c>
      <c r="AJ31" s="28">
        <f t="shared" si="3"/>
        <v>224.4</v>
      </c>
      <c r="AK31" s="28">
        <f t="shared" si="4"/>
        <v>220.8</v>
      </c>
      <c r="AL31" s="28">
        <f t="shared" si="5"/>
        <v>1622.7000000000003</v>
      </c>
      <c r="AM31" s="28">
        <f t="shared" si="6"/>
        <v>108.875</v>
      </c>
      <c r="AN31" s="28">
        <f t="shared" si="7"/>
        <v>110.4</v>
      </c>
      <c r="AO31" s="31">
        <v>115.90714285714287</v>
      </c>
    </row>
    <row r="32" spans="1:41" x14ac:dyDescent="0.3">
      <c r="A32" s="26" t="s">
        <v>0</v>
      </c>
      <c r="B32" s="21">
        <v>2013</v>
      </c>
      <c r="C32" s="21" t="s">
        <v>13</v>
      </c>
      <c r="D32" s="21" t="str">
        <f t="shared" si="0"/>
        <v>Nov-13</v>
      </c>
      <c r="E32" s="32">
        <v>41579</v>
      </c>
      <c r="F32" s="21" t="s">
        <v>84</v>
      </c>
      <c r="G32" s="21">
        <v>117.3</v>
      </c>
      <c r="H32" s="21">
        <v>114.9</v>
      </c>
      <c r="I32" s="21">
        <v>116.2</v>
      </c>
      <c r="J32" s="21">
        <v>112.8</v>
      </c>
      <c r="K32" s="21">
        <v>108.9</v>
      </c>
      <c r="L32" s="21">
        <v>116.6</v>
      </c>
      <c r="M32" s="21">
        <v>178.1</v>
      </c>
      <c r="N32" s="21">
        <v>109.1</v>
      </c>
      <c r="O32" s="21">
        <v>103.6</v>
      </c>
      <c r="P32" s="21">
        <v>109</v>
      </c>
      <c r="Q32" s="21">
        <v>111.8</v>
      </c>
      <c r="R32" s="21">
        <v>116</v>
      </c>
      <c r="S32" s="21">
        <v>122.5</v>
      </c>
      <c r="T32" s="21">
        <v>112.8</v>
      </c>
      <c r="U32" s="21">
        <v>114.6</v>
      </c>
      <c r="V32" s="21">
        <v>113.1</v>
      </c>
      <c r="W32" s="21">
        <v>114.4</v>
      </c>
      <c r="X32" s="28">
        <f>'Handle missing value sheet only'!$C$1</f>
        <v>139.27096774193564</v>
      </c>
      <c r="Y32" s="21">
        <v>112.6</v>
      </c>
      <c r="Z32" s="21">
        <v>111.3</v>
      </c>
      <c r="AA32" s="21">
        <v>109.7</v>
      </c>
      <c r="AB32" s="21">
        <v>109.6</v>
      </c>
      <c r="AC32" s="21">
        <v>108.7</v>
      </c>
      <c r="AD32" s="21">
        <v>111</v>
      </c>
      <c r="AE32" s="21">
        <v>108.2</v>
      </c>
      <c r="AF32" s="21">
        <v>109.8</v>
      </c>
      <c r="AG32" s="21">
        <v>117.4</v>
      </c>
      <c r="AH32" s="28">
        <f t="shared" si="1"/>
        <v>2897.470967741936</v>
      </c>
      <c r="AI32" s="28">
        <f t="shared" si="2"/>
        <v>437.7</v>
      </c>
      <c r="AJ32" s="28">
        <f t="shared" si="3"/>
        <v>227.7</v>
      </c>
      <c r="AK32" s="28">
        <f t="shared" si="4"/>
        <v>250.57096774193565</v>
      </c>
      <c r="AL32" s="28">
        <f t="shared" si="5"/>
        <v>1649.6</v>
      </c>
      <c r="AM32" s="28">
        <f t="shared" si="6"/>
        <v>109.425</v>
      </c>
      <c r="AN32" s="28">
        <f t="shared" si="7"/>
        <v>125.28548387096782</v>
      </c>
      <c r="AO32" s="29">
        <v>117.82857142857142</v>
      </c>
    </row>
    <row r="33" spans="1:41" x14ac:dyDescent="0.3">
      <c r="A33" s="27" t="s">
        <v>2</v>
      </c>
      <c r="B33" s="20">
        <v>2013</v>
      </c>
      <c r="C33" s="20" t="s">
        <v>14</v>
      </c>
      <c r="D33" s="21" t="str">
        <f t="shared" si="0"/>
        <v>Nov-13</v>
      </c>
      <c r="E33" s="33">
        <v>41579</v>
      </c>
      <c r="F33" s="20" t="s">
        <v>84</v>
      </c>
      <c r="G33" s="20">
        <v>119.8</v>
      </c>
      <c r="H33" s="20">
        <v>116.3</v>
      </c>
      <c r="I33" s="20">
        <v>122.6</v>
      </c>
      <c r="J33" s="20">
        <v>112</v>
      </c>
      <c r="K33" s="20">
        <v>103.2</v>
      </c>
      <c r="L33" s="20">
        <v>110</v>
      </c>
      <c r="M33" s="20">
        <v>192.8</v>
      </c>
      <c r="N33" s="20">
        <v>106.3</v>
      </c>
      <c r="O33" s="20">
        <v>99.5</v>
      </c>
      <c r="P33" s="20">
        <v>110.3</v>
      </c>
      <c r="Q33" s="20">
        <v>111.8</v>
      </c>
      <c r="R33" s="20">
        <v>117.1</v>
      </c>
      <c r="S33" s="20">
        <v>122.9</v>
      </c>
      <c r="T33" s="20">
        <v>114.1</v>
      </c>
      <c r="U33" s="20">
        <v>113.5</v>
      </c>
      <c r="V33" s="20">
        <v>110.3</v>
      </c>
      <c r="W33" s="20">
        <v>113</v>
      </c>
      <c r="X33" s="20">
        <v>111.1</v>
      </c>
      <c r="Y33" s="20">
        <v>110</v>
      </c>
      <c r="Z33" s="20">
        <v>110.9</v>
      </c>
      <c r="AA33" s="20">
        <v>108.6</v>
      </c>
      <c r="AB33" s="20">
        <v>109.5</v>
      </c>
      <c r="AC33" s="20">
        <v>108.5</v>
      </c>
      <c r="AD33" s="20">
        <v>111.3</v>
      </c>
      <c r="AE33" s="20">
        <v>107.9</v>
      </c>
      <c r="AF33" s="20">
        <v>109.6</v>
      </c>
      <c r="AG33" s="20">
        <v>115</v>
      </c>
      <c r="AH33" s="28">
        <f t="shared" si="1"/>
        <v>2869.9</v>
      </c>
      <c r="AI33" s="28">
        <f t="shared" si="2"/>
        <v>437.3</v>
      </c>
      <c r="AJ33" s="28">
        <f t="shared" si="3"/>
        <v>223.8</v>
      </c>
      <c r="AK33" s="28">
        <f t="shared" si="4"/>
        <v>222</v>
      </c>
      <c r="AL33" s="28">
        <f t="shared" si="5"/>
        <v>1658.6999999999998</v>
      </c>
      <c r="AM33" s="28">
        <f t="shared" si="6"/>
        <v>109.325</v>
      </c>
      <c r="AN33" s="28">
        <f t="shared" si="7"/>
        <v>111</v>
      </c>
      <c r="AO33" s="31">
        <v>118.47857142857141</v>
      </c>
    </row>
    <row r="34" spans="1:41" x14ac:dyDescent="0.3">
      <c r="A34" s="26" t="s">
        <v>3</v>
      </c>
      <c r="B34" s="21">
        <v>2013</v>
      </c>
      <c r="C34" s="21" t="s">
        <v>14</v>
      </c>
      <c r="D34" s="21" t="str">
        <f t="shared" si="0"/>
        <v>Nov-13</v>
      </c>
      <c r="E34" s="32">
        <v>41579</v>
      </c>
      <c r="F34" s="21" t="s">
        <v>84</v>
      </c>
      <c r="G34" s="21">
        <v>118.1</v>
      </c>
      <c r="H34" s="21">
        <v>115.4</v>
      </c>
      <c r="I34" s="21">
        <v>118.7</v>
      </c>
      <c r="J34" s="21">
        <v>112.5</v>
      </c>
      <c r="K34" s="21">
        <v>106.8</v>
      </c>
      <c r="L34" s="21">
        <v>113.5</v>
      </c>
      <c r="M34" s="21">
        <v>183.1</v>
      </c>
      <c r="N34" s="21">
        <v>108.2</v>
      </c>
      <c r="O34" s="21">
        <v>102.2</v>
      </c>
      <c r="P34" s="21">
        <v>109.4</v>
      </c>
      <c r="Q34" s="21">
        <v>111.8</v>
      </c>
      <c r="R34" s="21">
        <v>116.5</v>
      </c>
      <c r="S34" s="21">
        <v>122.6</v>
      </c>
      <c r="T34" s="21">
        <v>113.1</v>
      </c>
      <c r="U34" s="21">
        <v>114.2</v>
      </c>
      <c r="V34" s="21">
        <v>111.9</v>
      </c>
      <c r="W34" s="21">
        <v>113.8</v>
      </c>
      <c r="X34" s="21">
        <v>111.1</v>
      </c>
      <c r="Y34" s="21">
        <v>111.6</v>
      </c>
      <c r="Z34" s="21">
        <v>111.1</v>
      </c>
      <c r="AA34" s="21">
        <v>109.3</v>
      </c>
      <c r="AB34" s="21">
        <v>109.5</v>
      </c>
      <c r="AC34" s="21">
        <v>108.6</v>
      </c>
      <c r="AD34" s="21">
        <v>111.2</v>
      </c>
      <c r="AE34" s="21">
        <v>108.1</v>
      </c>
      <c r="AF34" s="21">
        <v>109.7</v>
      </c>
      <c r="AG34" s="21">
        <v>116.3</v>
      </c>
      <c r="AH34" s="28">
        <f t="shared" si="1"/>
        <v>2868.2</v>
      </c>
      <c r="AI34" s="28">
        <f t="shared" si="2"/>
        <v>437.6</v>
      </c>
      <c r="AJ34" s="28">
        <f t="shared" si="3"/>
        <v>226.10000000000002</v>
      </c>
      <c r="AK34" s="28">
        <f t="shared" si="4"/>
        <v>222.2</v>
      </c>
      <c r="AL34" s="28">
        <f t="shared" si="5"/>
        <v>1651.8999999999999</v>
      </c>
      <c r="AM34" s="28">
        <f t="shared" si="6"/>
        <v>109.4</v>
      </c>
      <c r="AN34" s="28">
        <f t="shared" si="7"/>
        <v>111.1</v>
      </c>
      <c r="AO34" s="29">
        <v>117.99285714285713</v>
      </c>
    </row>
    <row r="35" spans="1:41" x14ac:dyDescent="0.3">
      <c r="A35" s="27" t="s">
        <v>0</v>
      </c>
      <c r="B35" s="20">
        <v>2013</v>
      </c>
      <c r="C35" s="20" t="s">
        <v>15</v>
      </c>
      <c r="D35" s="21" t="str">
        <f t="shared" si="0"/>
        <v>Dec-13</v>
      </c>
      <c r="E35" s="33">
        <v>41609</v>
      </c>
      <c r="F35" s="20" t="s">
        <v>84</v>
      </c>
      <c r="G35" s="20">
        <v>118.4</v>
      </c>
      <c r="H35" s="20">
        <v>115.9</v>
      </c>
      <c r="I35" s="20">
        <v>120.4</v>
      </c>
      <c r="J35" s="20">
        <v>113.8</v>
      </c>
      <c r="K35" s="20">
        <v>109.5</v>
      </c>
      <c r="L35" s="20">
        <v>115.5</v>
      </c>
      <c r="M35" s="20">
        <v>145.69999999999999</v>
      </c>
      <c r="N35" s="20">
        <v>109.5</v>
      </c>
      <c r="O35" s="20">
        <v>102.9</v>
      </c>
      <c r="P35" s="20">
        <v>109.8</v>
      </c>
      <c r="Q35" s="20">
        <v>112.1</v>
      </c>
      <c r="R35" s="20">
        <v>116.8</v>
      </c>
      <c r="S35" s="20">
        <v>118.7</v>
      </c>
      <c r="T35" s="20">
        <v>113.6</v>
      </c>
      <c r="U35" s="20">
        <v>115.8</v>
      </c>
      <c r="V35" s="20">
        <v>114</v>
      </c>
      <c r="W35" s="20">
        <v>115.5</v>
      </c>
      <c r="X35" s="30">
        <f>'Handle missing value sheet only'!$C$1</f>
        <v>139.27096774193564</v>
      </c>
      <c r="Y35" s="20">
        <v>112.8</v>
      </c>
      <c r="Z35" s="20">
        <v>112.1</v>
      </c>
      <c r="AA35" s="20">
        <v>110.1</v>
      </c>
      <c r="AB35" s="20">
        <v>109.9</v>
      </c>
      <c r="AC35" s="20">
        <v>109.2</v>
      </c>
      <c r="AD35" s="20">
        <v>111.6</v>
      </c>
      <c r="AE35" s="20">
        <v>108.1</v>
      </c>
      <c r="AF35" s="20">
        <v>110.1</v>
      </c>
      <c r="AG35" s="20">
        <v>115.5</v>
      </c>
      <c r="AH35" s="28">
        <f t="shared" si="1"/>
        <v>2875.5709677419363</v>
      </c>
      <c r="AI35" s="28">
        <f t="shared" si="2"/>
        <v>438.99999999999994</v>
      </c>
      <c r="AJ35" s="28">
        <f t="shared" si="3"/>
        <v>229.8</v>
      </c>
      <c r="AK35" s="28">
        <f t="shared" si="4"/>
        <v>251.37096774193563</v>
      </c>
      <c r="AL35" s="28">
        <f t="shared" si="5"/>
        <v>1622.6</v>
      </c>
      <c r="AM35" s="28">
        <f t="shared" si="6"/>
        <v>109.74999999999999</v>
      </c>
      <c r="AN35" s="28">
        <f t="shared" si="7"/>
        <v>125.68548387096781</v>
      </c>
      <c r="AO35" s="31">
        <v>115.89999999999999</v>
      </c>
    </row>
    <row r="36" spans="1:41" x14ac:dyDescent="0.3">
      <c r="A36" s="26" t="s">
        <v>2</v>
      </c>
      <c r="B36" s="21">
        <v>2013</v>
      </c>
      <c r="C36" s="21" t="s">
        <v>15</v>
      </c>
      <c r="D36" s="21" t="str">
        <f t="shared" si="0"/>
        <v>Dec-13</v>
      </c>
      <c r="E36" s="32">
        <v>41609</v>
      </c>
      <c r="F36" s="21" t="s">
        <v>84</v>
      </c>
      <c r="G36" s="21">
        <v>120.5</v>
      </c>
      <c r="H36" s="21">
        <v>118.1</v>
      </c>
      <c r="I36" s="21">
        <v>128.5</v>
      </c>
      <c r="J36" s="21">
        <v>112.8</v>
      </c>
      <c r="K36" s="21">
        <v>103.4</v>
      </c>
      <c r="L36" s="21">
        <v>110.7</v>
      </c>
      <c r="M36" s="21">
        <v>144.80000000000001</v>
      </c>
      <c r="N36" s="21">
        <v>107.1</v>
      </c>
      <c r="O36" s="21">
        <v>98.6</v>
      </c>
      <c r="P36" s="21">
        <v>111.9</v>
      </c>
      <c r="Q36" s="21">
        <v>112.1</v>
      </c>
      <c r="R36" s="21">
        <v>118.1</v>
      </c>
      <c r="S36" s="21">
        <v>117.8</v>
      </c>
      <c r="T36" s="21">
        <v>115</v>
      </c>
      <c r="U36" s="21">
        <v>114.2</v>
      </c>
      <c r="V36" s="21">
        <v>110.9</v>
      </c>
      <c r="W36" s="21">
        <v>113.7</v>
      </c>
      <c r="X36" s="21">
        <v>110.7</v>
      </c>
      <c r="Y36" s="21">
        <v>110.4</v>
      </c>
      <c r="Z36" s="21">
        <v>111.3</v>
      </c>
      <c r="AA36" s="21">
        <v>109</v>
      </c>
      <c r="AB36" s="21">
        <v>109.7</v>
      </c>
      <c r="AC36" s="21">
        <v>108.9</v>
      </c>
      <c r="AD36" s="21">
        <v>111.4</v>
      </c>
      <c r="AE36" s="21">
        <v>107.7</v>
      </c>
      <c r="AF36" s="21">
        <v>109.8</v>
      </c>
      <c r="AG36" s="21">
        <v>113.3</v>
      </c>
      <c r="AH36" s="28">
        <f t="shared" si="1"/>
        <v>2833.3999999999996</v>
      </c>
      <c r="AI36" s="28">
        <f t="shared" si="2"/>
        <v>437.79999999999995</v>
      </c>
      <c r="AJ36" s="28">
        <f t="shared" si="3"/>
        <v>225.10000000000002</v>
      </c>
      <c r="AK36" s="28">
        <f t="shared" si="4"/>
        <v>222</v>
      </c>
      <c r="AL36" s="28">
        <f t="shared" si="5"/>
        <v>1619.4</v>
      </c>
      <c r="AM36" s="28">
        <f t="shared" si="6"/>
        <v>109.44999999999999</v>
      </c>
      <c r="AN36" s="28">
        <f t="shared" si="7"/>
        <v>111</v>
      </c>
      <c r="AO36" s="29">
        <v>115.67142857142858</v>
      </c>
    </row>
    <row r="37" spans="1:41" x14ac:dyDescent="0.3">
      <c r="A37" s="27" t="s">
        <v>3</v>
      </c>
      <c r="B37" s="20">
        <v>2013</v>
      </c>
      <c r="C37" s="20" t="s">
        <v>15</v>
      </c>
      <c r="D37" s="21" t="str">
        <f t="shared" si="0"/>
        <v>Dec-13</v>
      </c>
      <c r="E37" s="33">
        <v>41609</v>
      </c>
      <c r="F37" s="20" t="s">
        <v>84</v>
      </c>
      <c r="G37" s="20">
        <v>119.1</v>
      </c>
      <c r="H37" s="20">
        <v>116.7</v>
      </c>
      <c r="I37" s="20">
        <v>123.5</v>
      </c>
      <c r="J37" s="20">
        <v>113.4</v>
      </c>
      <c r="K37" s="20">
        <v>107.3</v>
      </c>
      <c r="L37" s="20">
        <v>113.3</v>
      </c>
      <c r="M37" s="20">
        <v>145.4</v>
      </c>
      <c r="N37" s="20">
        <v>108.7</v>
      </c>
      <c r="O37" s="20">
        <v>101.5</v>
      </c>
      <c r="P37" s="20">
        <v>110.5</v>
      </c>
      <c r="Q37" s="20">
        <v>112.1</v>
      </c>
      <c r="R37" s="20">
        <v>117.4</v>
      </c>
      <c r="S37" s="20">
        <v>118.4</v>
      </c>
      <c r="T37" s="20">
        <v>114</v>
      </c>
      <c r="U37" s="20">
        <v>115.2</v>
      </c>
      <c r="V37" s="20">
        <v>112.7</v>
      </c>
      <c r="W37" s="20">
        <v>114.8</v>
      </c>
      <c r="X37" s="20">
        <v>110.7</v>
      </c>
      <c r="Y37" s="20">
        <v>111.9</v>
      </c>
      <c r="Z37" s="20">
        <v>111.7</v>
      </c>
      <c r="AA37" s="20">
        <v>109.7</v>
      </c>
      <c r="AB37" s="20">
        <v>109.8</v>
      </c>
      <c r="AC37" s="20">
        <v>109</v>
      </c>
      <c r="AD37" s="20">
        <v>111.5</v>
      </c>
      <c r="AE37" s="20">
        <v>107.9</v>
      </c>
      <c r="AF37" s="20">
        <v>110</v>
      </c>
      <c r="AG37" s="20">
        <v>114.5</v>
      </c>
      <c r="AH37" s="28">
        <f t="shared" si="1"/>
        <v>2841.4</v>
      </c>
      <c r="AI37" s="28">
        <f t="shared" si="2"/>
        <v>438.4</v>
      </c>
      <c r="AJ37" s="28">
        <f t="shared" si="3"/>
        <v>227.9</v>
      </c>
      <c r="AK37" s="28">
        <f t="shared" si="4"/>
        <v>222.4</v>
      </c>
      <c r="AL37" s="28">
        <f t="shared" si="5"/>
        <v>1621.3000000000002</v>
      </c>
      <c r="AM37" s="28">
        <f t="shared" si="6"/>
        <v>109.6</v>
      </c>
      <c r="AN37" s="28">
        <f t="shared" si="7"/>
        <v>111.2</v>
      </c>
      <c r="AO37" s="31">
        <v>115.80714285714286</v>
      </c>
    </row>
    <row r="38" spans="1:41" x14ac:dyDescent="0.3">
      <c r="A38" s="26" t="s">
        <v>0</v>
      </c>
      <c r="B38" s="21">
        <v>2014</v>
      </c>
      <c r="C38" s="21" t="s">
        <v>1</v>
      </c>
      <c r="D38" s="21" t="str">
        <f t="shared" si="0"/>
        <v>Jan-14</v>
      </c>
      <c r="E38" s="32">
        <v>41640</v>
      </c>
      <c r="F38" s="21" t="s">
        <v>84</v>
      </c>
      <c r="G38" s="21">
        <v>118.9</v>
      </c>
      <c r="H38" s="21">
        <v>117.1</v>
      </c>
      <c r="I38" s="21">
        <v>120.5</v>
      </c>
      <c r="J38" s="21">
        <v>114.4</v>
      </c>
      <c r="K38" s="21">
        <v>109</v>
      </c>
      <c r="L38" s="21">
        <v>115.5</v>
      </c>
      <c r="M38" s="21">
        <v>123.9</v>
      </c>
      <c r="N38" s="21">
        <v>109.6</v>
      </c>
      <c r="O38" s="21">
        <v>101.8</v>
      </c>
      <c r="P38" s="21">
        <v>110.2</v>
      </c>
      <c r="Q38" s="21">
        <v>112.4</v>
      </c>
      <c r="R38" s="21">
        <v>117.3</v>
      </c>
      <c r="S38" s="21">
        <v>116</v>
      </c>
      <c r="T38" s="21">
        <v>114</v>
      </c>
      <c r="U38" s="21">
        <v>116.5</v>
      </c>
      <c r="V38" s="21">
        <v>114.5</v>
      </c>
      <c r="W38" s="21">
        <v>116.2</v>
      </c>
      <c r="X38" s="28">
        <f>'Handle missing value sheet only'!$C$1</f>
        <v>139.27096774193564</v>
      </c>
      <c r="Y38" s="21">
        <v>113</v>
      </c>
      <c r="Z38" s="21">
        <v>112.6</v>
      </c>
      <c r="AA38" s="21">
        <v>110.6</v>
      </c>
      <c r="AB38" s="21">
        <v>110.5</v>
      </c>
      <c r="AC38" s="21">
        <v>109.6</v>
      </c>
      <c r="AD38" s="21">
        <v>111.8</v>
      </c>
      <c r="AE38" s="21">
        <v>108.3</v>
      </c>
      <c r="AF38" s="21">
        <v>110.6</v>
      </c>
      <c r="AG38" s="21">
        <v>114.2</v>
      </c>
      <c r="AH38" s="28">
        <f t="shared" si="1"/>
        <v>2857.8709677419356</v>
      </c>
      <c r="AI38" s="28">
        <f t="shared" si="2"/>
        <v>440.29999999999995</v>
      </c>
      <c r="AJ38" s="28">
        <f t="shared" si="3"/>
        <v>231</v>
      </c>
      <c r="AK38" s="28">
        <f t="shared" si="4"/>
        <v>251.87096774193563</v>
      </c>
      <c r="AL38" s="28">
        <f t="shared" si="5"/>
        <v>1600.6000000000001</v>
      </c>
      <c r="AM38" s="28">
        <f t="shared" si="6"/>
        <v>110.07499999999999</v>
      </c>
      <c r="AN38" s="28">
        <f t="shared" si="7"/>
        <v>125.93548387096781</v>
      </c>
      <c r="AO38" s="29">
        <v>114.32857142857144</v>
      </c>
    </row>
    <row r="39" spans="1:41" x14ac:dyDescent="0.3">
      <c r="A39" s="27" t="s">
        <v>2</v>
      </c>
      <c r="B39" s="20">
        <v>2014</v>
      </c>
      <c r="C39" s="20" t="s">
        <v>1</v>
      </c>
      <c r="D39" s="21" t="str">
        <f t="shared" si="0"/>
        <v>Jan-14</v>
      </c>
      <c r="E39" s="33">
        <v>41640</v>
      </c>
      <c r="F39" s="20" t="s">
        <v>84</v>
      </c>
      <c r="G39" s="20">
        <v>121.2</v>
      </c>
      <c r="H39" s="20">
        <v>122</v>
      </c>
      <c r="I39" s="20">
        <v>129.9</v>
      </c>
      <c r="J39" s="20">
        <v>113.6</v>
      </c>
      <c r="K39" s="20">
        <v>102.9</v>
      </c>
      <c r="L39" s="20">
        <v>112.1</v>
      </c>
      <c r="M39" s="20">
        <v>118.9</v>
      </c>
      <c r="N39" s="20">
        <v>107.5</v>
      </c>
      <c r="O39" s="20">
        <v>96.9</v>
      </c>
      <c r="P39" s="20">
        <v>112.7</v>
      </c>
      <c r="Q39" s="20">
        <v>112.1</v>
      </c>
      <c r="R39" s="20">
        <v>119</v>
      </c>
      <c r="S39" s="20">
        <v>115.5</v>
      </c>
      <c r="T39" s="20">
        <v>115.7</v>
      </c>
      <c r="U39" s="20">
        <v>114.8</v>
      </c>
      <c r="V39" s="20">
        <v>111.3</v>
      </c>
      <c r="W39" s="20">
        <v>114.3</v>
      </c>
      <c r="X39" s="20">
        <v>111.6</v>
      </c>
      <c r="Y39" s="20">
        <v>111</v>
      </c>
      <c r="Z39" s="20">
        <v>111.9</v>
      </c>
      <c r="AA39" s="20">
        <v>109.7</v>
      </c>
      <c r="AB39" s="20">
        <v>110.8</v>
      </c>
      <c r="AC39" s="20">
        <v>109.8</v>
      </c>
      <c r="AD39" s="20">
        <v>111.5</v>
      </c>
      <c r="AE39" s="20">
        <v>108</v>
      </c>
      <c r="AF39" s="20">
        <v>110.5</v>
      </c>
      <c r="AG39" s="20">
        <v>112.9</v>
      </c>
      <c r="AH39" s="28">
        <f t="shared" si="1"/>
        <v>2820.9</v>
      </c>
      <c r="AI39" s="28">
        <f t="shared" si="2"/>
        <v>439.8</v>
      </c>
      <c r="AJ39" s="28">
        <f t="shared" si="3"/>
        <v>226.1</v>
      </c>
      <c r="AK39" s="28">
        <f t="shared" si="4"/>
        <v>223.5</v>
      </c>
      <c r="AL39" s="28">
        <f t="shared" si="5"/>
        <v>1600</v>
      </c>
      <c r="AM39" s="28">
        <f t="shared" si="6"/>
        <v>109.95</v>
      </c>
      <c r="AN39" s="28">
        <f t="shared" si="7"/>
        <v>111.75</v>
      </c>
      <c r="AO39" s="31">
        <v>114.28571428571429</v>
      </c>
    </row>
    <row r="40" spans="1:41" x14ac:dyDescent="0.3">
      <c r="A40" s="26" t="s">
        <v>3</v>
      </c>
      <c r="B40" s="21">
        <v>2014</v>
      </c>
      <c r="C40" s="21" t="s">
        <v>1</v>
      </c>
      <c r="D40" s="21" t="str">
        <f t="shared" si="0"/>
        <v>Jan-14</v>
      </c>
      <c r="E40" s="32">
        <v>41640</v>
      </c>
      <c r="F40" s="21" t="s">
        <v>84</v>
      </c>
      <c r="G40" s="21">
        <v>119.6</v>
      </c>
      <c r="H40" s="21">
        <v>118.8</v>
      </c>
      <c r="I40" s="21">
        <v>124.1</v>
      </c>
      <c r="J40" s="21">
        <v>114.1</v>
      </c>
      <c r="K40" s="21">
        <v>106.8</v>
      </c>
      <c r="L40" s="21">
        <v>113.9</v>
      </c>
      <c r="M40" s="21">
        <v>122.2</v>
      </c>
      <c r="N40" s="21">
        <v>108.9</v>
      </c>
      <c r="O40" s="21">
        <v>100.2</v>
      </c>
      <c r="P40" s="21">
        <v>111</v>
      </c>
      <c r="Q40" s="21">
        <v>112.3</v>
      </c>
      <c r="R40" s="21">
        <v>118.1</v>
      </c>
      <c r="S40" s="21">
        <v>115.8</v>
      </c>
      <c r="T40" s="21">
        <v>114.5</v>
      </c>
      <c r="U40" s="21">
        <v>115.8</v>
      </c>
      <c r="V40" s="21">
        <v>113.2</v>
      </c>
      <c r="W40" s="21">
        <v>115.4</v>
      </c>
      <c r="X40" s="21">
        <v>111.6</v>
      </c>
      <c r="Y40" s="21">
        <v>112.2</v>
      </c>
      <c r="Z40" s="21">
        <v>112.3</v>
      </c>
      <c r="AA40" s="21">
        <v>110.3</v>
      </c>
      <c r="AB40" s="21">
        <v>110.7</v>
      </c>
      <c r="AC40" s="21">
        <v>109.7</v>
      </c>
      <c r="AD40" s="21">
        <v>111.6</v>
      </c>
      <c r="AE40" s="21">
        <v>108.2</v>
      </c>
      <c r="AF40" s="21">
        <v>110.6</v>
      </c>
      <c r="AG40" s="21">
        <v>113.6</v>
      </c>
      <c r="AH40" s="28">
        <f t="shared" si="1"/>
        <v>2826.5000000000005</v>
      </c>
      <c r="AI40" s="28">
        <f t="shared" si="2"/>
        <v>440.09999999999997</v>
      </c>
      <c r="AJ40" s="28">
        <f t="shared" si="3"/>
        <v>229</v>
      </c>
      <c r="AK40" s="28">
        <f t="shared" si="4"/>
        <v>223.89999999999998</v>
      </c>
      <c r="AL40" s="28">
        <f t="shared" si="5"/>
        <v>1600.2999999999997</v>
      </c>
      <c r="AM40" s="28">
        <f t="shared" si="6"/>
        <v>110.02499999999999</v>
      </c>
      <c r="AN40" s="28">
        <f t="shared" si="7"/>
        <v>111.94999999999999</v>
      </c>
      <c r="AO40" s="29">
        <v>114.30714285714284</v>
      </c>
    </row>
    <row r="41" spans="1:41" x14ac:dyDescent="0.3">
      <c r="A41" s="27" t="s">
        <v>0</v>
      </c>
      <c r="B41" s="20">
        <v>2014</v>
      </c>
      <c r="C41" s="20" t="s">
        <v>4</v>
      </c>
      <c r="D41" s="21" t="str">
        <f t="shared" si="0"/>
        <v>Feb-14</v>
      </c>
      <c r="E41" s="33">
        <v>41671</v>
      </c>
      <c r="F41" s="20" t="s">
        <v>84</v>
      </c>
      <c r="G41" s="20">
        <v>119.4</v>
      </c>
      <c r="H41" s="20">
        <v>117.7</v>
      </c>
      <c r="I41" s="20">
        <v>121.2</v>
      </c>
      <c r="J41" s="20">
        <v>115</v>
      </c>
      <c r="K41" s="20">
        <v>109</v>
      </c>
      <c r="L41" s="20">
        <v>116.6</v>
      </c>
      <c r="M41" s="20">
        <v>116</v>
      </c>
      <c r="N41" s="20">
        <v>109.8</v>
      </c>
      <c r="O41" s="20">
        <v>101.1</v>
      </c>
      <c r="P41" s="20">
        <v>110.4</v>
      </c>
      <c r="Q41" s="20">
        <v>112.9</v>
      </c>
      <c r="R41" s="20">
        <v>117.8</v>
      </c>
      <c r="S41" s="20">
        <v>115.3</v>
      </c>
      <c r="T41" s="20">
        <v>114.2</v>
      </c>
      <c r="U41" s="20">
        <v>117.1</v>
      </c>
      <c r="V41" s="20">
        <v>114.5</v>
      </c>
      <c r="W41" s="20">
        <v>116.7</v>
      </c>
      <c r="X41" s="30">
        <f>'Handle missing value sheet only'!$C$1</f>
        <v>139.27096774193564</v>
      </c>
      <c r="Y41" s="20">
        <v>113.2</v>
      </c>
      <c r="Z41" s="20">
        <v>112.9</v>
      </c>
      <c r="AA41" s="20">
        <v>110.9</v>
      </c>
      <c r="AB41" s="20">
        <v>110.8</v>
      </c>
      <c r="AC41" s="20">
        <v>109.9</v>
      </c>
      <c r="AD41" s="20">
        <v>112</v>
      </c>
      <c r="AE41" s="20">
        <v>108.7</v>
      </c>
      <c r="AF41" s="20">
        <v>110.9</v>
      </c>
      <c r="AG41" s="20">
        <v>114</v>
      </c>
      <c r="AH41" s="28">
        <f t="shared" si="1"/>
        <v>2856.5709677419359</v>
      </c>
      <c r="AI41" s="28">
        <f t="shared" si="2"/>
        <v>441.5</v>
      </c>
      <c r="AJ41" s="28">
        <f t="shared" si="3"/>
        <v>231.6</v>
      </c>
      <c r="AK41" s="28">
        <f t="shared" si="4"/>
        <v>252.17096774193564</v>
      </c>
      <c r="AL41" s="28">
        <f t="shared" si="5"/>
        <v>1596.4</v>
      </c>
      <c r="AM41" s="28">
        <f t="shared" si="6"/>
        <v>110.375</v>
      </c>
      <c r="AN41" s="28">
        <f t="shared" si="7"/>
        <v>126.08548387096782</v>
      </c>
      <c r="AO41" s="31">
        <v>114.02857142857144</v>
      </c>
    </row>
    <row r="42" spans="1:41" x14ac:dyDescent="0.3">
      <c r="A42" s="26" t="s">
        <v>2</v>
      </c>
      <c r="B42" s="21">
        <v>2014</v>
      </c>
      <c r="C42" s="21" t="s">
        <v>4</v>
      </c>
      <c r="D42" s="21" t="str">
        <f t="shared" si="0"/>
        <v>Feb-14</v>
      </c>
      <c r="E42" s="32">
        <v>41671</v>
      </c>
      <c r="F42" s="21" t="s">
        <v>84</v>
      </c>
      <c r="G42" s="21">
        <v>121.9</v>
      </c>
      <c r="H42" s="21">
        <v>122</v>
      </c>
      <c r="I42" s="21">
        <v>124.5</v>
      </c>
      <c r="J42" s="21">
        <v>115.2</v>
      </c>
      <c r="K42" s="21">
        <v>102.5</v>
      </c>
      <c r="L42" s="21">
        <v>114.1</v>
      </c>
      <c r="M42" s="21">
        <v>111.5</v>
      </c>
      <c r="N42" s="21">
        <v>108.2</v>
      </c>
      <c r="O42" s="21">
        <v>95.4</v>
      </c>
      <c r="P42" s="21">
        <v>113.5</v>
      </c>
      <c r="Q42" s="21">
        <v>112.1</v>
      </c>
      <c r="R42" s="21">
        <v>119.9</v>
      </c>
      <c r="S42" s="21">
        <v>115.2</v>
      </c>
      <c r="T42" s="21">
        <v>116.2</v>
      </c>
      <c r="U42" s="21">
        <v>115.3</v>
      </c>
      <c r="V42" s="21">
        <v>111.7</v>
      </c>
      <c r="W42" s="21">
        <v>114.7</v>
      </c>
      <c r="X42" s="21">
        <v>112.5</v>
      </c>
      <c r="Y42" s="21">
        <v>111.1</v>
      </c>
      <c r="Z42" s="21">
        <v>112.6</v>
      </c>
      <c r="AA42" s="21">
        <v>110.4</v>
      </c>
      <c r="AB42" s="21">
        <v>111.3</v>
      </c>
      <c r="AC42" s="21">
        <v>110.3</v>
      </c>
      <c r="AD42" s="21">
        <v>111.6</v>
      </c>
      <c r="AE42" s="21">
        <v>108.7</v>
      </c>
      <c r="AF42" s="21">
        <v>111</v>
      </c>
      <c r="AG42" s="21">
        <v>113.1</v>
      </c>
      <c r="AH42" s="28">
        <f t="shared" si="1"/>
        <v>2818.7</v>
      </c>
      <c r="AI42" s="28">
        <f t="shared" si="2"/>
        <v>441.59999999999997</v>
      </c>
      <c r="AJ42" s="28">
        <f t="shared" si="3"/>
        <v>227</v>
      </c>
      <c r="AK42" s="28">
        <f t="shared" si="4"/>
        <v>225.1</v>
      </c>
      <c r="AL42" s="28">
        <f t="shared" si="5"/>
        <v>1592.2</v>
      </c>
      <c r="AM42" s="28">
        <f t="shared" si="6"/>
        <v>110.39999999999999</v>
      </c>
      <c r="AN42" s="28">
        <f t="shared" si="7"/>
        <v>112.55</v>
      </c>
      <c r="AO42" s="29">
        <v>113.72857142857143</v>
      </c>
    </row>
    <row r="43" spans="1:41" x14ac:dyDescent="0.3">
      <c r="A43" s="27" t="s">
        <v>3</v>
      </c>
      <c r="B43" s="20">
        <v>2014</v>
      </c>
      <c r="C43" s="20" t="s">
        <v>4</v>
      </c>
      <c r="D43" s="21" t="str">
        <f t="shared" si="0"/>
        <v>Feb-14</v>
      </c>
      <c r="E43" s="33">
        <v>41671</v>
      </c>
      <c r="F43" s="20" t="s">
        <v>84</v>
      </c>
      <c r="G43" s="20">
        <v>120.2</v>
      </c>
      <c r="H43" s="20">
        <v>119.2</v>
      </c>
      <c r="I43" s="20">
        <v>122.5</v>
      </c>
      <c r="J43" s="20">
        <v>115.1</v>
      </c>
      <c r="K43" s="20">
        <v>106.6</v>
      </c>
      <c r="L43" s="20">
        <v>115.4</v>
      </c>
      <c r="M43" s="20">
        <v>114.5</v>
      </c>
      <c r="N43" s="20">
        <v>109.3</v>
      </c>
      <c r="O43" s="20">
        <v>99.2</v>
      </c>
      <c r="P43" s="20">
        <v>111.4</v>
      </c>
      <c r="Q43" s="20">
        <v>112.6</v>
      </c>
      <c r="R43" s="20">
        <v>118.8</v>
      </c>
      <c r="S43" s="20">
        <v>115.3</v>
      </c>
      <c r="T43" s="20">
        <v>114.7</v>
      </c>
      <c r="U43" s="20">
        <v>116.4</v>
      </c>
      <c r="V43" s="20">
        <v>113.3</v>
      </c>
      <c r="W43" s="20">
        <v>115.9</v>
      </c>
      <c r="X43" s="20">
        <v>112.5</v>
      </c>
      <c r="Y43" s="20">
        <v>112.4</v>
      </c>
      <c r="Z43" s="20">
        <v>112.8</v>
      </c>
      <c r="AA43" s="20">
        <v>110.7</v>
      </c>
      <c r="AB43" s="20">
        <v>111.1</v>
      </c>
      <c r="AC43" s="20">
        <v>110.1</v>
      </c>
      <c r="AD43" s="20">
        <v>111.8</v>
      </c>
      <c r="AE43" s="20">
        <v>108.7</v>
      </c>
      <c r="AF43" s="20">
        <v>110.9</v>
      </c>
      <c r="AG43" s="20">
        <v>113.6</v>
      </c>
      <c r="AH43" s="28">
        <f t="shared" si="1"/>
        <v>2825.5000000000005</v>
      </c>
      <c r="AI43" s="28">
        <f t="shared" si="2"/>
        <v>441.5</v>
      </c>
      <c r="AJ43" s="28">
        <f t="shared" si="3"/>
        <v>229.7</v>
      </c>
      <c r="AK43" s="28">
        <f t="shared" si="4"/>
        <v>225.3</v>
      </c>
      <c r="AL43" s="28">
        <f t="shared" si="5"/>
        <v>1594.8</v>
      </c>
      <c r="AM43" s="28">
        <f t="shared" si="6"/>
        <v>110.375</v>
      </c>
      <c r="AN43" s="28">
        <f t="shared" si="7"/>
        <v>112.65</v>
      </c>
      <c r="AO43" s="31">
        <v>113.91428571428571</v>
      </c>
    </row>
    <row r="44" spans="1:41" x14ac:dyDescent="0.3">
      <c r="A44" s="26" t="s">
        <v>0</v>
      </c>
      <c r="B44" s="21">
        <v>2014</v>
      </c>
      <c r="C44" s="21" t="s">
        <v>5</v>
      </c>
      <c r="D44" s="21" t="str">
        <f t="shared" si="0"/>
        <v>Mar-14</v>
      </c>
      <c r="E44" s="32">
        <v>41699</v>
      </c>
      <c r="F44" s="21" t="s">
        <v>84</v>
      </c>
      <c r="G44" s="21">
        <v>120.1</v>
      </c>
      <c r="H44" s="21">
        <v>118.1</v>
      </c>
      <c r="I44" s="21">
        <v>120.7</v>
      </c>
      <c r="J44" s="21">
        <v>116.1</v>
      </c>
      <c r="K44" s="21">
        <v>109.3</v>
      </c>
      <c r="L44" s="21">
        <v>119.6</v>
      </c>
      <c r="M44" s="21">
        <v>117.9</v>
      </c>
      <c r="N44" s="21">
        <v>110.2</v>
      </c>
      <c r="O44" s="21">
        <v>101.2</v>
      </c>
      <c r="P44" s="21">
        <v>110.7</v>
      </c>
      <c r="Q44" s="21">
        <v>113</v>
      </c>
      <c r="R44" s="21">
        <v>118.3</v>
      </c>
      <c r="S44" s="21">
        <v>116.2</v>
      </c>
      <c r="T44" s="21">
        <v>114.6</v>
      </c>
      <c r="U44" s="21">
        <v>117.5</v>
      </c>
      <c r="V44" s="21">
        <v>114.9</v>
      </c>
      <c r="W44" s="21">
        <v>117.2</v>
      </c>
      <c r="X44" s="28">
        <f>'Handle missing value sheet only'!$C$1</f>
        <v>139.27096774193564</v>
      </c>
      <c r="Y44" s="21">
        <v>113.4</v>
      </c>
      <c r="Z44" s="21">
        <v>113.4</v>
      </c>
      <c r="AA44" s="21">
        <v>111.4</v>
      </c>
      <c r="AB44" s="21">
        <v>111.2</v>
      </c>
      <c r="AC44" s="21">
        <v>110.2</v>
      </c>
      <c r="AD44" s="21">
        <v>112.4</v>
      </c>
      <c r="AE44" s="21">
        <v>108.9</v>
      </c>
      <c r="AF44" s="21">
        <v>111.3</v>
      </c>
      <c r="AG44" s="21">
        <v>114.6</v>
      </c>
      <c r="AH44" s="28">
        <f t="shared" si="1"/>
        <v>2869.8709677419351</v>
      </c>
      <c r="AI44" s="28">
        <f t="shared" si="2"/>
        <v>442.8</v>
      </c>
      <c r="AJ44" s="28">
        <f t="shared" si="3"/>
        <v>232.4</v>
      </c>
      <c r="AK44" s="28">
        <f t="shared" si="4"/>
        <v>252.67096774193564</v>
      </c>
      <c r="AL44" s="28">
        <f t="shared" si="5"/>
        <v>1606</v>
      </c>
      <c r="AM44" s="28">
        <f t="shared" si="6"/>
        <v>110.7</v>
      </c>
      <c r="AN44" s="28">
        <f t="shared" si="7"/>
        <v>126.33548387096782</v>
      </c>
      <c r="AO44" s="29">
        <v>114.71428571428571</v>
      </c>
    </row>
    <row r="45" spans="1:41" x14ac:dyDescent="0.3">
      <c r="A45" s="27" t="s">
        <v>2</v>
      </c>
      <c r="B45" s="20">
        <v>2014</v>
      </c>
      <c r="C45" s="20" t="s">
        <v>5</v>
      </c>
      <c r="D45" s="21" t="str">
        <f t="shared" si="0"/>
        <v>Mar-14</v>
      </c>
      <c r="E45" s="33">
        <v>41699</v>
      </c>
      <c r="F45" s="20" t="s">
        <v>84</v>
      </c>
      <c r="G45" s="20">
        <v>122.1</v>
      </c>
      <c r="H45" s="20">
        <v>121.4</v>
      </c>
      <c r="I45" s="20">
        <v>121.5</v>
      </c>
      <c r="J45" s="20">
        <v>116.2</v>
      </c>
      <c r="K45" s="20">
        <v>102.8</v>
      </c>
      <c r="L45" s="20">
        <v>117.7</v>
      </c>
      <c r="M45" s="20">
        <v>113.3</v>
      </c>
      <c r="N45" s="20">
        <v>108.9</v>
      </c>
      <c r="O45" s="20">
        <v>96.3</v>
      </c>
      <c r="P45" s="20">
        <v>114.1</v>
      </c>
      <c r="Q45" s="20">
        <v>112.2</v>
      </c>
      <c r="R45" s="20">
        <v>120.5</v>
      </c>
      <c r="S45" s="20">
        <v>116</v>
      </c>
      <c r="T45" s="20">
        <v>116.7</v>
      </c>
      <c r="U45" s="20">
        <v>115.8</v>
      </c>
      <c r="V45" s="20">
        <v>112.1</v>
      </c>
      <c r="W45" s="20">
        <v>115.2</v>
      </c>
      <c r="X45" s="20">
        <v>113.2</v>
      </c>
      <c r="Y45" s="20">
        <v>110.9</v>
      </c>
      <c r="Z45" s="20">
        <v>113</v>
      </c>
      <c r="AA45" s="20">
        <v>110.8</v>
      </c>
      <c r="AB45" s="20">
        <v>111.6</v>
      </c>
      <c r="AC45" s="20">
        <v>110.9</v>
      </c>
      <c r="AD45" s="20">
        <v>111.8</v>
      </c>
      <c r="AE45" s="20">
        <v>109.2</v>
      </c>
      <c r="AF45" s="20">
        <v>111.4</v>
      </c>
      <c r="AG45" s="20">
        <v>113.7</v>
      </c>
      <c r="AH45" s="28">
        <f t="shared" si="1"/>
        <v>2830.3999999999996</v>
      </c>
      <c r="AI45" s="28">
        <f t="shared" si="2"/>
        <v>443.30000000000007</v>
      </c>
      <c r="AJ45" s="28">
        <f t="shared" si="3"/>
        <v>227.89999999999998</v>
      </c>
      <c r="AK45" s="28">
        <f t="shared" si="4"/>
        <v>226.2</v>
      </c>
      <c r="AL45" s="28">
        <f t="shared" si="5"/>
        <v>1599.7</v>
      </c>
      <c r="AM45" s="28">
        <f t="shared" si="6"/>
        <v>110.82500000000002</v>
      </c>
      <c r="AN45" s="28">
        <f t="shared" si="7"/>
        <v>113.1</v>
      </c>
      <c r="AO45" s="31">
        <v>114.26428571428572</v>
      </c>
    </row>
    <row r="46" spans="1:41" x14ac:dyDescent="0.3">
      <c r="A46" s="26" t="s">
        <v>3</v>
      </c>
      <c r="B46" s="21">
        <v>2014</v>
      </c>
      <c r="C46" s="21" t="s">
        <v>16</v>
      </c>
      <c r="D46" s="21" t="e">
        <f t="shared" si="0"/>
        <v>#VALUE!</v>
      </c>
      <c r="E46" s="32"/>
      <c r="F46" s="21" t="s">
        <v>84</v>
      </c>
      <c r="G46" s="21">
        <v>120.7</v>
      </c>
      <c r="H46" s="21">
        <v>119.3</v>
      </c>
      <c r="I46" s="21">
        <v>121</v>
      </c>
      <c r="J46" s="21">
        <v>116.1</v>
      </c>
      <c r="K46" s="21">
        <v>106.9</v>
      </c>
      <c r="L46" s="21">
        <v>118.7</v>
      </c>
      <c r="M46" s="21">
        <v>116.3</v>
      </c>
      <c r="N46" s="21">
        <v>109.8</v>
      </c>
      <c r="O46" s="21">
        <v>99.6</v>
      </c>
      <c r="P46" s="21">
        <v>111.8</v>
      </c>
      <c r="Q46" s="21">
        <v>112.7</v>
      </c>
      <c r="R46" s="21">
        <v>119.3</v>
      </c>
      <c r="S46" s="21">
        <v>116.1</v>
      </c>
      <c r="T46" s="21">
        <v>115.2</v>
      </c>
      <c r="U46" s="21">
        <v>116.8</v>
      </c>
      <c r="V46" s="21">
        <v>113.7</v>
      </c>
      <c r="W46" s="21">
        <v>116.4</v>
      </c>
      <c r="X46" s="21">
        <v>113.2</v>
      </c>
      <c r="Y46" s="21">
        <v>112.5</v>
      </c>
      <c r="Z46" s="21">
        <v>113.2</v>
      </c>
      <c r="AA46" s="21">
        <v>111.2</v>
      </c>
      <c r="AB46" s="21">
        <v>111.4</v>
      </c>
      <c r="AC46" s="21">
        <v>110.6</v>
      </c>
      <c r="AD46" s="21">
        <v>112</v>
      </c>
      <c r="AE46" s="21">
        <v>109</v>
      </c>
      <c r="AF46" s="21">
        <v>111.3</v>
      </c>
      <c r="AG46" s="21">
        <v>114.2</v>
      </c>
      <c r="AH46" s="28">
        <f t="shared" si="1"/>
        <v>2838.3999999999996</v>
      </c>
      <c r="AI46" s="28">
        <f t="shared" si="2"/>
        <v>442.9</v>
      </c>
      <c r="AJ46" s="28">
        <f t="shared" si="3"/>
        <v>230.5</v>
      </c>
      <c r="AK46" s="28">
        <f t="shared" si="4"/>
        <v>226.4</v>
      </c>
      <c r="AL46" s="28">
        <f t="shared" si="5"/>
        <v>1603.4999999999998</v>
      </c>
      <c r="AM46" s="28">
        <f t="shared" si="6"/>
        <v>110.72499999999999</v>
      </c>
      <c r="AN46" s="28">
        <f t="shared" si="7"/>
        <v>113.2</v>
      </c>
      <c r="AO46" s="29">
        <v>114.53571428571426</v>
      </c>
    </row>
    <row r="47" spans="1:41" x14ac:dyDescent="0.3">
      <c r="A47" s="27" t="s">
        <v>0</v>
      </c>
      <c r="B47" s="20">
        <v>2014</v>
      </c>
      <c r="C47" s="20" t="s">
        <v>6</v>
      </c>
      <c r="D47" s="21" t="str">
        <f t="shared" si="0"/>
        <v>Apr-14</v>
      </c>
      <c r="E47" s="33">
        <v>41730</v>
      </c>
      <c r="F47" s="20" t="s">
        <v>84</v>
      </c>
      <c r="G47" s="20">
        <v>120.2</v>
      </c>
      <c r="H47" s="20">
        <v>118.9</v>
      </c>
      <c r="I47" s="20">
        <v>118.1</v>
      </c>
      <c r="J47" s="20">
        <v>117</v>
      </c>
      <c r="K47" s="20">
        <v>109.7</v>
      </c>
      <c r="L47" s="20">
        <v>125.5</v>
      </c>
      <c r="M47" s="20">
        <v>120.5</v>
      </c>
      <c r="N47" s="20">
        <v>111</v>
      </c>
      <c r="O47" s="20">
        <v>102.6</v>
      </c>
      <c r="P47" s="20">
        <v>111.2</v>
      </c>
      <c r="Q47" s="20">
        <v>113.5</v>
      </c>
      <c r="R47" s="20">
        <v>118.7</v>
      </c>
      <c r="S47" s="20">
        <v>117.2</v>
      </c>
      <c r="T47" s="20">
        <v>115.4</v>
      </c>
      <c r="U47" s="20">
        <v>118.1</v>
      </c>
      <c r="V47" s="20">
        <v>116.1</v>
      </c>
      <c r="W47" s="20">
        <v>117.8</v>
      </c>
      <c r="X47" s="30">
        <f>'Handle missing value sheet only'!$C$1</f>
        <v>139.27096774193564</v>
      </c>
      <c r="Y47" s="20">
        <v>113.4</v>
      </c>
      <c r="Z47" s="20">
        <v>113.7</v>
      </c>
      <c r="AA47" s="20">
        <v>111.8</v>
      </c>
      <c r="AB47" s="20">
        <v>111.2</v>
      </c>
      <c r="AC47" s="20">
        <v>110.5</v>
      </c>
      <c r="AD47" s="20">
        <v>113</v>
      </c>
      <c r="AE47" s="20">
        <v>108.9</v>
      </c>
      <c r="AF47" s="20">
        <v>111.5</v>
      </c>
      <c r="AG47" s="20">
        <v>115.4</v>
      </c>
      <c r="AH47" s="28">
        <f t="shared" si="1"/>
        <v>2886.9709677419351</v>
      </c>
      <c r="AI47" s="28">
        <f t="shared" si="2"/>
        <v>443.9</v>
      </c>
      <c r="AJ47" s="28">
        <f t="shared" si="3"/>
        <v>234.2</v>
      </c>
      <c r="AK47" s="28">
        <f t="shared" si="4"/>
        <v>252.97096774193562</v>
      </c>
      <c r="AL47" s="28">
        <f t="shared" si="5"/>
        <v>1619.5000000000002</v>
      </c>
      <c r="AM47" s="28">
        <f t="shared" si="6"/>
        <v>110.97499999999999</v>
      </c>
      <c r="AN47" s="28">
        <f t="shared" si="7"/>
        <v>126.48548387096781</v>
      </c>
      <c r="AO47" s="31">
        <v>115.67857142857144</v>
      </c>
    </row>
    <row r="48" spans="1:41" x14ac:dyDescent="0.3">
      <c r="A48" s="26" t="s">
        <v>2</v>
      </c>
      <c r="B48" s="21">
        <v>2014</v>
      </c>
      <c r="C48" s="21" t="s">
        <v>6</v>
      </c>
      <c r="D48" s="21" t="str">
        <f t="shared" si="0"/>
        <v>Apr-14</v>
      </c>
      <c r="E48" s="32">
        <v>41730</v>
      </c>
      <c r="F48" s="21" t="s">
        <v>84</v>
      </c>
      <c r="G48" s="21">
        <v>122.5</v>
      </c>
      <c r="H48" s="21">
        <v>121.7</v>
      </c>
      <c r="I48" s="21">
        <v>113.3</v>
      </c>
      <c r="J48" s="21">
        <v>117</v>
      </c>
      <c r="K48" s="21">
        <v>103.1</v>
      </c>
      <c r="L48" s="21">
        <v>126.7</v>
      </c>
      <c r="M48" s="21">
        <v>121.2</v>
      </c>
      <c r="N48" s="21">
        <v>111</v>
      </c>
      <c r="O48" s="21">
        <v>100.3</v>
      </c>
      <c r="P48" s="21">
        <v>115.3</v>
      </c>
      <c r="Q48" s="21">
        <v>112.7</v>
      </c>
      <c r="R48" s="21">
        <v>121</v>
      </c>
      <c r="S48" s="21">
        <v>118.2</v>
      </c>
      <c r="T48" s="21">
        <v>117.6</v>
      </c>
      <c r="U48" s="21">
        <v>116.3</v>
      </c>
      <c r="V48" s="21">
        <v>112.5</v>
      </c>
      <c r="W48" s="21">
        <v>115.7</v>
      </c>
      <c r="X48" s="21">
        <v>113.9</v>
      </c>
      <c r="Y48" s="21">
        <v>110.9</v>
      </c>
      <c r="Z48" s="21">
        <v>113.4</v>
      </c>
      <c r="AA48" s="21">
        <v>111</v>
      </c>
      <c r="AB48" s="21">
        <v>111.2</v>
      </c>
      <c r="AC48" s="21">
        <v>111.2</v>
      </c>
      <c r="AD48" s="21">
        <v>112.5</v>
      </c>
      <c r="AE48" s="21">
        <v>109.1</v>
      </c>
      <c r="AF48" s="21">
        <v>111.4</v>
      </c>
      <c r="AG48" s="21">
        <v>114.7</v>
      </c>
      <c r="AH48" s="28">
        <f t="shared" si="1"/>
        <v>2855</v>
      </c>
      <c r="AI48" s="28">
        <f t="shared" si="2"/>
        <v>444.2</v>
      </c>
      <c r="AJ48" s="28">
        <f t="shared" si="3"/>
        <v>228.8</v>
      </c>
      <c r="AK48" s="28">
        <f t="shared" si="4"/>
        <v>227.3</v>
      </c>
      <c r="AL48" s="28">
        <f t="shared" si="5"/>
        <v>1621.6000000000001</v>
      </c>
      <c r="AM48" s="28">
        <f t="shared" si="6"/>
        <v>111.05</v>
      </c>
      <c r="AN48" s="28">
        <f t="shared" si="7"/>
        <v>113.65</v>
      </c>
      <c r="AO48" s="29">
        <v>115.82857142857144</v>
      </c>
    </row>
    <row r="49" spans="1:41" x14ac:dyDescent="0.3">
      <c r="A49" s="27" t="s">
        <v>3</v>
      </c>
      <c r="B49" s="20">
        <v>2014</v>
      </c>
      <c r="C49" s="20" t="s">
        <v>6</v>
      </c>
      <c r="D49" s="21" t="str">
        <f t="shared" si="0"/>
        <v>Apr-14</v>
      </c>
      <c r="E49" s="33">
        <v>41730</v>
      </c>
      <c r="F49" s="20" t="s">
        <v>84</v>
      </c>
      <c r="G49" s="20">
        <v>120.9</v>
      </c>
      <c r="H49" s="20">
        <v>119.9</v>
      </c>
      <c r="I49" s="20">
        <v>116.2</v>
      </c>
      <c r="J49" s="20">
        <v>117</v>
      </c>
      <c r="K49" s="20">
        <v>107.3</v>
      </c>
      <c r="L49" s="20">
        <v>126.1</v>
      </c>
      <c r="M49" s="20">
        <v>120.7</v>
      </c>
      <c r="N49" s="20">
        <v>111</v>
      </c>
      <c r="O49" s="20">
        <v>101.8</v>
      </c>
      <c r="P49" s="20">
        <v>112.6</v>
      </c>
      <c r="Q49" s="20">
        <v>113.2</v>
      </c>
      <c r="R49" s="20">
        <v>119.8</v>
      </c>
      <c r="S49" s="20">
        <v>117.6</v>
      </c>
      <c r="T49" s="20">
        <v>116</v>
      </c>
      <c r="U49" s="20">
        <v>117.4</v>
      </c>
      <c r="V49" s="20">
        <v>114.6</v>
      </c>
      <c r="W49" s="20">
        <v>117</v>
      </c>
      <c r="X49" s="20">
        <v>113.9</v>
      </c>
      <c r="Y49" s="20">
        <v>112.5</v>
      </c>
      <c r="Z49" s="20">
        <v>113.6</v>
      </c>
      <c r="AA49" s="20">
        <v>111.5</v>
      </c>
      <c r="AB49" s="20">
        <v>111.2</v>
      </c>
      <c r="AC49" s="20">
        <v>110.9</v>
      </c>
      <c r="AD49" s="20">
        <v>112.7</v>
      </c>
      <c r="AE49" s="20">
        <v>109</v>
      </c>
      <c r="AF49" s="20">
        <v>111.5</v>
      </c>
      <c r="AG49" s="20">
        <v>115.1</v>
      </c>
      <c r="AH49" s="28">
        <f t="shared" si="1"/>
        <v>2858.9</v>
      </c>
      <c r="AI49" s="28">
        <f t="shared" si="2"/>
        <v>444.1</v>
      </c>
      <c r="AJ49" s="28">
        <f t="shared" si="3"/>
        <v>232</v>
      </c>
      <c r="AK49" s="28">
        <f t="shared" si="4"/>
        <v>227.5</v>
      </c>
      <c r="AL49" s="28">
        <f t="shared" si="5"/>
        <v>1620.1</v>
      </c>
      <c r="AM49" s="28">
        <f t="shared" si="6"/>
        <v>111.02500000000001</v>
      </c>
      <c r="AN49" s="28">
        <f t="shared" si="7"/>
        <v>113.75</v>
      </c>
      <c r="AO49" s="31">
        <v>115.72142857142856</v>
      </c>
    </row>
    <row r="50" spans="1:41" x14ac:dyDescent="0.3">
      <c r="A50" s="26" t="s">
        <v>0</v>
      </c>
      <c r="B50" s="21">
        <v>2014</v>
      </c>
      <c r="C50" s="21" t="s">
        <v>7</v>
      </c>
      <c r="D50" s="21" t="str">
        <f t="shared" si="0"/>
        <v>May-14</v>
      </c>
      <c r="E50" s="32">
        <v>41760</v>
      </c>
      <c r="F50" s="21" t="s">
        <v>84</v>
      </c>
      <c r="G50" s="21">
        <v>120.3</v>
      </c>
      <c r="H50" s="21">
        <v>120.2</v>
      </c>
      <c r="I50" s="21">
        <v>116.9</v>
      </c>
      <c r="J50" s="21">
        <v>118</v>
      </c>
      <c r="K50" s="21">
        <v>110.1</v>
      </c>
      <c r="L50" s="21">
        <v>126.3</v>
      </c>
      <c r="M50" s="21">
        <v>123.9</v>
      </c>
      <c r="N50" s="21">
        <v>111.5</v>
      </c>
      <c r="O50" s="21">
        <v>103.5</v>
      </c>
      <c r="P50" s="21">
        <v>111.6</v>
      </c>
      <c r="Q50" s="21">
        <v>114.2</v>
      </c>
      <c r="R50" s="21">
        <v>119.2</v>
      </c>
      <c r="S50" s="21">
        <v>118.2</v>
      </c>
      <c r="T50" s="21">
        <v>116.3</v>
      </c>
      <c r="U50" s="21">
        <v>118.7</v>
      </c>
      <c r="V50" s="21">
        <v>116.8</v>
      </c>
      <c r="W50" s="21">
        <v>118.5</v>
      </c>
      <c r="X50" s="28">
        <f>'Handle missing value sheet only'!$C$1</f>
        <v>139.27096774193564</v>
      </c>
      <c r="Y50" s="21">
        <v>113.4</v>
      </c>
      <c r="Z50" s="21">
        <v>114.1</v>
      </c>
      <c r="AA50" s="21">
        <v>112.1</v>
      </c>
      <c r="AB50" s="21">
        <v>111.4</v>
      </c>
      <c r="AC50" s="21">
        <v>110.9</v>
      </c>
      <c r="AD50" s="21">
        <v>113.1</v>
      </c>
      <c r="AE50" s="21">
        <v>108.9</v>
      </c>
      <c r="AF50" s="21">
        <v>111.8</v>
      </c>
      <c r="AG50" s="21">
        <v>116</v>
      </c>
      <c r="AH50" s="28">
        <f t="shared" si="1"/>
        <v>2900.6709677419353</v>
      </c>
      <c r="AI50" s="28">
        <f t="shared" si="2"/>
        <v>444.69999999999993</v>
      </c>
      <c r="AJ50" s="28">
        <f t="shared" si="3"/>
        <v>235.5</v>
      </c>
      <c r="AK50" s="28">
        <f t="shared" si="4"/>
        <v>253.37096774193563</v>
      </c>
      <c r="AL50" s="28">
        <f t="shared" si="5"/>
        <v>1630.1999999999998</v>
      </c>
      <c r="AM50" s="28">
        <f t="shared" si="6"/>
        <v>111.17499999999998</v>
      </c>
      <c r="AN50" s="28">
        <f t="shared" si="7"/>
        <v>126.68548387096781</v>
      </c>
      <c r="AO50" s="29">
        <v>116.44285714285714</v>
      </c>
    </row>
    <row r="51" spans="1:41" x14ac:dyDescent="0.3">
      <c r="A51" s="27" t="s">
        <v>2</v>
      </c>
      <c r="B51" s="20">
        <v>2014</v>
      </c>
      <c r="C51" s="20" t="s">
        <v>7</v>
      </c>
      <c r="D51" s="21" t="str">
        <f t="shared" si="0"/>
        <v>May-14</v>
      </c>
      <c r="E51" s="33">
        <v>41760</v>
      </c>
      <c r="F51" s="20" t="s">
        <v>84</v>
      </c>
      <c r="G51" s="20">
        <v>122.7</v>
      </c>
      <c r="H51" s="20">
        <v>124.1</v>
      </c>
      <c r="I51" s="20">
        <v>114.2</v>
      </c>
      <c r="J51" s="20">
        <v>119.1</v>
      </c>
      <c r="K51" s="20">
        <v>103.5</v>
      </c>
      <c r="L51" s="20">
        <v>129.19999999999999</v>
      </c>
      <c r="M51" s="20">
        <v>127</v>
      </c>
      <c r="N51" s="20">
        <v>112.6</v>
      </c>
      <c r="O51" s="20">
        <v>101.3</v>
      </c>
      <c r="P51" s="20">
        <v>117</v>
      </c>
      <c r="Q51" s="20">
        <v>112.9</v>
      </c>
      <c r="R51" s="20">
        <v>121.7</v>
      </c>
      <c r="S51" s="20">
        <v>120</v>
      </c>
      <c r="T51" s="20">
        <v>118.3</v>
      </c>
      <c r="U51" s="20">
        <v>116.8</v>
      </c>
      <c r="V51" s="20">
        <v>112.9</v>
      </c>
      <c r="W51" s="20">
        <v>116.2</v>
      </c>
      <c r="X51" s="20">
        <v>114.3</v>
      </c>
      <c r="Y51" s="20">
        <v>111.1</v>
      </c>
      <c r="Z51" s="20">
        <v>114.1</v>
      </c>
      <c r="AA51" s="20">
        <v>111.2</v>
      </c>
      <c r="AB51" s="20">
        <v>111.3</v>
      </c>
      <c r="AC51" s="20">
        <v>111.5</v>
      </c>
      <c r="AD51" s="20">
        <v>112.9</v>
      </c>
      <c r="AE51" s="20">
        <v>109.3</v>
      </c>
      <c r="AF51" s="20">
        <v>111.7</v>
      </c>
      <c r="AG51" s="20">
        <v>115.6</v>
      </c>
      <c r="AH51" s="28">
        <f t="shared" si="1"/>
        <v>2880.7000000000003</v>
      </c>
      <c r="AI51" s="28">
        <f t="shared" si="2"/>
        <v>445.4</v>
      </c>
      <c r="AJ51" s="28">
        <f t="shared" si="3"/>
        <v>229.7</v>
      </c>
      <c r="AK51" s="28">
        <f t="shared" si="4"/>
        <v>228.39999999999998</v>
      </c>
      <c r="AL51" s="28">
        <f t="shared" si="5"/>
        <v>1643.6000000000001</v>
      </c>
      <c r="AM51" s="28">
        <f t="shared" si="6"/>
        <v>111.35</v>
      </c>
      <c r="AN51" s="28">
        <f t="shared" si="7"/>
        <v>114.19999999999999</v>
      </c>
      <c r="AO51" s="31">
        <v>117.4</v>
      </c>
    </row>
    <row r="52" spans="1:41" x14ac:dyDescent="0.3">
      <c r="A52" s="26" t="s">
        <v>3</v>
      </c>
      <c r="B52" s="21">
        <v>2014</v>
      </c>
      <c r="C52" s="21" t="s">
        <v>7</v>
      </c>
      <c r="D52" s="21" t="str">
        <f t="shared" si="0"/>
        <v>May-14</v>
      </c>
      <c r="E52" s="32">
        <v>41760</v>
      </c>
      <c r="F52" s="21" t="s">
        <v>84</v>
      </c>
      <c r="G52" s="21">
        <v>121.1</v>
      </c>
      <c r="H52" s="21">
        <v>121.6</v>
      </c>
      <c r="I52" s="21">
        <v>115.9</v>
      </c>
      <c r="J52" s="21">
        <v>118.4</v>
      </c>
      <c r="K52" s="21">
        <v>107.7</v>
      </c>
      <c r="L52" s="21">
        <v>127.7</v>
      </c>
      <c r="M52" s="21">
        <v>125</v>
      </c>
      <c r="N52" s="21">
        <v>111.9</v>
      </c>
      <c r="O52" s="21">
        <v>102.8</v>
      </c>
      <c r="P52" s="21">
        <v>113.4</v>
      </c>
      <c r="Q52" s="21">
        <v>113.7</v>
      </c>
      <c r="R52" s="21">
        <v>120.4</v>
      </c>
      <c r="S52" s="21">
        <v>118.9</v>
      </c>
      <c r="T52" s="21">
        <v>116.8</v>
      </c>
      <c r="U52" s="21">
        <v>118</v>
      </c>
      <c r="V52" s="21">
        <v>115.2</v>
      </c>
      <c r="W52" s="21">
        <v>117.6</v>
      </c>
      <c r="X52" s="21">
        <v>114.3</v>
      </c>
      <c r="Y52" s="21">
        <v>112.5</v>
      </c>
      <c r="Z52" s="21">
        <v>114.1</v>
      </c>
      <c r="AA52" s="21">
        <v>111.8</v>
      </c>
      <c r="AB52" s="21">
        <v>111.3</v>
      </c>
      <c r="AC52" s="21">
        <v>111.2</v>
      </c>
      <c r="AD52" s="21">
        <v>113</v>
      </c>
      <c r="AE52" s="21">
        <v>109.1</v>
      </c>
      <c r="AF52" s="21">
        <v>111.8</v>
      </c>
      <c r="AG52" s="21">
        <v>115.8</v>
      </c>
      <c r="AH52" s="28">
        <f t="shared" si="1"/>
        <v>2877.6000000000004</v>
      </c>
      <c r="AI52" s="28">
        <f t="shared" si="2"/>
        <v>445.09999999999997</v>
      </c>
      <c r="AJ52" s="28">
        <f t="shared" si="3"/>
        <v>233.2</v>
      </c>
      <c r="AK52" s="28">
        <f t="shared" si="4"/>
        <v>228.39999999999998</v>
      </c>
      <c r="AL52" s="28">
        <f t="shared" si="5"/>
        <v>1635.3000000000004</v>
      </c>
      <c r="AM52" s="28">
        <f t="shared" si="6"/>
        <v>111.27499999999999</v>
      </c>
      <c r="AN52" s="28">
        <f t="shared" si="7"/>
        <v>114.19999999999999</v>
      </c>
      <c r="AO52" s="29">
        <v>116.80714285714289</v>
      </c>
    </row>
    <row r="53" spans="1:41" x14ac:dyDescent="0.3">
      <c r="A53" s="27" t="s">
        <v>0</v>
      </c>
      <c r="B53" s="20">
        <v>2014</v>
      </c>
      <c r="C53" s="20" t="s">
        <v>8</v>
      </c>
      <c r="D53" s="21" t="str">
        <f t="shared" si="0"/>
        <v>Jun-14</v>
      </c>
      <c r="E53" s="33">
        <v>41791</v>
      </c>
      <c r="F53" s="20" t="s">
        <v>84</v>
      </c>
      <c r="G53" s="20">
        <v>120.7</v>
      </c>
      <c r="H53" s="20">
        <v>121.6</v>
      </c>
      <c r="I53" s="20">
        <v>116.1</v>
      </c>
      <c r="J53" s="20">
        <v>119.3</v>
      </c>
      <c r="K53" s="20">
        <v>110.3</v>
      </c>
      <c r="L53" s="20">
        <v>125.8</v>
      </c>
      <c r="M53" s="20">
        <v>129.30000000000001</v>
      </c>
      <c r="N53" s="20">
        <v>112.2</v>
      </c>
      <c r="O53" s="20">
        <v>103.6</v>
      </c>
      <c r="P53" s="20">
        <v>112.3</v>
      </c>
      <c r="Q53" s="20">
        <v>114.9</v>
      </c>
      <c r="R53" s="20">
        <v>120.1</v>
      </c>
      <c r="S53" s="20">
        <v>119.5</v>
      </c>
      <c r="T53" s="20">
        <v>117.3</v>
      </c>
      <c r="U53" s="20">
        <v>119.7</v>
      </c>
      <c r="V53" s="20">
        <v>117.3</v>
      </c>
      <c r="W53" s="20">
        <v>119.3</v>
      </c>
      <c r="X53" s="30">
        <f>'Handle missing value sheet only'!$C$1</f>
        <v>139.27096774193564</v>
      </c>
      <c r="Y53" s="20">
        <v>114.4</v>
      </c>
      <c r="Z53" s="20">
        <v>114.9</v>
      </c>
      <c r="AA53" s="20">
        <v>112.8</v>
      </c>
      <c r="AB53" s="20">
        <v>112.2</v>
      </c>
      <c r="AC53" s="20">
        <v>111.4</v>
      </c>
      <c r="AD53" s="20">
        <v>114.3</v>
      </c>
      <c r="AE53" s="20">
        <v>108</v>
      </c>
      <c r="AF53" s="20">
        <v>112.3</v>
      </c>
      <c r="AG53" s="20">
        <v>117</v>
      </c>
      <c r="AH53" s="28">
        <f t="shared" si="1"/>
        <v>2919.5709677419359</v>
      </c>
      <c r="AI53" s="28">
        <f t="shared" si="2"/>
        <v>446</v>
      </c>
      <c r="AJ53" s="28">
        <f t="shared" si="3"/>
        <v>237</v>
      </c>
      <c r="AK53" s="28">
        <f t="shared" si="4"/>
        <v>254.17096774193564</v>
      </c>
      <c r="AL53" s="28">
        <f t="shared" si="5"/>
        <v>1642.9999999999998</v>
      </c>
      <c r="AM53" s="28">
        <f t="shared" si="6"/>
        <v>111.5</v>
      </c>
      <c r="AN53" s="28">
        <f t="shared" si="7"/>
        <v>127.08548387096782</v>
      </c>
      <c r="AO53" s="31">
        <v>117.35714285714285</v>
      </c>
    </row>
    <row r="54" spans="1:41" x14ac:dyDescent="0.3">
      <c r="A54" s="26" t="s">
        <v>2</v>
      </c>
      <c r="B54" s="21">
        <v>2014</v>
      </c>
      <c r="C54" s="21" t="s">
        <v>8</v>
      </c>
      <c r="D54" s="21" t="str">
        <f t="shared" si="0"/>
        <v>Jun-14</v>
      </c>
      <c r="E54" s="32">
        <v>41791</v>
      </c>
      <c r="F54" s="21" t="s">
        <v>84</v>
      </c>
      <c r="G54" s="21">
        <v>123.1</v>
      </c>
      <c r="H54" s="21">
        <v>125.9</v>
      </c>
      <c r="I54" s="21">
        <v>115.4</v>
      </c>
      <c r="J54" s="21">
        <v>120.4</v>
      </c>
      <c r="K54" s="21">
        <v>103.4</v>
      </c>
      <c r="L54" s="21">
        <v>131.19999999999999</v>
      </c>
      <c r="M54" s="21">
        <v>137.5</v>
      </c>
      <c r="N54" s="21">
        <v>112.8</v>
      </c>
      <c r="O54" s="21">
        <v>101.4</v>
      </c>
      <c r="P54" s="21">
        <v>118.3</v>
      </c>
      <c r="Q54" s="21">
        <v>113.2</v>
      </c>
      <c r="R54" s="21">
        <v>122.4</v>
      </c>
      <c r="S54" s="21">
        <v>122</v>
      </c>
      <c r="T54" s="21">
        <v>119</v>
      </c>
      <c r="U54" s="21">
        <v>117.4</v>
      </c>
      <c r="V54" s="21">
        <v>113.2</v>
      </c>
      <c r="W54" s="21">
        <v>116.7</v>
      </c>
      <c r="X54" s="21">
        <v>113.9</v>
      </c>
      <c r="Y54" s="21">
        <v>111.2</v>
      </c>
      <c r="Z54" s="21">
        <v>114.3</v>
      </c>
      <c r="AA54" s="21">
        <v>111.4</v>
      </c>
      <c r="AB54" s="21">
        <v>111.5</v>
      </c>
      <c r="AC54" s="21">
        <v>111.8</v>
      </c>
      <c r="AD54" s="21">
        <v>115.1</v>
      </c>
      <c r="AE54" s="21">
        <v>108.7</v>
      </c>
      <c r="AF54" s="21">
        <v>112.2</v>
      </c>
      <c r="AG54" s="21">
        <v>116.4</v>
      </c>
      <c r="AH54" s="28">
        <f t="shared" si="1"/>
        <v>2906.7000000000003</v>
      </c>
      <c r="AI54" s="28">
        <f t="shared" si="2"/>
        <v>447.8</v>
      </c>
      <c r="AJ54" s="28">
        <f t="shared" si="3"/>
        <v>230.60000000000002</v>
      </c>
      <c r="AK54" s="28">
        <f t="shared" si="4"/>
        <v>228.2</v>
      </c>
      <c r="AL54" s="28">
        <f t="shared" si="5"/>
        <v>1666</v>
      </c>
      <c r="AM54" s="28">
        <f t="shared" si="6"/>
        <v>111.95</v>
      </c>
      <c r="AN54" s="28">
        <f t="shared" si="7"/>
        <v>114.1</v>
      </c>
      <c r="AO54" s="29">
        <v>119</v>
      </c>
    </row>
    <row r="55" spans="1:41" x14ac:dyDescent="0.3">
      <c r="A55" s="27" t="s">
        <v>3</v>
      </c>
      <c r="B55" s="20">
        <v>2014</v>
      </c>
      <c r="C55" s="20" t="s">
        <v>8</v>
      </c>
      <c r="D55" s="21" t="str">
        <f t="shared" si="0"/>
        <v>Jun-14</v>
      </c>
      <c r="E55" s="33">
        <v>41791</v>
      </c>
      <c r="F55" s="20" t="s">
        <v>84</v>
      </c>
      <c r="G55" s="20">
        <v>121.5</v>
      </c>
      <c r="H55" s="20">
        <v>123.1</v>
      </c>
      <c r="I55" s="20">
        <v>115.8</v>
      </c>
      <c r="J55" s="20">
        <v>119.7</v>
      </c>
      <c r="K55" s="20">
        <v>107.8</v>
      </c>
      <c r="L55" s="20">
        <v>128.30000000000001</v>
      </c>
      <c r="M55" s="20">
        <v>132.1</v>
      </c>
      <c r="N55" s="20">
        <v>112.4</v>
      </c>
      <c r="O55" s="20">
        <v>102.9</v>
      </c>
      <c r="P55" s="20">
        <v>114.3</v>
      </c>
      <c r="Q55" s="20">
        <v>114.2</v>
      </c>
      <c r="R55" s="20">
        <v>121.2</v>
      </c>
      <c r="S55" s="20">
        <v>120.4</v>
      </c>
      <c r="T55" s="20">
        <v>117.8</v>
      </c>
      <c r="U55" s="20">
        <v>118.8</v>
      </c>
      <c r="V55" s="20">
        <v>115.6</v>
      </c>
      <c r="W55" s="20">
        <v>118.3</v>
      </c>
      <c r="X55" s="20">
        <v>113.9</v>
      </c>
      <c r="Y55" s="20">
        <v>113.2</v>
      </c>
      <c r="Z55" s="20">
        <v>114.6</v>
      </c>
      <c r="AA55" s="20">
        <v>112.3</v>
      </c>
      <c r="AB55" s="20">
        <v>111.8</v>
      </c>
      <c r="AC55" s="20">
        <v>111.6</v>
      </c>
      <c r="AD55" s="20">
        <v>114.8</v>
      </c>
      <c r="AE55" s="20">
        <v>108.3</v>
      </c>
      <c r="AF55" s="20">
        <v>112.3</v>
      </c>
      <c r="AG55" s="20">
        <v>116.7</v>
      </c>
      <c r="AH55" s="28">
        <f t="shared" si="1"/>
        <v>2898.7</v>
      </c>
      <c r="AI55" s="28">
        <f t="shared" si="2"/>
        <v>447</v>
      </c>
      <c r="AJ55" s="28">
        <f t="shared" si="3"/>
        <v>234.39999999999998</v>
      </c>
      <c r="AK55" s="28">
        <f t="shared" si="4"/>
        <v>228.5</v>
      </c>
      <c r="AL55" s="28">
        <f t="shared" si="5"/>
        <v>1651.5000000000002</v>
      </c>
      <c r="AM55" s="28">
        <f t="shared" si="6"/>
        <v>111.75</v>
      </c>
      <c r="AN55" s="28">
        <f t="shared" si="7"/>
        <v>114.25</v>
      </c>
      <c r="AO55" s="31">
        <v>117.96428571428574</v>
      </c>
    </row>
    <row r="56" spans="1:41" x14ac:dyDescent="0.3">
      <c r="A56" s="26" t="s">
        <v>0</v>
      </c>
      <c r="B56" s="21">
        <v>2014</v>
      </c>
      <c r="C56" s="21" t="s">
        <v>9</v>
      </c>
      <c r="D56" s="21" t="str">
        <f t="shared" si="0"/>
        <v>Jul-14</v>
      </c>
      <c r="E56" s="32">
        <v>41821</v>
      </c>
      <c r="F56" s="21" t="s">
        <v>84</v>
      </c>
      <c r="G56" s="21">
        <v>121.7</v>
      </c>
      <c r="H56" s="21">
        <v>122.5</v>
      </c>
      <c r="I56" s="21">
        <v>117.7</v>
      </c>
      <c r="J56" s="21">
        <v>120.6</v>
      </c>
      <c r="K56" s="21">
        <v>110.4</v>
      </c>
      <c r="L56" s="21">
        <v>129.1</v>
      </c>
      <c r="M56" s="21">
        <v>150.1</v>
      </c>
      <c r="N56" s="21">
        <v>113.2</v>
      </c>
      <c r="O56" s="21">
        <v>104.8</v>
      </c>
      <c r="P56" s="21">
        <v>113.3</v>
      </c>
      <c r="Q56" s="21">
        <v>115.6</v>
      </c>
      <c r="R56" s="21">
        <v>120.9</v>
      </c>
      <c r="S56" s="21">
        <v>123.3</v>
      </c>
      <c r="T56" s="21">
        <v>118</v>
      </c>
      <c r="U56" s="21">
        <v>120.7</v>
      </c>
      <c r="V56" s="21">
        <v>118.3</v>
      </c>
      <c r="W56" s="21">
        <v>120.3</v>
      </c>
      <c r="X56" s="28">
        <f>'Handle missing value sheet only'!$C$1</f>
        <v>139.27096774193564</v>
      </c>
      <c r="Y56" s="21">
        <v>115.3</v>
      </c>
      <c r="Z56" s="21">
        <v>115.4</v>
      </c>
      <c r="AA56" s="21">
        <v>113.4</v>
      </c>
      <c r="AB56" s="21">
        <v>113.2</v>
      </c>
      <c r="AC56" s="21">
        <v>111.8</v>
      </c>
      <c r="AD56" s="21">
        <v>115.5</v>
      </c>
      <c r="AE56" s="21">
        <v>108.8</v>
      </c>
      <c r="AF56" s="21">
        <v>113.1</v>
      </c>
      <c r="AG56" s="21">
        <v>119.5</v>
      </c>
      <c r="AH56" s="28">
        <f t="shared" si="1"/>
        <v>2965.970967741936</v>
      </c>
      <c r="AI56" s="28">
        <f t="shared" si="2"/>
        <v>449.2</v>
      </c>
      <c r="AJ56" s="28">
        <f t="shared" si="3"/>
        <v>239</v>
      </c>
      <c r="AK56" s="28">
        <f t="shared" si="4"/>
        <v>254.67096774193564</v>
      </c>
      <c r="AL56" s="28">
        <f t="shared" si="5"/>
        <v>1681.2</v>
      </c>
      <c r="AM56" s="28">
        <f t="shared" si="6"/>
        <v>112.3</v>
      </c>
      <c r="AN56" s="28">
        <f t="shared" si="7"/>
        <v>127.33548387096782</v>
      </c>
      <c r="AO56" s="29">
        <v>120.08571428571429</v>
      </c>
    </row>
    <row r="57" spans="1:41" x14ac:dyDescent="0.3">
      <c r="A57" s="27" t="s">
        <v>2</v>
      </c>
      <c r="B57" s="20">
        <v>2014</v>
      </c>
      <c r="C57" s="20" t="s">
        <v>9</v>
      </c>
      <c r="D57" s="21" t="str">
        <f t="shared" si="0"/>
        <v>Jul-14</v>
      </c>
      <c r="E57" s="33">
        <v>41821</v>
      </c>
      <c r="F57" s="20" t="s">
        <v>84</v>
      </c>
      <c r="G57" s="20">
        <v>123.8</v>
      </c>
      <c r="H57" s="20">
        <v>126.4</v>
      </c>
      <c r="I57" s="20">
        <v>118</v>
      </c>
      <c r="J57" s="20">
        <v>121.6</v>
      </c>
      <c r="K57" s="20">
        <v>103.5</v>
      </c>
      <c r="L57" s="20">
        <v>133.69999999999999</v>
      </c>
      <c r="M57" s="20">
        <v>172.4</v>
      </c>
      <c r="N57" s="20">
        <v>113.1</v>
      </c>
      <c r="O57" s="20">
        <v>102.7</v>
      </c>
      <c r="P57" s="20">
        <v>120</v>
      </c>
      <c r="Q57" s="20">
        <v>113.8</v>
      </c>
      <c r="R57" s="20">
        <v>123.4</v>
      </c>
      <c r="S57" s="20">
        <v>127.1</v>
      </c>
      <c r="T57" s="20">
        <v>121</v>
      </c>
      <c r="U57" s="20">
        <v>118</v>
      </c>
      <c r="V57" s="20">
        <v>113.6</v>
      </c>
      <c r="W57" s="20">
        <v>117.4</v>
      </c>
      <c r="X57" s="20">
        <v>114.8</v>
      </c>
      <c r="Y57" s="20">
        <v>111.6</v>
      </c>
      <c r="Z57" s="20">
        <v>114.9</v>
      </c>
      <c r="AA57" s="20">
        <v>111.5</v>
      </c>
      <c r="AB57" s="20">
        <v>113</v>
      </c>
      <c r="AC57" s="20">
        <v>112.4</v>
      </c>
      <c r="AD57" s="20">
        <v>117.8</v>
      </c>
      <c r="AE57" s="20">
        <v>109.7</v>
      </c>
      <c r="AF57" s="20">
        <v>113.5</v>
      </c>
      <c r="AG57" s="20">
        <v>118.9</v>
      </c>
      <c r="AH57" s="28">
        <f t="shared" si="1"/>
        <v>2971.3</v>
      </c>
      <c r="AI57" s="28">
        <f t="shared" si="2"/>
        <v>453.4</v>
      </c>
      <c r="AJ57" s="28">
        <f t="shared" si="3"/>
        <v>231.6</v>
      </c>
      <c r="AK57" s="28">
        <f t="shared" si="4"/>
        <v>229.7</v>
      </c>
      <c r="AL57" s="28">
        <f t="shared" si="5"/>
        <v>1720.5</v>
      </c>
      <c r="AM57" s="28">
        <f t="shared" si="6"/>
        <v>113.35</v>
      </c>
      <c r="AN57" s="28">
        <f t="shared" si="7"/>
        <v>114.85</v>
      </c>
      <c r="AO57" s="31">
        <v>122.89285714285714</v>
      </c>
    </row>
    <row r="58" spans="1:41" x14ac:dyDescent="0.3">
      <c r="A58" s="26" t="s">
        <v>3</v>
      </c>
      <c r="B58" s="21">
        <v>2014</v>
      </c>
      <c r="C58" s="21" t="s">
        <v>9</v>
      </c>
      <c r="D58" s="21" t="str">
        <f t="shared" si="0"/>
        <v>Jul-14</v>
      </c>
      <c r="E58" s="32">
        <v>41821</v>
      </c>
      <c r="F58" s="21" t="s">
        <v>84</v>
      </c>
      <c r="G58" s="21">
        <v>122.4</v>
      </c>
      <c r="H58" s="21">
        <v>123.9</v>
      </c>
      <c r="I58" s="21">
        <v>117.8</v>
      </c>
      <c r="J58" s="21">
        <v>121</v>
      </c>
      <c r="K58" s="21">
        <v>107.9</v>
      </c>
      <c r="L58" s="21">
        <v>131.19999999999999</v>
      </c>
      <c r="M58" s="21">
        <v>157.69999999999999</v>
      </c>
      <c r="N58" s="21">
        <v>113.2</v>
      </c>
      <c r="O58" s="21">
        <v>104.1</v>
      </c>
      <c r="P58" s="21">
        <v>115.5</v>
      </c>
      <c r="Q58" s="21">
        <v>114.8</v>
      </c>
      <c r="R58" s="21">
        <v>122.1</v>
      </c>
      <c r="S58" s="21">
        <v>124.7</v>
      </c>
      <c r="T58" s="21">
        <v>118.8</v>
      </c>
      <c r="U58" s="21">
        <v>119.6</v>
      </c>
      <c r="V58" s="21">
        <v>116.3</v>
      </c>
      <c r="W58" s="21">
        <v>119.1</v>
      </c>
      <c r="X58" s="21">
        <v>114.8</v>
      </c>
      <c r="Y58" s="21">
        <v>113.9</v>
      </c>
      <c r="Z58" s="21">
        <v>115.2</v>
      </c>
      <c r="AA58" s="21">
        <v>112.7</v>
      </c>
      <c r="AB58" s="21">
        <v>113.1</v>
      </c>
      <c r="AC58" s="21">
        <v>112.1</v>
      </c>
      <c r="AD58" s="21">
        <v>116.8</v>
      </c>
      <c r="AE58" s="21">
        <v>109.2</v>
      </c>
      <c r="AF58" s="21">
        <v>113.3</v>
      </c>
      <c r="AG58" s="21">
        <v>119.2</v>
      </c>
      <c r="AH58" s="28">
        <f t="shared" si="1"/>
        <v>2952.1000000000004</v>
      </c>
      <c r="AI58" s="28">
        <f t="shared" si="2"/>
        <v>451.4</v>
      </c>
      <c r="AJ58" s="28">
        <f t="shared" si="3"/>
        <v>235.89999999999998</v>
      </c>
      <c r="AK58" s="28">
        <f t="shared" si="4"/>
        <v>230</v>
      </c>
      <c r="AL58" s="28">
        <f t="shared" si="5"/>
        <v>1695.1</v>
      </c>
      <c r="AM58" s="28">
        <f t="shared" si="6"/>
        <v>112.85</v>
      </c>
      <c r="AN58" s="28">
        <f t="shared" si="7"/>
        <v>115</v>
      </c>
      <c r="AO58" s="29">
        <v>121.07857142857142</v>
      </c>
    </row>
    <row r="59" spans="1:41" x14ac:dyDescent="0.3">
      <c r="A59" s="27" t="s">
        <v>0</v>
      </c>
      <c r="B59" s="20">
        <v>2014</v>
      </c>
      <c r="C59" s="20" t="s">
        <v>10</v>
      </c>
      <c r="D59" s="21" t="str">
        <f t="shared" si="0"/>
        <v>Aug-14</v>
      </c>
      <c r="E59" s="33">
        <v>41852</v>
      </c>
      <c r="F59" s="20" t="s">
        <v>84</v>
      </c>
      <c r="G59" s="20">
        <v>121.8</v>
      </c>
      <c r="H59" s="20">
        <v>122.8</v>
      </c>
      <c r="I59" s="20">
        <v>117.8</v>
      </c>
      <c r="J59" s="20">
        <v>121.9</v>
      </c>
      <c r="K59" s="20">
        <v>110.6</v>
      </c>
      <c r="L59" s="20">
        <v>129.69999999999999</v>
      </c>
      <c r="M59" s="20">
        <v>161.1</v>
      </c>
      <c r="N59" s="20">
        <v>114.1</v>
      </c>
      <c r="O59" s="20">
        <v>105.1</v>
      </c>
      <c r="P59" s="20">
        <v>114.6</v>
      </c>
      <c r="Q59" s="20">
        <v>115.8</v>
      </c>
      <c r="R59" s="20">
        <v>121.7</v>
      </c>
      <c r="S59" s="20">
        <v>125.3</v>
      </c>
      <c r="T59" s="20">
        <v>118.8</v>
      </c>
      <c r="U59" s="20">
        <v>120.9</v>
      </c>
      <c r="V59" s="20">
        <v>118.8</v>
      </c>
      <c r="W59" s="20">
        <v>120.7</v>
      </c>
      <c r="X59" s="30">
        <f>'Handle missing value sheet only'!$C$1</f>
        <v>139.27096774193564</v>
      </c>
      <c r="Y59" s="20">
        <v>115.4</v>
      </c>
      <c r="Z59" s="20">
        <v>115.9</v>
      </c>
      <c r="AA59" s="20">
        <v>114</v>
      </c>
      <c r="AB59" s="20">
        <v>113.2</v>
      </c>
      <c r="AC59" s="20">
        <v>112.2</v>
      </c>
      <c r="AD59" s="20">
        <v>116.2</v>
      </c>
      <c r="AE59" s="20">
        <v>109.4</v>
      </c>
      <c r="AF59" s="20">
        <v>113.5</v>
      </c>
      <c r="AG59" s="20">
        <v>120.7</v>
      </c>
      <c r="AH59" s="28">
        <f t="shared" si="1"/>
        <v>2989.8709677419361</v>
      </c>
      <c r="AI59" s="28">
        <f t="shared" si="2"/>
        <v>451.3</v>
      </c>
      <c r="AJ59" s="28">
        <f t="shared" si="3"/>
        <v>239.7</v>
      </c>
      <c r="AK59" s="28">
        <f t="shared" si="4"/>
        <v>255.17096774193564</v>
      </c>
      <c r="AL59" s="28">
        <f t="shared" si="5"/>
        <v>1701.0999999999997</v>
      </c>
      <c r="AM59" s="28">
        <f t="shared" si="6"/>
        <v>112.825</v>
      </c>
      <c r="AN59" s="28">
        <f t="shared" si="7"/>
        <v>127.58548387096782</v>
      </c>
      <c r="AO59" s="31">
        <v>121.50714285714284</v>
      </c>
    </row>
    <row r="60" spans="1:41" x14ac:dyDescent="0.3">
      <c r="A60" s="26" t="s">
        <v>2</v>
      </c>
      <c r="B60" s="21">
        <v>2014</v>
      </c>
      <c r="C60" s="21" t="s">
        <v>10</v>
      </c>
      <c r="D60" s="21" t="str">
        <f t="shared" si="0"/>
        <v>Aug-14</v>
      </c>
      <c r="E60" s="32">
        <v>41852</v>
      </c>
      <c r="F60" s="21" t="s">
        <v>84</v>
      </c>
      <c r="G60" s="21">
        <v>124.8</v>
      </c>
      <c r="H60" s="21">
        <v>127.3</v>
      </c>
      <c r="I60" s="21">
        <v>116.5</v>
      </c>
      <c r="J60" s="21">
        <v>122.2</v>
      </c>
      <c r="K60" s="21">
        <v>103.6</v>
      </c>
      <c r="L60" s="21">
        <v>132.69999999999999</v>
      </c>
      <c r="M60" s="21">
        <v>181.9</v>
      </c>
      <c r="N60" s="21">
        <v>115.2</v>
      </c>
      <c r="O60" s="21">
        <v>102.7</v>
      </c>
      <c r="P60" s="21">
        <v>122.1</v>
      </c>
      <c r="Q60" s="21">
        <v>114.4</v>
      </c>
      <c r="R60" s="21">
        <v>124.7</v>
      </c>
      <c r="S60" s="21">
        <v>128.9</v>
      </c>
      <c r="T60" s="21">
        <v>123</v>
      </c>
      <c r="U60" s="21">
        <v>118.6</v>
      </c>
      <c r="V60" s="21">
        <v>114.1</v>
      </c>
      <c r="W60" s="21">
        <v>117.9</v>
      </c>
      <c r="X60" s="21">
        <v>115.5</v>
      </c>
      <c r="Y60" s="21">
        <v>111.8</v>
      </c>
      <c r="Z60" s="21">
        <v>115.3</v>
      </c>
      <c r="AA60" s="21">
        <v>112.2</v>
      </c>
      <c r="AB60" s="21">
        <v>112.5</v>
      </c>
      <c r="AC60" s="21">
        <v>112.9</v>
      </c>
      <c r="AD60" s="21">
        <v>119.2</v>
      </c>
      <c r="AE60" s="21">
        <v>110.5</v>
      </c>
      <c r="AF60" s="21">
        <v>113.9</v>
      </c>
      <c r="AG60" s="21">
        <v>119.9</v>
      </c>
      <c r="AH60" s="28">
        <f t="shared" si="1"/>
        <v>2996.4999999999995</v>
      </c>
      <c r="AI60" s="28">
        <f t="shared" si="2"/>
        <v>456.5</v>
      </c>
      <c r="AJ60" s="28">
        <f t="shared" si="3"/>
        <v>232.7</v>
      </c>
      <c r="AK60" s="28">
        <f t="shared" si="4"/>
        <v>230.8</v>
      </c>
      <c r="AL60" s="28">
        <f t="shared" si="5"/>
        <v>1740</v>
      </c>
      <c r="AM60" s="28">
        <f t="shared" si="6"/>
        <v>114.125</v>
      </c>
      <c r="AN60" s="28">
        <f t="shared" si="7"/>
        <v>115.4</v>
      </c>
      <c r="AO60" s="29">
        <v>124.28571428571429</v>
      </c>
    </row>
    <row r="61" spans="1:41" x14ac:dyDescent="0.3">
      <c r="A61" s="27" t="s">
        <v>3</v>
      </c>
      <c r="B61" s="20">
        <v>2014</v>
      </c>
      <c r="C61" s="20" t="s">
        <v>10</v>
      </c>
      <c r="D61" s="21" t="str">
        <f t="shared" si="0"/>
        <v>Aug-14</v>
      </c>
      <c r="E61" s="33">
        <v>41852</v>
      </c>
      <c r="F61" s="20" t="s">
        <v>84</v>
      </c>
      <c r="G61" s="20">
        <v>122.7</v>
      </c>
      <c r="H61" s="20">
        <v>124.4</v>
      </c>
      <c r="I61" s="20">
        <v>117.3</v>
      </c>
      <c r="J61" s="20">
        <v>122</v>
      </c>
      <c r="K61" s="20">
        <v>108</v>
      </c>
      <c r="L61" s="20">
        <v>131.1</v>
      </c>
      <c r="M61" s="20">
        <v>168.2</v>
      </c>
      <c r="N61" s="20">
        <v>114.5</v>
      </c>
      <c r="O61" s="20">
        <v>104.3</v>
      </c>
      <c r="P61" s="20">
        <v>117.1</v>
      </c>
      <c r="Q61" s="20">
        <v>115.2</v>
      </c>
      <c r="R61" s="20">
        <v>123.1</v>
      </c>
      <c r="S61" s="20">
        <v>126.6</v>
      </c>
      <c r="T61" s="20">
        <v>119.9</v>
      </c>
      <c r="U61" s="20">
        <v>120</v>
      </c>
      <c r="V61" s="20">
        <v>116.8</v>
      </c>
      <c r="W61" s="20">
        <v>119.6</v>
      </c>
      <c r="X61" s="20">
        <v>115.5</v>
      </c>
      <c r="Y61" s="20">
        <v>114</v>
      </c>
      <c r="Z61" s="20">
        <v>115.6</v>
      </c>
      <c r="AA61" s="20">
        <v>113.3</v>
      </c>
      <c r="AB61" s="20">
        <v>112.8</v>
      </c>
      <c r="AC61" s="20">
        <v>112.6</v>
      </c>
      <c r="AD61" s="20">
        <v>118</v>
      </c>
      <c r="AE61" s="20">
        <v>109.9</v>
      </c>
      <c r="AF61" s="20">
        <v>113.7</v>
      </c>
      <c r="AG61" s="20">
        <v>120.3</v>
      </c>
      <c r="AH61" s="28">
        <f t="shared" si="1"/>
        <v>2976.6</v>
      </c>
      <c r="AI61" s="28">
        <f t="shared" si="2"/>
        <v>454.20000000000005</v>
      </c>
      <c r="AJ61" s="28">
        <f t="shared" si="3"/>
        <v>236.8</v>
      </c>
      <c r="AK61" s="28">
        <f t="shared" si="4"/>
        <v>231.1</v>
      </c>
      <c r="AL61" s="28">
        <f t="shared" si="5"/>
        <v>1714.3999999999999</v>
      </c>
      <c r="AM61" s="28">
        <f t="shared" si="6"/>
        <v>113.55000000000001</v>
      </c>
      <c r="AN61" s="28">
        <f t="shared" si="7"/>
        <v>115.55</v>
      </c>
      <c r="AO61" s="31">
        <v>122.45714285714284</v>
      </c>
    </row>
    <row r="62" spans="1:41" x14ac:dyDescent="0.3">
      <c r="A62" s="26" t="s">
        <v>0</v>
      </c>
      <c r="B62" s="21">
        <v>2014</v>
      </c>
      <c r="C62" s="21" t="s">
        <v>11</v>
      </c>
      <c r="D62" s="21" t="str">
        <f t="shared" si="0"/>
        <v>Sep-14</v>
      </c>
      <c r="E62" s="32">
        <v>41883</v>
      </c>
      <c r="F62" s="21" t="s">
        <v>84</v>
      </c>
      <c r="G62" s="21">
        <v>122.3</v>
      </c>
      <c r="H62" s="21">
        <v>122.4</v>
      </c>
      <c r="I62" s="21">
        <v>117.8</v>
      </c>
      <c r="J62" s="21">
        <v>122.7</v>
      </c>
      <c r="K62" s="21">
        <v>110.4</v>
      </c>
      <c r="L62" s="21">
        <v>129.80000000000001</v>
      </c>
      <c r="M62" s="21">
        <v>158.80000000000001</v>
      </c>
      <c r="N62" s="21">
        <v>115</v>
      </c>
      <c r="O62" s="21">
        <v>104.7</v>
      </c>
      <c r="P62" s="21">
        <v>114.9</v>
      </c>
      <c r="Q62" s="21">
        <v>116.5</v>
      </c>
      <c r="R62" s="21">
        <v>122.6</v>
      </c>
      <c r="S62" s="21">
        <v>125.3</v>
      </c>
      <c r="T62" s="21">
        <v>119.5</v>
      </c>
      <c r="U62" s="21">
        <v>121.7</v>
      </c>
      <c r="V62" s="21">
        <v>119.2</v>
      </c>
      <c r="W62" s="21">
        <v>121.3</v>
      </c>
      <c r="X62" s="28">
        <f>'Handle missing value sheet only'!$C$1</f>
        <v>139.27096774193564</v>
      </c>
      <c r="Y62" s="21">
        <v>115.8</v>
      </c>
      <c r="Z62" s="21">
        <v>116.7</v>
      </c>
      <c r="AA62" s="21">
        <v>114.5</v>
      </c>
      <c r="AB62" s="21">
        <v>112.8</v>
      </c>
      <c r="AC62" s="21">
        <v>112.6</v>
      </c>
      <c r="AD62" s="21">
        <v>116.6</v>
      </c>
      <c r="AE62" s="21">
        <v>109.1</v>
      </c>
      <c r="AF62" s="21">
        <v>113.7</v>
      </c>
      <c r="AG62" s="21">
        <v>120.9</v>
      </c>
      <c r="AH62" s="28">
        <f t="shared" si="1"/>
        <v>2994.6709677419353</v>
      </c>
      <c r="AI62" s="28">
        <f t="shared" si="2"/>
        <v>452</v>
      </c>
      <c r="AJ62" s="28">
        <f t="shared" si="3"/>
        <v>240.9</v>
      </c>
      <c r="AK62" s="28">
        <f t="shared" si="4"/>
        <v>255.97096774193562</v>
      </c>
      <c r="AL62" s="28">
        <f t="shared" si="5"/>
        <v>1702.7</v>
      </c>
      <c r="AM62" s="28">
        <f t="shared" si="6"/>
        <v>113</v>
      </c>
      <c r="AN62" s="28">
        <f t="shared" si="7"/>
        <v>127.98548387096781</v>
      </c>
      <c r="AO62" s="29">
        <v>121.62142857142858</v>
      </c>
    </row>
    <row r="63" spans="1:41" x14ac:dyDescent="0.3">
      <c r="A63" s="27" t="s">
        <v>2</v>
      </c>
      <c r="B63" s="20">
        <v>2014</v>
      </c>
      <c r="C63" s="20" t="s">
        <v>11</v>
      </c>
      <c r="D63" s="21" t="str">
        <f t="shared" si="0"/>
        <v>Sep-14</v>
      </c>
      <c r="E63" s="33">
        <v>41883</v>
      </c>
      <c r="F63" s="20" t="s">
        <v>84</v>
      </c>
      <c r="G63" s="20">
        <v>124.2</v>
      </c>
      <c r="H63" s="20">
        <v>125.4</v>
      </c>
      <c r="I63" s="20">
        <v>116.4</v>
      </c>
      <c r="J63" s="20">
        <v>122.7</v>
      </c>
      <c r="K63" s="20">
        <v>103.5</v>
      </c>
      <c r="L63" s="20">
        <v>124.5</v>
      </c>
      <c r="M63" s="20">
        <v>168.6</v>
      </c>
      <c r="N63" s="20">
        <v>116.9</v>
      </c>
      <c r="O63" s="20">
        <v>101.9</v>
      </c>
      <c r="P63" s="20">
        <v>122.9</v>
      </c>
      <c r="Q63" s="20">
        <v>114.8</v>
      </c>
      <c r="R63" s="20">
        <v>125.2</v>
      </c>
      <c r="S63" s="20">
        <v>126.7</v>
      </c>
      <c r="T63" s="20">
        <v>124.3</v>
      </c>
      <c r="U63" s="20">
        <v>119.2</v>
      </c>
      <c r="V63" s="20">
        <v>114.5</v>
      </c>
      <c r="W63" s="20">
        <v>118.4</v>
      </c>
      <c r="X63" s="20">
        <v>116.1</v>
      </c>
      <c r="Y63" s="20">
        <v>111.8</v>
      </c>
      <c r="Z63" s="20">
        <v>115.5</v>
      </c>
      <c r="AA63" s="20">
        <v>112.3</v>
      </c>
      <c r="AB63" s="20">
        <v>111.2</v>
      </c>
      <c r="AC63" s="20">
        <v>113.4</v>
      </c>
      <c r="AD63" s="20">
        <v>120</v>
      </c>
      <c r="AE63" s="20">
        <v>110</v>
      </c>
      <c r="AF63" s="20">
        <v>113.6</v>
      </c>
      <c r="AG63" s="20">
        <v>119.2</v>
      </c>
      <c r="AH63" s="28">
        <f t="shared" si="1"/>
        <v>2975.6</v>
      </c>
      <c r="AI63" s="28">
        <f t="shared" si="2"/>
        <v>457</v>
      </c>
      <c r="AJ63" s="28">
        <f t="shared" si="3"/>
        <v>233.7</v>
      </c>
      <c r="AK63" s="28">
        <f t="shared" si="4"/>
        <v>231.6</v>
      </c>
      <c r="AL63" s="28">
        <f t="shared" si="5"/>
        <v>1718.0000000000002</v>
      </c>
      <c r="AM63" s="28">
        <f t="shared" si="6"/>
        <v>114.25</v>
      </c>
      <c r="AN63" s="28">
        <f t="shared" si="7"/>
        <v>115.8</v>
      </c>
      <c r="AO63" s="31">
        <v>122.71428571428574</v>
      </c>
    </row>
    <row r="64" spans="1:41" x14ac:dyDescent="0.3">
      <c r="A64" s="26" t="s">
        <v>3</v>
      </c>
      <c r="B64" s="21">
        <v>2014</v>
      </c>
      <c r="C64" s="21" t="s">
        <v>11</v>
      </c>
      <c r="D64" s="21" t="str">
        <f t="shared" si="0"/>
        <v>Sep-14</v>
      </c>
      <c r="E64" s="32">
        <v>41883</v>
      </c>
      <c r="F64" s="21" t="s">
        <v>84</v>
      </c>
      <c r="G64" s="21">
        <v>122.9</v>
      </c>
      <c r="H64" s="21">
        <v>123.5</v>
      </c>
      <c r="I64" s="21">
        <v>117.3</v>
      </c>
      <c r="J64" s="21">
        <v>122.7</v>
      </c>
      <c r="K64" s="21">
        <v>107.9</v>
      </c>
      <c r="L64" s="21">
        <v>127.3</v>
      </c>
      <c r="M64" s="21">
        <v>162.1</v>
      </c>
      <c r="N64" s="21">
        <v>115.6</v>
      </c>
      <c r="O64" s="21">
        <v>103.8</v>
      </c>
      <c r="P64" s="21">
        <v>117.6</v>
      </c>
      <c r="Q64" s="21">
        <v>115.8</v>
      </c>
      <c r="R64" s="21">
        <v>123.8</v>
      </c>
      <c r="S64" s="21">
        <v>125.8</v>
      </c>
      <c r="T64" s="21">
        <v>120.8</v>
      </c>
      <c r="U64" s="21">
        <v>120.7</v>
      </c>
      <c r="V64" s="21">
        <v>117.2</v>
      </c>
      <c r="W64" s="21">
        <v>120.1</v>
      </c>
      <c r="X64" s="21">
        <v>116.1</v>
      </c>
      <c r="Y64" s="21">
        <v>114.3</v>
      </c>
      <c r="Z64" s="21">
        <v>116.1</v>
      </c>
      <c r="AA64" s="21">
        <v>113.7</v>
      </c>
      <c r="AB64" s="21">
        <v>112</v>
      </c>
      <c r="AC64" s="21">
        <v>113.1</v>
      </c>
      <c r="AD64" s="21">
        <v>118.6</v>
      </c>
      <c r="AE64" s="21">
        <v>109.5</v>
      </c>
      <c r="AF64" s="21">
        <v>113.7</v>
      </c>
      <c r="AG64" s="21">
        <v>120.1</v>
      </c>
      <c r="AH64" s="28">
        <f t="shared" si="1"/>
        <v>2971.9000000000005</v>
      </c>
      <c r="AI64" s="28">
        <f t="shared" si="2"/>
        <v>454.9</v>
      </c>
      <c r="AJ64" s="28">
        <f t="shared" si="3"/>
        <v>237.9</v>
      </c>
      <c r="AK64" s="28">
        <f t="shared" si="4"/>
        <v>232.2</v>
      </c>
      <c r="AL64" s="28">
        <f t="shared" si="5"/>
        <v>1706.8999999999996</v>
      </c>
      <c r="AM64" s="28">
        <f t="shared" si="6"/>
        <v>113.72499999999999</v>
      </c>
      <c r="AN64" s="28">
        <f t="shared" si="7"/>
        <v>116.1</v>
      </c>
      <c r="AO64" s="29">
        <v>121.92142857142855</v>
      </c>
    </row>
    <row r="65" spans="1:41" x14ac:dyDescent="0.3">
      <c r="A65" s="27" t="s">
        <v>0</v>
      </c>
      <c r="B65" s="20">
        <v>2014</v>
      </c>
      <c r="C65" s="20" t="s">
        <v>12</v>
      </c>
      <c r="D65" s="21" t="str">
        <f t="shared" si="0"/>
        <v>Oct-14</v>
      </c>
      <c r="E65" s="33">
        <v>41913</v>
      </c>
      <c r="F65" s="20" t="s">
        <v>84</v>
      </c>
      <c r="G65" s="20">
        <v>122.6</v>
      </c>
      <c r="H65" s="20">
        <v>122.5</v>
      </c>
      <c r="I65" s="20">
        <v>118.3</v>
      </c>
      <c r="J65" s="20">
        <v>123.2</v>
      </c>
      <c r="K65" s="20">
        <v>110.5</v>
      </c>
      <c r="L65" s="20">
        <v>128.9</v>
      </c>
      <c r="M65" s="20">
        <v>155.30000000000001</v>
      </c>
      <c r="N65" s="20">
        <v>115.5</v>
      </c>
      <c r="O65" s="20">
        <v>104</v>
      </c>
      <c r="P65" s="20">
        <v>115.3</v>
      </c>
      <c r="Q65" s="20">
        <v>116.8</v>
      </c>
      <c r="R65" s="20">
        <v>123.2</v>
      </c>
      <c r="S65" s="20">
        <v>125.1</v>
      </c>
      <c r="T65" s="20">
        <v>120</v>
      </c>
      <c r="U65" s="20">
        <v>122.7</v>
      </c>
      <c r="V65" s="20">
        <v>120.3</v>
      </c>
      <c r="W65" s="20">
        <v>122.3</v>
      </c>
      <c r="X65" s="30">
        <f>'Handle missing value sheet only'!$C$1</f>
        <v>139.27096774193564</v>
      </c>
      <c r="Y65" s="20">
        <v>116.4</v>
      </c>
      <c r="Z65" s="20">
        <v>117.5</v>
      </c>
      <c r="AA65" s="20">
        <v>115.3</v>
      </c>
      <c r="AB65" s="20">
        <v>112.6</v>
      </c>
      <c r="AC65" s="20">
        <v>113</v>
      </c>
      <c r="AD65" s="20">
        <v>116.9</v>
      </c>
      <c r="AE65" s="20">
        <v>109.3</v>
      </c>
      <c r="AF65" s="20">
        <v>114</v>
      </c>
      <c r="AG65" s="20">
        <v>121</v>
      </c>
      <c r="AH65" s="28">
        <f t="shared" si="1"/>
        <v>2998.4709677419355</v>
      </c>
      <c r="AI65" s="28">
        <f t="shared" si="2"/>
        <v>453.20000000000005</v>
      </c>
      <c r="AJ65" s="28">
        <f t="shared" si="3"/>
        <v>243</v>
      </c>
      <c r="AK65" s="28">
        <f t="shared" si="4"/>
        <v>256.77096774193564</v>
      </c>
      <c r="AL65" s="28">
        <f t="shared" si="5"/>
        <v>1701.1999999999998</v>
      </c>
      <c r="AM65" s="28">
        <f t="shared" si="6"/>
        <v>113.30000000000001</v>
      </c>
      <c r="AN65" s="28">
        <f t="shared" si="7"/>
        <v>128.38548387096782</v>
      </c>
      <c r="AO65" s="31">
        <v>121.51428571428571</v>
      </c>
    </row>
    <row r="66" spans="1:41" x14ac:dyDescent="0.3">
      <c r="A66" s="26" t="s">
        <v>2</v>
      </c>
      <c r="B66" s="21">
        <v>2014</v>
      </c>
      <c r="C66" s="21" t="s">
        <v>12</v>
      </c>
      <c r="D66" s="21" t="str">
        <f t="shared" si="0"/>
        <v>Oct-14</v>
      </c>
      <c r="E66" s="32">
        <v>41913</v>
      </c>
      <c r="F66" s="21" t="s">
        <v>84</v>
      </c>
      <c r="G66" s="21">
        <v>124.6</v>
      </c>
      <c r="H66" s="21">
        <v>126.1</v>
      </c>
      <c r="I66" s="21">
        <v>117.8</v>
      </c>
      <c r="J66" s="21">
        <v>123.1</v>
      </c>
      <c r="K66" s="21">
        <v>103.5</v>
      </c>
      <c r="L66" s="21">
        <v>123.5</v>
      </c>
      <c r="M66" s="21">
        <v>159.6</v>
      </c>
      <c r="N66" s="21">
        <v>117.4</v>
      </c>
      <c r="O66" s="21">
        <v>101.2</v>
      </c>
      <c r="P66" s="21">
        <v>123.8</v>
      </c>
      <c r="Q66" s="21">
        <v>115.2</v>
      </c>
      <c r="R66" s="21">
        <v>125.9</v>
      </c>
      <c r="S66" s="21">
        <v>125.8</v>
      </c>
      <c r="T66" s="21">
        <v>124.3</v>
      </c>
      <c r="U66" s="21">
        <v>119.6</v>
      </c>
      <c r="V66" s="21">
        <v>114.9</v>
      </c>
      <c r="W66" s="21">
        <v>118.9</v>
      </c>
      <c r="X66" s="21">
        <v>116.7</v>
      </c>
      <c r="Y66" s="21">
        <v>112</v>
      </c>
      <c r="Z66" s="21">
        <v>115.8</v>
      </c>
      <c r="AA66" s="21">
        <v>112.6</v>
      </c>
      <c r="AB66" s="21">
        <v>111</v>
      </c>
      <c r="AC66" s="21">
        <v>113.6</v>
      </c>
      <c r="AD66" s="21">
        <v>120.2</v>
      </c>
      <c r="AE66" s="21">
        <v>110.1</v>
      </c>
      <c r="AF66" s="21">
        <v>113.7</v>
      </c>
      <c r="AG66" s="21">
        <v>119.1</v>
      </c>
      <c r="AH66" s="28">
        <f t="shared" si="1"/>
        <v>2972</v>
      </c>
      <c r="AI66" s="28">
        <f t="shared" si="2"/>
        <v>457.6</v>
      </c>
      <c r="AJ66" s="28">
        <f t="shared" si="3"/>
        <v>234.5</v>
      </c>
      <c r="AK66" s="28">
        <f t="shared" si="4"/>
        <v>232.5</v>
      </c>
      <c r="AL66" s="28">
        <f t="shared" si="5"/>
        <v>1711.8</v>
      </c>
      <c r="AM66" s="28">
        <f t="shared" si="6"/>
        <v>114.4</v>
      </c>
      <c r="AN66" s="28">
        <f t="shared" si="7"/>
        <v>116.25</v>
      </c>
      <c r="AO66" s="29">
        <v>122.27142857142857</v>
      </c>
    </row>
    <row r="67" spans="1:41" x14ac:dyDescent="0.3">
      <c r="A67" s="27" t="s">
        <v>3</v>
      </c>
      <c r="B67" s="20">
        <v>2014</v>
      </c>
      <c r="C67" s="20" t="s">
        <v>12</v>
      </c>
      <c r="D67" s="21" t="str">
        <f t="shared" ref="D67:D130" si="8">TEXT(DATE(B67, MONTH(1&amp;C67), 1), "mmm-yy")</f>
        <v>Oct-14</v>
      </c>
      <c r="E67" s="33">
        <v>41913</v>
      </c>
      <c r="F67" s="20" t="s">
        <v>84</v>
      </c>
      <c r="G67" s="20">
        <v>123.2</v>
      </c>
      <c r="H67" s="20">
        <v>123.8</v>
      </c>
      <c r="I67" s="20">
        <v>118.1</v>
      </c>
      <c r="J67" s="20">
        <v>123.2</v>
      </c>
      <c r="K67" s="20">
        <v>107.9</v>
      </c>
      <c r="L67" s="20">
        <v>126.4</v>
      </c>
      <c r="M67" s="20">
        <v>156.80000000000001</v>
      </c>
      <c r="N67" s="20">
        <v>116.1</v>
      </c>
      <c r="O67" s="20">
        <v>103.1</v>
      </c>
      <c r="P67" s="20">
        <v>118.1</v>
      </c>
      <c r="Q67" s="20">
        <v>116.1</v>
      </c>
      <c r="R67" s="20">
        <v>124.5</v>
      </c>
      <c r="S67" s="20">
        <v>125.4</v>
      </c>
      <c r="T67" s="20">
        <v>121.1</v>
      </c>
      <c r="U67" s="20">
        <v>121.5</v>
      </c>
      <c r="V67" s="20">
        <v>118.1</v>
      </c>
      <c r="W67" s="20">
        <v>121</v>
      </c>
      <c r="X67" s="20">
        <v>116.7</v>
      </c>
      <c r="Y67" s="20">
        <v>114.7</v>
      </c>
      <c r="Z67" s="20">
        <v>116.7</v>
      </c>
      <c r="AA67" s="20">
        <v>114.3</v>
      </c>
      <c r="AB67" s="20">
        <v>111.8</v>
      </c>
      <c r="AC67" s="20">
        <v>113.3</v>
      </c>
      <c r="AD67" s="20">
        <v>118.8</v>
      </c>
      <c r="AE67" s="20">
        <v>109.6</v>
      </c>
      <c r="AF67" s="20">
        <v>113.9</v>
      </c>
      <c r="AG67" s="20">
        <v>120.1</v>
      </c>
      <c r="AH67" s="28">
        <f t="shared" ref="AH67:AH130" si="9">SUM(X67:AF67,G67:V67)</f>
        <v>2973.2</v>
      </c>
      <c r="AI67" s="28">
        <f t="shared" ref="AI67:AI130" si="10">SUM(AF67,AE67,AD67,AC67)</f>
        <v>455.6</v>
      </c>
      <c r="AJ67" s="28">
        <f t="shared" ref="AJ67:AJ130" si="11">SUM(V67,U67)</f>
        <v>239.6</v>
      </c>
      <c r="AK67" s="28">
        <f t="shared" ref="AK67:AK130" si="12">SUM(Z67,X67)</f>
        <v>233.4</v>
      </c>
      <c r="AL67" s="28">
        <f t="shared" ref="AL67:AL130" si="13">SUM(G67:T67)</f>
        <v>1703.8</v>
      </c>
      <c r="AM67" s="28">
        <f t="shared" ref="AM67:AM130" si="14">AVERAGE(AF67,AE67,AD67,AC67)</f>
        <v>113.9</v>
      </c>
      <c r="AN67" s="28">
        <f t="shared" ref="AN67:AN130" si="15">AVERAGE(X67,Z67)</f>
        <v>116.7</v>
      </c>
      <c r="AO67" s="31">
        <v>121.7</v>
      </c>
    </row>
    <row r="68" spans="1:41" x14ac:dyDescent="0.3">
      <c r="A68" s="26" t="s">
        <v>0</v>
      </c>
      <c r="B68" s="21">
        <v>2014</v>
      </c>
      <c r="C68" s="21" t="s">
        <v>14</v>
      </c>
      <c r="D68" s="21" t="str">
        <f t="shared" si="8"/>
        <v>Nov-14</v>
      </c>
      <c r="E68" s="32">
        <v>41944</v>
      </c>
      <c r="F68" s="21" t="s">
        <v>84</v>
      </c>
      <c r="G68" s="21">
        <v>122.7</v>
      </c>
      <c r="H68" s="21">
        <v>122.6</v>
      </c>
      <c r="I68" s="21">
        <v>119.9</v>
      </c>
      <c r="J68" s="21">
        <v>124</v>
      </c>
      <c r="K68" s="21">
        <v>110.5</v>
      </c>
      <c r="L68" s="21">
        <v>128.80000000000001</v>
      </c>
      <c r="M68" s="21">
        <v>152</v>
      </c>
      <c r="N68" s="21">
        <v>116.2</v>
      </c>
      <c r="O68" s="21">
        <v>103.3</v>
      </c>
      <c r="P68" s="21">
        <v>115.8</v>
      </c>
      <c r="Q68" s="21">
        <v>116.8</v>
      </c>
      <c r="R68" s="21">
        <v>124.5</v>
      </c>
      <c r="S68" s="21">
        <v>124.9</v>
      </c>
      <c r="T68" s="21">
        <v>120.8</v>
      </c>
      <c r="U68" s="21">
        <v>123.3</v>
      </c>
      <c r="V68" s="21">
        <v>120.5</v>
      </c>
      <c r="W68" s="21">
        <v>122.9</v>
      </c>
      <c r="X68" s="28">
        <f>'Handle missing value sheet only'!$C$1</f>
        <v>139.27096774193564</v>
      </c>
      <c r="Y68" s="21">
        <v>117.3</v>
      </c>
      <c r="Z68" s="21">
        <v>118.1</v>
      </c>
      <c r="AA68" s="21">
        <v>115.9</v>
      </c>
      <c r="AB68" s="21">
        <v>112</v>
      </c>
      <c r="AC68" s="21">
        <v>113.3</v>
      </c>
      <c r="AD68" s="21">
        <v>117.2</v>
      </c>
      <c r="AE68" s="21">
        <v>108.8</v>
      </c>
      <c r="AF68" s="21">
        <v>114.1</v>
      </c>
      <c r="AG68" s="21">
        <v>121.1</v>
      </c>
      <c r="AH68" s="28">
        <f t="shared" si="9"/>
        <v>3002.5709677419363</v>
      </c>
      <c r="AI68" s="28">
        <f t="shared" si="10"/>
        <v>453.4</v>
      </c>
      <c r="AJ68" s="28">
        <f t="shared" si="11"/>
        <v>243.8</v>
      </c>
      <c r="AK68" s="28">
        <f t="shared" si="12"/>
        <v>257.3709677419356</v>
      </c>
      <c r="AL68" s="28">
        <f t="shared" si="13"/>
        <v>1702.8</v>
      </c>
      <c r="AM68" s="28">
        <f t="shared" si="14"/>
        <v>113.35</v>
      </c>
      <c r="AN68" s="28">
        <f t="shared" si="15"/>
        <v>128.6854838709678</v>
      </c>
      <c r="AO68" s="29">
        <v>121.62857142857142</v>
      </c>
    </row>
    <row r="69" spans="1:41" x14ac:dyDescent="0.3">
      <c r="A69" s="27" t="s">
        <v>2</v>
      </c>
      <c r="B69" s="20">
        <v>2014</v>
      </c>
      <c r="C69" s="20" t="s">
        <v>14</v>
      </c>
      <c r="D69" s="21" t="str">
        <f t="shared" si="8"/>
        <v>Nov-14</v>
      </c>
      <c r="E69" s="33">
        <v>41944</v>
      </c>
      <c r="F69" s="20" t="s">
        <v>84</v>
      </c>
      <c r="G69" s="20">
        <v>124.5</v>
      </c>
      <c r="H69" s="20">
        <v>125.6</v>
      </c>
      <c r="I69" s="20">
        <v>122.7</v>
      </c>
      <c r="J69" s="20">
        <v>124.6</v>
      </c>
      <c r="K69" s="20">
        <v>103.2</v>
      </c>
      <c r="L69" s="20">
        <v>122.2</v>
      </c>
      <c r="M69" s="20">
        <v>153.19999999999999</v>
      </c>
      <c r="N69" s="20">
        <v>119.3</v>
      </c>
      <c r="O69" s="20">
        <v>99.8</v>
      </c>
      <c r="P69" s="20">
        <v>124.6</v>
      </c>
      <c r="Q69" s="20">
        <v>115.8</v>
      </c>
      <c r="R69" s="20">
        <v>126.9</v>
      </c>
      <c r="S69" s="20">
        <v>125.4</v>
      </c>
      <c r="T69" s="20">
        <v>125.8</v>
      </c>
      <c r="U69" s="20">
        <v>120.3</v>
      </c>
      <c r="V69" s="20">
        <v>115.4</v>
      </c>
      <c r="W69" s="20">
        <v>119.5</v>
      </c>
      <c r="X69" s="20">
        <v>117.1</v>
      </c>
      <c r="Y69" s="20">
        <v>112.6</v>
      </c>
      <c r="Z69" s="20">
        <v>116.4</v>
      </c>
      <c r="AA69" s="20">
        <v>113</v>
      </c>
      <c r="AB69" s="20">
        <v>109.7</v>
      </c>
      <c r="AC69" s="20">
        <v>114</v>
      </c>
      <c r="AD69" s="20">
        <v>120.3</v>
      </c>
      <c r="AE69" s="20">
        <v>109.6</v>
      </c>
      <c r="AF69" s="20">
        <v>113.4</v>
      </c>
      <c r="AG69" s="20">
        <v>119</v>
      </c>
      <c r="AH69" s="28">
        <f t="shared" si="9"/>
        <v>2975.400000000001</v>
      </c>
      <c r="AI69" s="28">
        <f t="shared" si="10"/>
        <v>457.3</v>
      </c>
      <c r="AJ69" s="28">
        <f t="shared" si="11"/>
        <v>235.7</v>
      </c>
      <c r="AK69" s="28">
        <f t="shared" si="12"/>
        <v>233.5</v>
      </c>
      <c r="AL69" s="28">
        <f t="shared" si="13"/>
        <v>1713.6</v>
      </c>
      <c r="AM69" s="28">
        <f t="shared" si="14"/>
        <v>114.325</v>
      </c>
      <c r="AN69" s="28">
        <f t="shared" si="15"/>
        <v>116.75</v>
      </c>
      <c r="AO69" s="31">
        <v>122.39999999999999</v>
      </c>
    </row>
    <row r="70" spans="1:41" x14ac:dyDescent="0.3">
      <c r="A70" s="26" t="s">
        <v>3</v>
      </c>
      <c r="B70" s="21">
        <v>2014</v>
      </c>
      <c r="C70" s="21" t="s">
        <v>14</v>
      </c>
      <c r="D70" s="21" t="str">
        <f t="shared" si="8"/>
        <v>Nov-14</v>
      </c>
      <c r="E70" s="32">
        <v>41944</v>
      </c>
      <c r="F70" s="21" t="s">
        <v>84</v>
      </c>
      <c r="G70" s="21">
        <v>123.3</v>
      </c>
      <c r="H70" s="21">
        <v>123.7</v>
      </c>
      <c r="I70" s="21">
        <v>121</v>
      </c>
      <c r="J70" s="21">
        <v>124.2</v>
      </c>
      <c r="K70" s="21">
        <v>107.8</v>
      </c>
      <c r="L70" s="21">
        <v>125.7</v>
      </c>
      <c r="M70" s="21">
        <v>152.4</v>
      </c>
      <c r="N70" s="21">
        <v>117.2</v>
      </c>
      <c r="O70" s="21">
        <v>102.1</v>
      </c>
      <c r="P70" s="21">
        <v>118.7</v>
      </c>
      <c r="Q70" s="21">
        <v>116.4</v>
      </c>
      <c r="R70" s="21">
        <v>125.6</v>
      </c>
      <c r="S70" s="21">
        <v>125.1</v>
      </c>
      <c r="T70" s="21">
        <v>122.1</v>
      </c>
      <c r="U70" s="21">
        <v>122.1</v>
      </c>
      <c r="V70" s="21">
        <v>118.4</v>
      </c>
      <c r="W70" s="21">
        <v>121.6</v>
      </c>
      <c r="X70" s="21">
        <v>117.1</v>
      </c>
      <c r="Y70" s="21">
        <v>115.5</v>
      </c>
      <c r="Z70" s="21">
        <v>117.3</v>
      </c>
      <c r="AA70" s="21">
        <v>114.8</v>
      </c>
      <c r="AB70" s="21">
        <v>110.8</v>
      </c>
      <c r="AC70" s="21">
        <v>113.7</v>
      </c>
      <c r="AD70" s="21">
        <v>119</v>
      </c>
      <c r="AE70" s="21">
        <v>109.1</v>
      </c>
      <c r="AF70" s="21">
        <v>113.8</v>
      </c>
      <c r="AG70" s="21">
        <v>120.1</v>
      </c>
      <c r="AH70" s="28">
        <f t="shared" si="9"/>
        <v>2976.9</v>
      </c>
      <c r="AI70" s="28">
        <f t="shared" si="10"/>
        <v>455.59999999999997</v>
      </c>
      <c r="AJ70" s="28">
        <f t="shared" si="11"/>
        <v>240.5</v>
      </c>
      <c r="AK70" s="28">
        <f t="shared" si="12"/>
        <v>234.39999999999998</v>
      </c>
      <c r="AL70" s="28">
        <f t="shared" si="13"/>
        <v>1705.3</v>
      </c>
      <c r="AM70" s="28">
        <f t="shared" si="14"/>
        <v>113.89999999999999</v>
      </c>
      <c r="AN70" s="28">
        <f t="shared" si="15"/>
        <v>117.19999999999999</v>
      </c>
      <c r="AO70" s="29">
        <v>121.80714285714285</v>
      </c>
    </row>
    <row r="71" spans="1:41" x14ac:dyDescent="0.3">
      <c r="A71" s="27" t="s">
        <v>0</v>
      </c>
      <c r="B71" s="20">
        <v>2014</v>
      </c>
      <c r="C71" s="20" t="s">
        <v>15</v>
      </c>
      <c r="D71" s="21" t="str">
        <f t="shared" si="8"/>
        <v>Dec-14</v>
      </c>
      <c r="E71" s="33">
        <v>41974</v>
      </c>
      <c r="F71" s="20" t="s">
        <v>84</v>
      </c>
      <c r="G71" s="20">
        <v>122.4</v>
      </c>
      <c r="H71" s="20">
        <v>122.4</v>
      </c>
      <c r="I71" s="20">
        <v>121.8</v>
      </c>
      <c r="J71" s="20">
        <v>124.2</v>
      </c>
      <c r="K71" s="20">
        <v>110.2</v>
      </c>
      <c r="L71" s="20">
        <v>128.6</v>
      </c>
      <c r="M71" s="20">
        <v>140.30000000000001</v>
      </c>
      <c r="N71" s="20">
        <v>116.3</v>
      </c>
      <c r="O71" s="20">
        <v>102</v>
      </c>
      <c r="P71" s="20">
        <v>116</v>
      </c>
      <c r="Q71" s="20">
        <v>117.3</v>
      </c>
      <c r="R71" s="20">
        <v>124.8</v>
      </c>
      <c r="S71" s="20">
        <v>123.3</v>
      </c>
      <c r="T71" s="20">
        <v>121.7</v>
      </c>
      <c r="U71" s="20">
        <v>123.8</v>
      </c>
      <c r="V71" s="20">
        <v>120.6</v>
      </c>
      <c r="W71" s="20">
        <v>123.3</v>
      </c>
      <c r="X71" s="30">
        <f>'Handle missing value sheet only'!$C$1</f>
        <v>139.27096774193564</v>
      </c>
      <c r="Y71" s="20">
        <v>117.4</v>
      </c>
      <c r="Z71" s="20">
        <v>118.2</v>
      </c>
      <c r="AA71" s="20">
        <v>116.2</v>
      </c>
      <c r="AB71" s="20">
        <v>111.5</v>
      </c>
      <c r="AC71" s="20">
        <v>113.3</v>
      </c>
      <c r="AD71" s="20">
        <v>117.7</v>
      </c>
      <c r="AE71" s="20">
        <v>109.4</v>
      </c>
      <c r="AF71" s="20">
        <v>114.2</v>
      </c>
      <c r="AG71" s="20">
        <v>120.3</v>
      </c>
      <c r="AH71" s="28">
        <f t="shared" si="9"/>
        <v>2992.8709677419361</v>
      </c>
      <c r="AI71" s="28">
        <f t="shared" si="10"/>
        <v>454.6</v>
      </c>
      <c r="AJ71" s="28">
        <f t="shared" si="11"/>
        <v>244.39999999999998</v>
      </c>
      <c r="AK71" s="28">
        <f t="shared" si="12"/>
        <v>257.47096774193562</v>
      </c>
      <c r="AL71" s="28">
        <f t="shared" si="13"/>
        <v>1691.3</v>
      </c>
      <c r="AM71" s="28">
        <f t="shared" si="14"/>
        <v>113.65</v>
      </c>
      <c r="AN71" s="28">
        <f t="shared" si="15"/>
        <v>128.73548387096781</v>
      </c>
      <c r="AO71" s="31">
        <v>120.80714285714285</v>
      </c>
    </row>
    <row r="72" spans="1:41" x14ac:dyDescent="0.3">
      <c r="A72" s="26" t="s">
        <v>2</v>
      </c>
      <c r="B72" s="21">
        <v>2014</v>
      </c>
      <c r="C72" s="21" t="s">
        <v>15</v>
      </c>
      <c r="D72" s="21" t="str">
        <f t="shared" si="8"/>
        <v>Dec-14</v>
      </c>
      <c r="E72" s="32">
        <v>41974</v>
      </c>
      <c r="F72" s="21" t="s">
        <v>84</v>
      </c>
      <c r="G72" s="21">
        <v>124</v>
      </c>
      <c r="H72" s="21">
        <v>124.7</v>
      </c>
      <c r="I72" s="21">
        <v>126.3</v>
      </c>
      <c r="J72" s="21">
        <v>124.9</v>
      </c>
      <c r="K72" s="21">
        <v>103</v>
      </c>
      <c r="L72" s="21">
        <v>122.3</v>
      </c>
      <c r="M72" s="21">
        <v>141</v>
      </c>
      <c r="N72" s="21">
        <v>120.1</v>
      </c>
      <c r="O72" s="21">
        <v>97.8</v>
      </c>
      <c r="P72" s="21">
        <v>125.4</v>
      </c>
      <c r="Q72" s="21">
        <v>116.1</v>
      </c>
      <c r="R72" s="21">
        <v>127.6</v>
      </c>
      <c r="S72" s="21">
        <v>124</v>
      </c>
      <c r="T72" s="21">
        <v>126.4</v>
      </c>
      <c r="U72" s="21">
        <v>120.7</v>
      </c>
      <c r="V72" s="21">
        <v>115.8</v>
      </c>
      <c r="W72" s="21">
        <v>120</v>
      </c>
      <c r="X72" s="21">
        <v>116.5</v>
      </c>
      <c r="Y72" s="21">
        <v>113</v>
      </c>
      <c r="Z72" s="21">
        <v>116.8</v>
      </c>
      <c r="AA72" s="21">
        <v>113.2</v>
      </c>
      <c r="AB72" s="21">
        <v>108.8</v>
      </c>
      <c r="AC72" s="21">
        <v>114.3</v>
      </c>
      <c r="AD72" s="21">
        <v>120.7</v>
      </c>
      <c r="AE72" s="21">
        <v>110.4</v>
      </c>
      <c r="AF72" s="21">
        <v>113.4</v>
      </c>
      <c r="AG72" s="21">
        <v>118.4</v>
      </c>
      <c r="AH72" s="28">
        <f t="shared" si="9"/>
        <v>2967.2</v>
      </c>
      <c r="AI72" s="28">
        <f t="shared" si="10"/>
        <v>458.8</v>
      </c>
      <c r="AJ72" s="28">
        <f t="shared" si="11"/>
        <v>236.5</v>
      </c>
      <c r="AK72" s="28">
        <f t="shared" si="12"/>
        <v>233.3</v>
      </c>
      <c r="AL72" s="28">
        <f t="shared" si="13"/>
        <v>1703.6</v>
      </c>
      <c r="AM72" s="28">
        <f t="shared" si="14"/>
        <v>114.7</v>
      </c>
      <c r="AN72" s="28">
        <f t="shared" si="15"/>
        <v>116.65</v>
      </c>
      <c r="AO72" s="29">
        <v>121.68571428571428</v>
      </c>
    </row>
    <row r="73" spans="1:41" x14ac:dyDescent="0.3">
      <c r="A73" s="27" t="s">
        <v>3</v>
      </c>
      <c r="B73" s="20">
        <v>2014</v>
      </c>
      <c r="C73" s="20" t="s">
        <v>15</v>
      </c>
      <c r="D73" s="21" t="str">
        <f t="shared" si="8"/>
        <v>Dec-14</v>
      </c>
      <c r="E73" s="33">
        <v>41974</v>
      </c>
      <c r="F73" s="20" t="s">
        <v>84</v>
      </c>
      <c r="G73" s="20">
        <v>122.9</v>
      </c>
      <c r="H73" s="20">
        <v>123.2</v>
      </c>
      <c r="I73" s="20">
        <v>123.5</v>
      </c>
      <c r="J73" s="20">
        <v>124.5</v>
      </c>
      <c r="K73" s="20">
        <v>107.6</v>
      </c>
      <c r="L73" s="20">
        <v>125.7</v>
      </c>
      <c r="M73" s="20">
        <v>140.5</v>
      </c>
      <c r="N73" s="20">
        <v>117.6</v>
      </c>
      <c r="O73" s="20">
        <v>100.6</v>
      </c>
      <c r="P73" s="20">
        <v>119.1</v>
      </c>
      <c r="Q73" s="20">
        <v>116.8</v>
      </c>
      <c r="R73" s="20">
        <v>126.1</v>
      </c>
      <c r="S73" s="20">
        <v>123.6</v>
      </c>
      <c r="T73" s="20">
        <v>123</v>
      </c>
      <c r="U73" s="20">
        <v>122.6</v>
      </c>
      <c r="V73" s="20">
        <v>118.6</v>
      </c>
      <c r="W73" s="20">
        <v>122</v>
      </c>
      <c r="X73" s="20">
        <v>116.5</v>
      </c>
      <c r="Y73" s="20">
        <v>115.7</v>
      </c>
      <c r="Z73" s="20">
        <v>117.5</v>
      </c>
      <c r="AA73" s="20">
        <v>115.1</v>
      </c>
      <c r="AB73" s="20">
        <v>110.1</v>
      </c>
      <c r="AC73" s="20">
        <v>113.9</v>
      </c>
      <c r="AD73" s="20">
        <v>119.5</v>
      </c>
      <c r="AE73" s="20">
        <v>109.8</v>
      </c>
      <c r="AF73" s="20">
        <v>113.8</v>
      </c>
      <c r="AG73" s="20">
        <v>119.4</v>
      </c>
      <c r="AH73" s="28">
        <f t="shared" si="9"/>
        <v>2967.7999999999997</v>
      </c>
      <c r="AI73" s="28">
        <f t="shared" si="10"/>
        <v>457</v>
      </c>
      <c r="AJ73" s="28">
        <f t="shared" si="11"/>
        <v>241.2</v>
      </c>
      <c r="AK73" s="28">
        <f t="shared" si="12"/>
        <v>234</v>
      </c>
      <c r="AL73" s="28">
        <f t="shared" si="13"/>
        <v>1694.6999999999998</v>
      </c>
      <c r="AM73" s="28">
        <f t="shared" si="14"/>
        <v>114.25</v>
      </c>
      <c r="AN73" s="28">
        <f t="shared" si="15"/>
        <v>117</v>
      </c>
      <c r="AO73" s="31">
        <v>121.04999999999998</v>
      </c>
    </row>
    <row r="74" spans="1:41" x14ac:dyDescent="0.3">
      <c r="A74" s="26" t="s">
        <v>0</v>
      </c>
      <c r="B74" s="21">
        <v>2015</v>
      </c>
      <c r="C74" s="21" t="s">
        <v>1</v>
      </c>
      <c r="D74" s="21" t="str">
        <f t="shared" si="8"/>
        <v>Jan-15</v>
      </c>
      <c r="E74" s="32">
        <v>42005</v>
      </c>
      <c r="F74" s="21" t="s">
        <v>84</v>
      </c>
      <c r="G74" s="21">
        <v>123.1</v>
      </c>
      <c r="H74" s="21">
        <v>123.1</v>
      </c>
      <c r="I74" s="21">
        <v>122.1</v>
      </c>
      <c r="J74" s="21">
        <v>124.9</v>
      </c>
      <c r="K74" s="21">
        <v>111</v>
      </c>
      <c r="L74" s="21">
        <v>130.4</v>
      </c>
      <c r="M74" s="21">
        <v>132.30000000000001</v>
      </c>
      <c r="N74" s="21">
        <v>117.2</v>
      </c>
      <c r="O74" s="21">
        <v>100.5</v>
      </c>
      <c r="P74" s="21">
        <v>117.2</v>
      </c>
      <c r="Q74" s="21">
        <v>117.9</v>
      </c>
      <c r="R74" s="21">
        <v>125.6</v>
      </c>
      <c r="S74" s="21">
        <v>122.8</v>
      </c>
      <c r="T74" s="21">
        <v>122.7</v>
      </c>
      <c r="U74" s="21">
        <v>124.4</v>
      </c>
      <c r="V74" s="21">
        <v>121.6</v>
      </c>
      <c r="W74" s="21">
        <v>124</v>
      </c>
      <c r="X74" s="28">
        <f>'Handle missing value sheet only'!$C$1</f>
        <v>139.27096774193564</v>
      </c>
      <c r="Y74" s="21">
        <v>118.4</v>
      </c>
      <c r="Z74" s="21">
        <v>118.9</v>
      </c>
      <c r="AA74" s="21">
        <v>116.6</v>
      </c>
      <c r="AB74" s="21">
        <v>111</v>
      </c>
      <c r="AC74" s="21">
        <v>114</v>
      </c>
      <c r="AD74" s="21">
        <v>118.2</v>
      </c>
      <c r="AE74" s="21">
        <v>110.2</v>
      </c>
      <c r="AF74" s="21">
        <v>114.5</v>
      </c>
      <c r="AG74" s="21">
        <v>120.3</v>
      </c>
      <c r="AH74" s="28">
        <f t="shared" si="9"/>
        <v>2997.8709677419356</v>
      </c>
      <c r="AI74" s="28">
        <f t="shared" si="10"/>
        <v>456.9</v>
      </c>
      <c r="AJ74" s="28">
        <f t="shared" si="11"/>
        <v>246</v>
      </c>
      <c r="AK74" s="28">
        <f t="shared" si="12"/>
        <v>258.17096774193567</v>
      </c>
      <c r="AL74" s="28">
        <f t="shared" si="13"/>
        <v>1690.8</v>
      </c>
      <c r="AM74" s="28">
        <f t="shared" si="14"/>
        <v>114.22499999999999</v>
      </c>
      <c r="AN74" s="28">
        <f t="shared" si="15"/>
        <v>129.08548387096783</v>
      </c>
      <c r="AO74" s="29">
        <v>120.77142857142857</v>
      </c>
    </row>
    <row r="75" spans="1:41" x14ac:dyDescent="0.3">
      <c r="A75" s="27" t="s">
        <v>2</v>
      </c>
      <c r="B75" s="20">
        <v>2015</v>
      </c>
      <c r="C75" s="20" t="s">
        <v>1</v>
      </c>
      <c r="D75" s="21" t="str">
        <f t="shared" si="8"/>
        <v>Jan-15</v>
      </c>
      <c r="E75" s="33">
        <v>42005</v>
      </c>
      <c r="F75" s="20" t="s">
        <v>84</v>
      </c>
      <c r="G75" s="20">
        <v>124</v>
      </c>
      <c r="H75" s="20">
        <v>125.5</v>
      </c>
      <c r="I75" s="20">
        <v>126.6</v>
      </c>
      <c r="J75" s="20">
        <v>125.2</v>
      </c>
      <c r="K75" s="20">
        <v>104.3</v>
      </c>
      <c r="L75" s="20">
        <v>121.3</v>
      </c>
      <c r="M75" s="20">
        <v>134.4</v>
      </c>
      <c r="N75" s="20">
        <v>122.9</v>
      </c>
      <c r="O75" s="20">
        <v>96.1</v>
      </c>
      <c r="P75" s="20">
        <v>126.6</v>
      </c>
      <c r="Q75" s="20">
        <v>116.5</v>
      </c>
      <c r="R75" s="20">
        <v>128</v>
      </c>
      <c r="S75" s="20">
        <v>123.5</v>
      </c>
      <c r="T75" s="20">
        <v>127.4</v>
      </c>
      <c r="U75" s="20">
        <v>121</v>
      </c>
      <c r="V75" s="20">
        <v>116.1</v>
      </c>
      <c r="W75" s="20">
        <v>120.2</v>
      </c>
      <c r="X75" s="20">
        <v>117.3</v>
      </c>
      <c r="Y75" s="20">
        <v>113.4</v>
      </c>
      <c r="Z75" s="20">
        <v>117.2</v>
      </c>
      <c r="AA75" s="20">
        <v>113.7</v>
      </c>
      <c r="AB75" s="20">
        <v>107.9</v>
      </c>
      <c r="AC75" s="20">
        <v>114.6</v>
      </c>
      <c r="AD75" s="20">
        <v>120.8</v>
      </c>
      <c r="AE75" s="20">
        <v>111.4</v>
      </c>
      <c r="AF75" s="20">
        <v>113.4</v>
      </c>
      <c r="AG75" s="20">
        <v>118.5</v>
      </c>
      <c r="AH75" s="28">
        <f t="shared" si="9"/>
        <v>2969.1</v>
      </c>
      <c r="AI75" s="28">
        <f t="shared" si="10"/>
        <v>460.20000000000005</v>
      </c>
      <c r="AJ75" s="28">
        <f t="shared" si="11"/>
        <v>237.1</v>
      </c>
      <c r="AK75" s="28">
        <f t="shared" si="12"/>
        <v>234.5</v>
      </c>
      <c r="AL75" s="28">
        <f t="shared" si="13"/>
        <v>1702.3</v>
      </c>
      <c r="AM75" s="28">
        <f t="shared" si="14"/>
        <v>115.05000000000001</v>
      </c>
      <c r="AN75" s="28">
        <f t="shared" si="15"/>
        <v>117.25</v>
      </c>
      <c r="AO75" s="31">
        <v>121.59285714285714</v>
      </c>
    </row>
    <row r="76" spans="1:41" x14ac:dyDescent="0.3">
      <c r="A76" s="26" t="s">
        <v>3</v>
      </c>
      <c r="B76" s="21">
        <v>2015</v>
      </c>
      <c r="C76" s="21" t="s">
        <v>1</v>
      </c>
      <c r="D76" s="21" t="str">
        <f t="shared" si="8"/>
        <v>Jan-15</v>
      </c>
      <c r="E76" s="32">
        <v>42005</v>
      </c>
      <c r="F76" s="21" t="s">
        <v>84</v>
      </c>
      <c r="G76" s="21">
        <v>123.4</v>
      </c>
      <c r="H76" s="21">
        <v>123.9</v>
      </c>
      <c r="I76" s="21">
        <v>123.8</v>
      </c>
      <c r="J76" s="21">
        <v>125</v>
      </c>
      <c r="K76" s="21">
        <v>108.5</v>
      </c>
      <c r="L76" s="21">
        <v>126.2</v>
      </c>
      <c r="M76" s="21">
        <v>133</v>
      </c>
      <c r="N76" s="21">
        <v>119.1</v>
      </c>
      <c r="O76" s="21">
        <v>99</v>
      </c>
      <c r="P76" s="21">
        <v>120.3</v>
      </c>
      <c r="Q76" s="21">
        <v>117.3</v>
      </c>
      <c r="R76" s="21">
        <v>126.7</v>
      </c>
      <c r="S76" s="21">
        <v>123.1</v>
      </c>
      <c r="T76" s="21">
        <v>124</v>
      </c>
      <c r="U76" s="21">
        <v>123.1</v>
      </c>
      <c r="V76" s="21">
        <v>119.3</v>
      </c>
      <c r="W76" s="21">
        <v>122.5</v>
      </c>
      <c r="X76" s="21">
        <v>117.3</v>
      </c>
      <c r="Y76" s="21">
        <v>116.5</v>
      </c>
      <c r="Z76" s="21">
        <v>118.1</v>
      </c>
      <c r="AA76" s="21">
        <v>115.5</v>
      </c>
      <c r="AB76" s="21">
        <v>109.4</v>
      </c>
      <c r="AC76" s="21">
        <v>114.3</v>
      </c>
      <c r="AD76" s="21">
        <v>119.7</v>
      </c>
      <c r="AE76" s="21">
        <v>110.7</v>
      </c>
      <c r="AF76" s="21">
        <v>114</v>
      </c>
      <c r="AG76" s="21">
        <v>119.5</v>
      </c>
      <c r="AH76" s="28">
        <f t="shared" si="9"/>
        <v>2971.2000000000003</v>
      </c>
      <c r="AI76" s="28">
        <f t="shared" si="10"/>
        <v>458.7</v>
      </c>
      <c r="AJ76" s="28">
        <f t="shared" si="11"/>
        <v>242.39999999999998</v>
      </c>
      <c r="AK76" s="28">
        <f t="shared" si="12"/>
        <v>235.39999999999998</v>
      </c>
      <c r="AL76" s="28">
        <f t="shared" si="13"/>
        <v>1693.3</v>
      </c>
      <c r="AM76" s="28">
        <f t="shared" si="14"/>
        <v>114.675</v>
      </c>
      <c r="AN76" s="28">
        <f t="shared" si="15"/>
        <v>117.69999999999999</v>
      </c>
      <c r="AO76" s="29">
        <v>120.95</v>
      </c>
    </row>
    <row r="77" spans="1:41" x14ac:dyDescent="0.3">
      <c r="A77" s="27" t="s">
        <v>0</v>
      </c>
      <c r="B77" s="20">
        <v>2015</v>
      </c>
      <c r="C77" s="20" t="s">
        <v>4</v>
      </c>
      <c r="D77" s="21" t="str">
        <f t="shared" si="8"/>
        <v>Feb-15</v>
      </c>
      <c r="E77" s="33">
        <v>42036</v>
      </c>
      <c r="F77" s="20" t="s">
        <v>84</v>
      </c>
      <c r="G77" s="20">
        <v>123.4</v>
      </c>
      <c r="H77" s="20">
        <v>124.4</v>
      </c>
      <c r="I77" s="20">
        <v>122.1</v>
      </c>
      <c r="J77" s="20">
        <v>125.8</v>
      </c>
      <c r="K77" s="20">
        <v>111.5</v>
      </c>
      <c r="L77" s="20">
        <v>129.4</v>
      </c>
      <c r="M77" s="20">
        <v>128.19999999999999</v>
      </c>
      <c r="N77" s="20">
        <v>118.8</v>
      </c>
      <c r="O77" s="20">
        <v>100</v>
      </c>
      <c r="P77" s="20">
        <v>118.6</v>
      </c>
      <c r="Q77" s="20">
        <v>118.8</v>
      </c>
      <c r="R77" s="20">
        <v>126.8</v>
      </c>
      <c r="S77" s="20">
        <v>122.8</v>
      </c>
      <c r="T77" s="20">
        <v>124.2</v>
      </c>
      <c r="U77" s="20">
        <v>125.4</v>
      </c>
      <c r="V77" s="20">
        <v>122.7</v>
      </c>
      <c r="W77" s="20">
        <v>125</v>
      </c>
      <c r="X77" s="30">
        <f>'Handle missing value sheet only'!$C$1</f>
        <v>139.27096774193564</v>
      </c>
      <c r="Y77" s="20">
        <v>120</v>
      </c>
      <c r="Z77" s="20">
        <v>119.6</v>
      </c>
      <c r="AA77" s="20">
        <v>117.7</v>
      </c>
      <c r="AB77" s="20">
        <v>110.9</v>
      </c>
      <c r="AC77" s="20">
        <v>114.8</v>
      </c>
      <c r="AD77" s="20">
        <v>118.7</v>
      </c>
      <c r="AE77" s="20">
        <v>110.8</v>
      </c>
      <c r="AF77" s="20">
        <v>115</v>
      </c>
      <c r="AG77" s="20">
        <v>120.6</v>
      </c>
      <c r="AH77" s="28">
        <f t="shared" si="9"/>
        <v>3009.6709677419362</v>
      </c>
      <c r="AI77" s="28">
        <f t="shared" si="10"/>
        <v>459.3</v>
      </c>
      <c r="AJ77" s="28">
        <f t="shared" si="11"/>
        <v>248.10000000000002</v>
      </c>
      <c r="AK77" s="28">
        <f t="shared" si="12"/>
        <v>258.8709677419356</v>
      </c>
      <c r="AL77" s="28">
        <f t="shared" si="13"/>
        <v>1694.7999999999997</v>
      </c>
      <c r="AM77" s="28">
        <f t="shared" si="14"/>
        <v>114.825</v>
      </c>
      <c r="AN77" s="28">
        <f t="shared" si="15"/>
        <v>129.4354838709678</v>
      </c>
      <c r="AO77" s="31">
        <v>121.05714285714284</v>
      </c>
    </row>
    <row r="78" spans="1:41" x14ac:dyDescent="0.3">
      <c r="A78" s="26" t="s">
        <v>2</v>
      </c>
      <c r="B78" s="21">
        <v>2015</v>
      </c>
      <c r="C78" s="21" t="s">
        <v>4</v>
      </c>
      <c r="D78" s="21" t="str">
        <f t="shared" si="8"/>
        <v>Feb-15</v>
      </c>
      <c r="E78" s="32">
        <v>42036</v>
      </c>
      <c r="F78" s="21" t="s">
        <v>84</v>
      </c>
      <c r="G78" s="21">
        <v>124.3</v>
      </c>
      <c r="H78" s="21">
        <v>126.5</v>
      </c>
      <c r="I78" s="21">
        <v>119.5</v>
      </c>
      <c r="J78" s="21">
        <v>125.6</v>
      </c>
      <c r="K78" s="21">
        <v>104.9</v>
      </c>
      <c r="L78" s="21">
        <v>121.6</v>
      </c>
      <c r="M78" s="21">
        <v>131.80000000000001</v>
      </c>
      <c r="N78" s="21">
        <v>125.1</v>
      </c>
      <c r="O78" s="21">
        <v>95</v>
      </c>
      <c r="P78" s="21">
        <v>127.7</v>
      </c>
      <c r="Q78" s="21">
        <v>116.8</v>
      </c>
      <c r="R78" s="21">
        <v>128.6</v>
      </c>
      <c r="S78" s="21">
        <v>123.7</v>
      </c>
      <c r="T78" s="21">
        <v>128.1</v>
      </c>
      <c r="U78" s="21">
        <v>121.3</v>
      </c>
      <c r="V78" s="21">
        <v>116.5</v>
      </c>
      <c r="W78" s="21">
        <v>120.6</v>
      </c>
      <c r="X78" s="21">
        <v>118.1</v>
      </c>
      <c r="Y78" s="21">
        <v>114</v>
      </c>
      <c r="Z78" s="21">
        <v>117.7</v>
      </c>
      <c r="AA78" s="21">
        <v>114.1</v>
      </c>
      <c r="AB78" s="21">
        <v>106.8</v>
      </c>
      <c r="AC78" s="21">
        <v>114.9</v>
      </c>
      <c r="AD78" s="21">
        <v>120.4</v>
      </c>
      <c r="AE78" s="21">
        <v>111.7</v>
      </c>
      <c r="AF78" s="21">
        <v>113.2</v>
      </c>
      <c r="AG78" s="21">
        <v>118.7</v>
      </c>
      <c r="AH78" s="28">
        <f t="shared" si="9"/>
        <v>2967.8999999999996</v>
      </c>
      <c r="AI78" s="28">
        <f t="shared" si="10"/>
        <v>460.20000000000005</v>
      </c>
      <c r="AJ78" s="28">
        <f t="shared" si="11"/>
        <v>237.8</v>
      </c>
      <c r="AK78" s="28">
        <f t="shared" si="12"/>
        <v>235.8</v>
      </c>
      <c r="AL78" s="28">
        <f t="shared" si="13"/>
        <v>1699.2</v>
      </c>
      <c r="AM78" s="28">
        <f t="shared" si="14"/>
        <v>115.05000000000001</v>
      </c>
      <c r="AN78" s="28">
        <f t="shared" si="15"/>
        <v>117.9</v>
      </c>
      <c r="AO78" s="29">
        <v>121.37142857142858</v>
      </c>
    </row>
    <row r="79" spans="1:41" x14ac:dyDescent="0.3">
      <c r="A79" s="27" t="s">
        <v>3</v>
      </c>
      <c r="B79" s="20">
        <v>2015</v>
      </c>
      <c r="C79" s="20" t="s">
        <v>4</v>
      </c>
      <c r="D79" s="21" t="str">
        <f t="shared" si="8"/>
        <v>Feb-15</v>
      </c>
      <c r="E79" s="33">
        <v>42036</v>
      </c>
      <c r="F79" s="20" t="s">
        <v>84</v>
      </c>
      <c r="G79" s="20">
        <v>123.7</v>
      </c>
      <c r="H79" s="20">
        <v>125.1</v>
      </c>
      <c r="I79" s="20">
        <v>121.1</v>
      </c>
      <c r="J79" s="20">
        <v>125.7</v>
      </c>
      <c r="K79" s="20">
        <v>109.1</v>
      </c>
      <c r="L79" s="20">
        <v>125.8</v>
      </c>
      <c r="M79" s="20">
        <v>129.4</v>
      </c>
      <c r="N79" s="20">
        <v>120.9</v>
      </c>
      <c r="O79" s="20">
        <v>98.3</v>
      </c>
      <c r="P79" s="20">
        <v>121.6</v>
      </c>
      <c r="Q79" s="20">
        <v>118</v>
      </c>
      <c r="R79" s="20">
        <v>127.6</v>
      </c>
      <c r="S79" s="20">
        <v>123.1</v>
      </c>
      <c r="T79" s="20">
        <v>125.2</v>
      </c>
      <c r="U79" s="20">
        <v>123.8</v>
      </c>
      <c r="V79" s="20">
        <v>120.1</v>
      </c>
      <c r="W79" s="20">
        <v>123.3</v>
      </c>
      <c r="X79" s="20">
        <v>118.1</v>
      </c>
      <c r="Y79" s="20">
        <v>117.7</v>
      </c>
      <c r="Z79" s="20">
        <v>118.7</v>
      </c>
      <c r="AA79" s="20">
        <v>116.3</v>
      </c>
      <c r="AB79" s="20">
        <v>108.7</v>
      </c>
      <c r="AC79" s="20">
        <v>114.9</v>
      </c>
      <c r="AD79" s="20">
        <v>119.7</v>
      </c>
      <c r="AE79" s="20">
        <v>111.2</v>
      </c>
      <c r="AF79" s="20">
        <v>114.1</v>
      </c>
      <c r="AG79" s="20">
        <v>119.7</v>
      </c>
      <c r="AH79" s="28">
        <f t="shared" si="9"/>
        <v>2977.8999999999996</v>
      </c>
      <c r="AI79" s="28">
        <f t="shared" si="10"/>
        <v>459.9</v>
      </c>
      <c r="AJ79" s="28">
        <f t="shared" si="11"/>
        <v>243.89999999999998</v>
      </c>
      <c r="AK79" s="28">
        <f t="shared" si="12"/>
        <v>236.8</v>
      </c>
      <c r="AL79" s="28">
        <f t="shared" si="13"/>
        <v>1694.5999999999997</v>
      </c>
      <c r="AM79" s="28">
        <f t="shared" si="14"/>
        <v>114.97499999999999</v>
      </c>
      <c r="AN79" s="28">
        <f t="shared" si="15"/>
        <v>118.4</v>
      </c>
      <c r="AO79" s="31">
        <v>121.04285714285712</v>
      </c>
    </row>
    <row r="80" spans="1:41" x14ac:dyDescent="0.3">
      <c r="A80" s="26" t="s">
        <v>0</v>
      </c>
      <c r="B80" s="21">
        <v>2015</v>
      </c>
      <c r="C80" s="21" t="s">
        <v>5</v>
      </c>
      <c r="D80" s="21" t="str">
        <f t="shared" si="8"/>
        <v>Mar-15</v>
      </c>
      <c r="E80" s="32">
        <v>42064</v>
      </c>
      <c r="F80" s="21" t="s">
        <v>84</v>
      </c>
      <c r="G80" s="21">
        <v>123.3</v>
      </c>
      <c r="H80" s="21">
        <v>124.7</v>
      </c>
      <c r="I80" s="21">
        <v>118.9</v>
      </c>
      <c r="J80" s="21">
        <v>126</v>
      </c>
      <c r="K80" s="21">
        <v>111.8</v>
      </c>
      <c r="L80" s="21">
        <v>130.9</v>
      </c>
      <c r="M80" s="21">
        <v>128</v>
      </c>
      <c r="N80" s="21">
        <v>119.9</v>
      </c>
      <c r="O80" s="21">
        <v>98.9</v>
      </c>
      <c r="P80" s="21">
        <v>119.4</v>
      </c>
      <c r="Q80" s="21">
        <v>118.9</v>
      </c>
      <c r="R80" s="21">
        <v>127.7</v>
      </c>
      <c r="S80" s="21">
        <v>123.1</v>
      </c>
      <c r="T80" s="21">
        <v>124.7</v>
      </c>
      <c r="U80" s="21">
        <v>126</v>
      </c>
      <c r="V80" s="21">
        <v>122.9</v>
      </c>
      <c r="W80" s="21">
        <v>125.5</v>
      </c>
      <c r="X80" s="28">
        <f>'Handle missing value sheet only'!$C$1</f>
        <v>139.27096774193564</v>
      </c>
      <c r="Y80" s="21">
        <v>120.6</v>
      </c>
      <c r="Z80" s="21">
        <v>120.2</v>
      </c>
      <c r="AA80" s="21">
        <v>118.2</v>
      </c>
      <c r="AB80" s="21">
        <v>111.6</v>
      </c>
      <c r="AC80" s="21">
        <v>115.5</v>
      </c>
      <c r="AD80" s="21">
        <v>119.4</v>
      </c>
      <c r="AE80" s="21">
        <v>110.8</v>
      </c>
      <c r="AF80" s="21">
        <v>115.5</v>
      </c>
      <c r="AG80" s="21">
        <v>121.1</v>
      </c>
      <c r="AH80" s="28">
        <f t="shared" si="9"/>
        <v>3016.1709677419353</v>
      </c>
      <c r="AI80" s="28">
        <f t="shared" si="10"/>
        <v>461.20000000000005</v>
      </c>
      <c r="AJ80" s="28">
        <f t="shared" si="11"/>
        <v>248.9</v>
      </c>
      <c r="AK80" s="28">
        <f t="shared" si="12"/>
        <v>259.47096774193562</v>
      </c>
      <c r="AL80" s="28">
        <f t="shared" si="13"/>
        <v>1696.2</v>
      </c>
      <c r="AM80" s="28">
        <f t="shared" si="14"/>
        <v>115.30000000000001</v>
      </c>
      <c r="AN80" s="28">
        <f t="shared" si="15"/>
        <v>129.73548387096781</v>
      </c>
      <c r="AO80" s="29">
        <v>121.15714285714286</v>
      </c>
    </row>
    <row r="81" spans="1:41" x14ac:dyDescent="0.3">
      <c r="A81" s="27" t="s">
        <v>2</v>
      </c>
      <c r="B81" s="20">
        <v>2015</v>
      </c>
      <c r="C81" s="20" t="s">
        <v>5</v>
      </c>
      <c r="D81" s="21" t="str">
        <f t="shared" si="8"/>
        <v>Mar-15</v>
      </c>
      <c r="E81" s="33">
        <v>42064</v>
      </c>
      <c r="F81" s="20" t="s">
        <v>84</v>
      </c>
      <c r="G81" s="20">
        <v>124</v>
      </c>
      <c r="H81" s="20">
        <v>126.7</v>
      </c>
      <c r="I81" s="20">
        <v>113.5</v>
      </c>
      <c r="J81" s="20">
        <v>125.9</v>
      </c>
      <c r="K81" s="20">
        <v>104.8</v>
      </c>
      <c r="L81" s="20">
        <v>123.8</v>
      </c>
      <c r="M81" s="20">
        <v>131.4</v>
      </c>
      <c r="N81" s="20">
        <v>127.2</v>
      </c>
      <c r="O81" s="20">
        <v>93.2</v>
      </c>
      <c r="P81" s="20">
        <v>127.4</v>
      </c>
      <c r="Q81" s="20">
        <v>117</v>
      </c>
      <c r="R81" s="20">
        <v>129.19999999999999</v>
      </c>
      <c r="S81" s="20">
        <v>123.9</v>
      </c>
      <c r="T81" s="20">
        <v>128.80000000000001</v>
      </c>
      <c r="U81" s="20">
        <v>121.7</v>
      </c>
      <c r="V81" s="20">
        <v>116.9</v>
      </c>
      <c r="W81" s="20">
        <v>120.9</v>
      </c>
      <c r="X81" s="20">
        <v>118.6</v>
      </c>
      <c r="Y81" s="20">
        <v>114.4</v>
      </c>
      <c r="Z81" s="20">
        <v>118</v>
      </c>
      <c r="AA81" s="20">
        <v>114.3</v>
      </c>
      <c r="AB81" s="20">
        <v>108.4</v>
      </c>
      <c r="AC81" s="20">
        <v>115.4</v>
      </c>
      <c r="AD81" s="20">
        <v>120.6</v>
      </c>
      <c r="AE81" s="20">
        <v>111.3</v>
      </c>
      <c r="AF81" s="20">
        <v>113.8</v>
      </c>
      <c r="AG81" s="20">
        <v>119.1</v>
      </c>
      <c r="AH81" s="28">
        <f t="shared" si="9"/>
        <v>2970.2000000000003</v>
      </c>
      <c r="AI81" s="28">
        <f t="shared" si="10"/>
        <v>461.1</v>
      </c>
      <c r="AJ81" s="28">
        <f t="shared" si="11"/>
        <v>238.60000000000002</v>
      </c>
      <c r="AK81" s="28">
        <f t="shared" si="12"/>
        <v>236.6</v>
      </c>
      <c r="AL81" s="28">
        <f t="shared" si="13"/>
        <v>1696.8000000000002</v>
      </c>
      <c r="AM81" s="28">
        <f t="shared" si="14"/>
        <v>115.27500000000001</v>
      </c>
      <c r="AN81" s="28">
        <f t="shared" si="15"/>
        <v>118.3</v>
      </c>
      <c r="AO81" s="31">
        <v>121.20000000000002</v>
      </c>
    </row>
    <row r="82" spans="1:41" x14ac:dyDescent="0.3">
      <c r="A82" s="26" t="s">
        <v>3</v>
      </c>
      <c r="B82" s="21">
        <v>2015</v>
      </c>
      <c r="C82" s="21" t="s">
        <v>5</v>
      </c>
      <c r="D82" s="21" t="str">
        <f t="shared" si="8"/>
        <v>Mar-15</v>
      </c>
      <c r="E82" s="32">
        <v>42064</v>
      </c>
      <c r="F82" s="21" t="s">
        <v>84</v>
      </c>
      <c r="G82" s="21">
        <v>123.5</v>
      </c>
      <c r="H82" s="21">
        <v>125.4</v>
      </c>
      <c r="I82" s="21">
        <v>116.8</v>
      </c>
      <c r="J82" s="21">
        <v>126</v>
      </c>
      <c r="K82" s="21">
        <v>109.2</v>
      </c>
      <c r="L82" s="21">
        <v>127.6</v>
      </c>
      <c r="M82" s="21">
        <v>129.19999999999999</v>
      </c>
      <c r="N82" s="21">
        <v>122.4</v>
      </c>
      <c r="O82" s="21">
        <v>97</v>
      </c>
      <c r="P82" s="21">
        <v>122.1</v>
      </c>
      <c r="Q82" s="21">
        <v>118.1</v>
      </c>
      <c r="R82" s="21">
        <v>128.4</v>
      </c>
      <c r="S82" s="21">
        <v>123.4</v>
      </c>
      <c r="T82" s="21">
        <v>125.8</v>
      </c>
      <c r="U82" s="21">
        <v>124.3</v>
      </c>
      <c r="V82" s="21">
        <v>120.4</v>
      </c>
      <c r="W82" s="21">
        <v>123.7</v>
      </c>
      <c r="X82" s="21">
        <v>118.6</v>
      </c>
      <c r="Y82" s="21">
        <v>118.3</v>
      </c>
      <c r="Z82" s="21">
        <v>119.2</v>
      </c>
      <c r="AA82" s="21">
        <v>116.7</v>
      </c>
      <c r="AB82" s="21">
        <v>109.9</v>
      </c>
      <c r="AC82" s="21">
        <v>115.4</v>
      </c>
      <c r="AD82" s="21">
        <v>120.1</v>
      </c>
      <c r="AE82" s="21">
        <v>111</v>
      </c>
      <c r="AF82" s="21">
        <v>114.7</v>
      </c>
      <c r="AG82" s="21">
        <v>120.2</v>
      </c>
      <c r="AH82" s="28">
        <f t="shared" si="9"/>
        <v>2983.5000000000005</v>
      </c>
      <c r="AI82" s="28">
        <f t="shared" si="10"/>
        <v>461.19999999999993</v>
      </c>
      <c r="AJ82" s="28">
        <f t="shared" si="11"/>
        <v>244.7</v>
      </c>
      <c r="AK82" s="28">
        <f t="shared" si="12"/>
        <v>237.8</v>
      </c>
      <c r="AL82" s="28">
        <f t="shared" si="13"/>
        <v>1694.8999999999999</v>
      </c>
      <c r="AM82" s="28">
        <f t="shared" si="14"/>
        <v>115.29999999999998</v>
      </c>
      <c r="AN82" s="28">
        <f t="shared" si="15"/>
        <v>118.9</v>
      </c>
      <c r="AO82" s="29">
        <v>121.0642857142857</v>
      </c>
    </row>
    <row r="83" spans="1:41" x14ac:dyDescent="0.3">
      <c r="A83" s="27" t="s">
        <v>0</v>
      </c>
      <c r="B83" s="20">
        <v>2015</v>
      </c>
      <c r="C83" s="20" t="s">
        <v>6</v>
      </c>
      <c r="D83" s="21" t="str">
        <f t="shared" si="8"/>
        <v>Apr-15</v>
      </c>
      <c r="E83" s="33">
        <v>42095</v>
      </c>
      <c r="F83" s="20" t="s">
        <v>84</v>
      </c>
      <c r="G83" s="20">
        <v>123.3</v>
      </c>
      <c r="H83" s="20">
        <v>125.5</v>
      </c>
      <c r="I83" s="20">
        <v>117.2</v>
      </c>
      <c r="J83" s="20">
        <v>126.8</v>
      </c>
      <c r="K83" s="20">
        <v>111.9</v>
      </c>
      <c r="L83" s="20">
        <v>134.19999999999999</v>
      </c>
      <c r="M83" s="20">
        <v>127.5</v>
      </c>
      <c r="N83" s="20">
        <v>121.5</v>
      </c>
      <c r="O83" s="20">
        <v>97.8</v>
      </c>
      <c r="P83" s="20">
        <v>119.8</v>
      </c>
      <c r="Q83" s="20">
        <v>119.4</v>
      </c>
      <c r="R83" s="20">
        <v>128.69999999999999</v>
      </c>
      <c r="S83" s="20">
        <v>123.6</v>
      </c>
      <c r="T83" s="20">
        <v>125.7</v>
      </c>
      <c r="U83" s="20">
        <v>126.4</v>
      </c>
      <c r="V83" s="20">
        <v>123.3</v>
      </c>
      <c r="W83" s="20">
        <v>126</v>
      </c>
      <c r="X83" s="30">
        <f>'Handle missing value sheet only'!$C$1</f>
        <v>139.27096774193564</v>
      </c>
      <c r="Y83" s="20">
        <v>121.2</v>
      </c>
      <c r="Z83" s="20">
        <v>120.9</v>
      </c>
      <c r="AA83" s="20">
        <v>118.6</v>
      </c>
      <c r="AB83" s="20">
        <v>111.9</v>
      </c>
      <c r="AC83" s="20">
        <v>116.2</v>
      </c>
      <c r="AD83" s="20">
        <v>119.9</v>
      </c>
      <c r="AE83" s="20">
        <v>111.6</v>
      </c>
      <c r="AF83" s="20">
        <v>116</v>
      </c>
      <c r="AG83" s="20">
        <v>121.5</v>
      </c>
      <c r="AH83" s="28">
        <f t="shared" si="9"/>
        <v>3028.1709677419362</v>
      </c>
      <c r="AI83" s="28">
        <f t="shared" si="10"/>
        <v>463.7</v>
      </c>
      <c r="AJ83" s="28">
        <f t="shared" si="11"/>
        <v>249.7</v>
      </c>
      <c r="AK83" s="28">
        <f t="shared" si="12"/>
        <v>260.17096774193567</v>
      </c>
      <c r="AL83" s="28">
        <f t="shared" si="13"/>
        <v>1702.9</v>
      </c>
      <c r="AM83" s="28">
        <f t="shared" si="14"/>
        <v>115.925</v>
      </c>
      <c r="AN83" s="28">
        <f t="shared" si="15"/>
        <v>130.08548387096783</v>
      </c>
      <c r="AO83" s="31">
        <v>121.63571428571429</v>
      </c>
    </row>
    <row r="84" spans="1:41" x14ac:dyDescent="0.3">
      <c r="A84" s="26" t="s">
        <v>2</v>
      </c>
      <c r="B84" s="21">
        <v>2015</v>
      </c>
      <c r="C84" s="21" t="s">
        <v>6</v>
      </c>
      <c r="D84" s="21" t="str">
        <f t="shared" si="8"/>
        <v>Apr-15</v>
      </c>
      <c r="E84" s="32">
        <v>42095</v>
      </c>
      <c r="F84" s="21" t="s">
        <v>84</v>
      </c>
      <c r="G84" s="21">
        <v>123.8</v>
      </c>
      <c r="H84" s="21">
        <v>128.19999999999999</v>
      </c>
      <c r="I84" s="21">
        <v>110</v>
      </c>
      <c r="J84" s="21">
        <v>126.3</v>
      </c>
      <c r="K84" s="21">
        <v>104.5</v>
      </c>
      <c r="L84" s="21">
        <v>130.6</v>
      </c>
      <c r="M84" s="21">
        <v>130.80000000000001</v>
      </c>
      <c r="N84" s="21">
        <v>131.30000000000001</v>
      </c>
      <c r="O84" s="21">
        <v>91.6</v>
      </c>
      <c r="P84" s="21">
        <v>127.7</v>
      </c>
      <c r="Q84" s="21">
        <v>117.2</v>
      </c>
      <c r="R84" s="21">
        <v>129.5</v>
      </c>
      <c r="S84" s="21">
        <v>124.6</v>
      </c>
      <c r="T84" s="21">
        <v>130.1</v>
      </c>
      <c r="U84" s="21">
        <v>122.1</v>
      </c>
      <c r="V84" s="21">
        <v>117.2</v>
      </c>
      <c r="W84" s="21">
        <v>121.3</v>
      </c>
      <c r="X84" s="21">
        <v>119.2</v>
      </c>
      <c r="Y84" s="21">
        <v>114.7</v>
      </c>
      <c r="Z84" s="21">
        <v>118.4</v>
      </c>
      <c r="AA84" s="21">
        <v>114.6</v>
      </c>
      <c r="AB84" s="21">
        <v>108.4</v>
      </c>
      <c r="AC84" s="21">
        <v>115.6</v>
      </c>
      <c r="AD84" s="21">
        <v>121.7</v>
      </c>
      <c r="AE84" s="21">
        <v>111.8</v>
      </c>
      <c r="AF84" s="21">
        <v>114.2</v>
      </c>
      <c r="AG84" s="21">
        <v>119.7</v>
      </c>
      <c r="AH84" s="28">
        <f t="shared" si="9"/>
        <v>2984.099999999999</v>
      </c>
      <c r="AI84" s="28">
        <f t="shared" si="10"/>
        <v>463.29999999999995</v>
      </c>
      <c r="AJ84" s="28">
        <f t="shared" si="11"/>
        <v>239.3</v>
      </c>
      <c r="AK84" s="28">
        <f t="shared" si="12"/>
        <v>237.60000000000002</v>
      </c>
      <c r="AL84" s="28">
        <f t="shared" si="13"/>
        <v>1706.1999999999998</v>
      </c>
      <c r="AM84" s="28">
        <f t="shared" si="14"/>
        <v>115.82499999999999</v>
      </c>
      <c r="AN84" s="28">
        <f t="shared" si="15"/>
        <v>118.80000000000001</v>
      </c>
      <c r="AO84" s="29">
        <v>121.87142857142855</v>
      </c>
    </row>
    <row r="85" spans="1:41" x14ac:dyDescent="0.3">
      <c r="A85" s="27" t="s">
        <v>3</v>
      </c>
      <c r="B85" s="20">
        <v>2015</v>
      </c>
      <c r="C85" s="20" t="s">
        <v>6</v>
      </c>
      <c r="D85" s="21" t="str">
        <f t="shared" si="8"/>
        <v>Apr-15</v>
      </c>
      <c r="E85" s="33">
        <v>42095</v>
      </c>
      <c r="F85" s="20" t="s">
        <v>84</v>
      </c>
      <c r="G85" s="20">
        <v>123.5</v>
      </c>
      <c r="H85" s="20">
        <v>126.4</v>
      </c>
      <c r="I85" s="20">
        <v>114.4</v>
      </c>
      <c r="J85" s="20">
        <v>126.6</v>
      </c>
      <c r="K85" s="20">
        <v>109.2</v>
      </c>
      <c r="L85" s="20">
        <v>132.5</v>
      </c>
      <c r="M85" s="20">
        <v>128.6</v>
      </c>
      <c r="N85" s="20">
        <v>124.8</v>
      </c>
      <c r="O85" s="20">
        <v>95.7</v>
      </c>
      <c r="P85" s="20">
        <v>122.4</v>
      </c>
      <c r="Q85" s="20">
        <v>118.5</v>
      </c>
      <c r="R85" s="20">
        <v>129.1</v>
      </c>
      <c r="S85" s="20">
        <v>124</v>
      </c>
      <c r="T85" s="20">
        <v>126.9</v>
      </c>
      <c r="U85" s="20">
        <v>124.7</v>
      </c>
      <c r="V85" s="20">
        <v>120.8</v>
      </c>
      <c r="W85" s="20">
        <v>124.1</v>
      </c>
      <c r="X85" s="20">
        <v>119.2</v>
      </c>
      <c r="Y85" s="20">
        <v>118.7</v>
      </c>
      <c r="Z85" s="20">
        <v>119.7</v>
      </c>
      <c r="AA85" s="20">
        <v>117.1</v>
      </c>
      <c r="AB85" s="20">
        <v>110.1</v>
      </c>
      <c r="AC85" s="20">
        <v>115.9</v>
      </c>
      <c r="AD85" s="20">
        <v>121</v>
      </c>
      <c r="AE85" s="20">
        <v>111.7</v>
      </c>
      <c r="AF85" s="20">
        <v>115.1</v>
      </c>
      <c r="AG85" s="20">
        <v>120.7</v>
      </c>
      <c r="AH85" s="28">
        <f t="shared" si="9"/>
        <v>2996.6</v>
      </c>
      <c r="AI85" s="28">
        <f t="shared" si="10"/>
        <v>463.70000000000005</v>
      </c>
      <c r="AJ85" s="28">
        <f t="shared" si="11"/>
        <v>245.5</v>
      </c>
      <c r="AK85" s="28">
        <f t="shared" si="12"/>
        <v>238.9</v>
      </c>
      <c r="AL85" s="28">
        <f t="shared" si="13"/>
        <v>1702.6000000000001</v>
      </c>
      <c r="AM85" s="28">
        <f t="shared" si="14"/>
        <v>115.92500000000001</v>
      </c>
      <c r="AN85" s="28">
        <f t="shared" si="15"/>
        <v>119.45</v>
      </c>
      <c r="AO85" s="31">
        <v>121.61428571428573</v>
      </c>
    </row>
    <row r="86" spans="1:41" x14ac:dyDescent="0.3">
      <c r="A86" s="26" t="s">
        <v>0</v>
      </c>
      <c r="B86" s="21">
        <v>2015</v>
      </c>
      <c r="C86" s="21" t="s">
        <v>7</v>
      </c>
      <c r="D86" s="21" t="str">
        <f t="shared" si="8"/>
        <v>May-15</v>
      </c>
      <c r="E86" s="32">
        <v>42125</v>
      </c>
      <c r="F86" s="21" t="s">
        <v>84</v>
      </c>
      <c r="G86" s="21">
        <v>123.5</v>
      </c>
      <c r="H86" s="21">
        <v>127.1</v>
      </c>
      <c r="I86" s="21">
        <v>117.3</v>
      </c>
      <c r="J86" s="21">
        <v>127.7</v>
      </c>
      <c r="K86" s="21">
        <v>112.5</v>
      </c>
      <c r="L86" s="21">
        <v>134.1</v>
      </c>
      <c r="M86" s="21">
        <v>128.5</v>
      </c>
      <c r="N86" s="21">
        <v>124.3</v>
      </c>
      <c r="O86" s="21">
        <v>97.6</v>
      </c>
      <c r="P86" s="21">
        <v>120.7</v>
      </c>
      <c r="Q86" s="21">
        <v>120.2</v>
      </c>
      <c r="R86" s="21">
        <v>129.80000000000001</v>
      </c>
      <c r="S86" s="21">
        <v>124.4</v>
      </c>
      <c r="T86" s="21">
        <v>126.7</v>
      </c>
      <c r="U86" s="21">
        <v>127.3</v>
      </c>
      <c r="V86" s="21">
        <v>124.1</v>
      </c>
      <c r="W86" s="21">
        <v>126.8</v>
      </c>
      <c r="X86" s="28">
        <f>'Handle missing value sheet only'!$C$1</f>
        <v>139.27096774193564</v>
      </c>
      <c r="Y86" s="21">
        <v>121.9</v>
      </c>
      <c r="Z86" s="21">
        <v>121.5</v>
      </c>
      <c r="AA86" s="21">
        <v>119.4</v>
      </c>
      <c r="AB86" s="21">
        <v>113.3</v>
      </c>
      <c r="AC86" s="21">
        <v>116.7</v>
      </c>
      <c r="AD86" s="21">
        <v>120.5</v>
      </c>
      <c r="AE86" s="21">
        <v>112.3</v>
      </c>
      <c r="AF86" s="21">
        <v>116.9</v>
      </c>
      <c r="AG86" s="21">
        <v>122.4</v>
      </c>
      <c r="AH86" s="28">
        <f t="shared" si="9"/>
        <v>3047.5709677419354</v>
      </c>
      <c r="AI86" s="28">
        <f t="shared" si="10"/>
        <v>466.4</v>
      </c>
      <c r="AJ86" s="28">
        <f t="shared" si="11"/>
        <v>251.39999999999998</v>
      </c>
      <c r="AK86" s="28">
        <f t="shared" si="12"/>
        <v>260.77096774193564</v>
      </c>
      <c r="AL86" s="28">
        <f t="shared" si="13"/>
        <v>1714.4</v>
      </c>
      <c r="AM86" s="28">
        <f t="shared" si="14"/>
        <v>116.6</v>
      </c>
      <c r="AN86" s="28">
        <f t="shared" si="15"/>
        <v>130.38548387096782</v>
      </c>
      <c r="AO86" s="29">
        <v>122.45714285714287</v>
      </c>
    </row>
    <row r="87" spans="1:41" x14ac:dyDescent="0.3">
      <c r="A87" s="27" t="s">
        <v>2</v>
      </c>
      <c r="B87" s="20">
        <v>2015</v>
      </c>
      <c r="C87" s="20" t="s">
        <v>7</v>
      </c>
      <c r="D87" s="21" t="str">
        <f t="shared" si="8"/>
        <v>May-15</v>
      </c>
      <c r="E87" s="33">
        <v>42125</v>
      </c>
      <c r="F87" s="20" t="s">
        <v>84</v>
      </c>
      <c r="G87" s="20">
        <v>123.8</v>
      </c>
      <c r="H87" s="20">
        <v>129.69999999999999</v>
      </c>
      <c r="I87" s="20">
        <v>111.3</v>
      </c>
      <c r="J87" s="20">
        <v>126.6</v>
      </c>
      <c r="K87" s="20">
        <v>105.2</v>
      </c>
      <c r="L87" s="20">
        <v>130.80000000000001</v>
      </c>
      <c r="M87" s="20">
        <v>135.6</v>
      </c>
      <c r="N87" s="20">
        <v>142.6</v>
      </c>
      <c r="O87" s="20">
        <v>90.8</v>
      </c>
      <c r="P87" s="20">
        <v>128.80000000000001</v>
      </c>
      <c r="Q87" s="20">
        <v>117.7</v>
      </c>
      <c r="R87" s="20">
        <v>129.9</v>
      </c>
      <c r="S87" s="20">
        <v>126.1</v>
      </c>
      <c r="T87" s="20">
        <v>131.30000000000001</v>
      </c>
      <c r="U87" s="20">
        <v>122.4</v>
      </c>
      <c r="V87" s="20">
        <v>117.4</v>
      </c>
      <c r="W87" s="20">
        <v>121.6</v>
      </c>
      <c r="X87" s="20">
        <v>119.6</v>
      </c>
      <c r="Y87" s="20">
        <v>114.9</v>
      </c>
      <c r="Z87" s="20">
        <v>118.7</v>
      </c>
      <c r="AA87" s="20">
        <v>114.9</v>
      </c>
      <c r="AB87" s="20">
        <v>110.8</v>
      </c>
      <c r="AC87" s="20">
        <v>116</v>
      </c>
      <c r="AD87" s="20">
        <v>122</v>
      </c>
      <c r="AE87" s="20">
        <v>112.4</v>
      </c>
      <c r="AF87" s="20">
        <v>115.2</v>
      </c>
      <c r="AG87" s="20">
        <v>120.7</v>
      </c>
      <c r="AH87" s="28">
        <f t="shared" si="9"/>
        <v>3014.5000000000005</v>
      </c>
      <c r="AI87" s="28">
        <f t="shared" si="10"/>
        <v>465.6</v>
      </c>
      <c r="AJ87" s="28">
        <f t="shared" si="11"/>
        <v>239.8</v>
      </c>
      <c r="AK87" s="28">
        <f t="shared" si="12"/>
        <v>238.3</v>
      </c>
      <c r="AL87" s="28">
        <f t="shared" si="13"/>
        <v>1730.2</v>
      </c>
      <c r="AM87" s="28">
        <f t="shared" si="14"/>
        <v>116.4</v>
      </c>
      <c r="AN87" s="28">
        <f t="shared" si="15"/>
        <v>119.15</v>
      </c>
      <c r="AO87" s="31">
        <v>123.58571428571429</v>
      </c>
    </row>
    <row r="88" spans="1:41" x14ac:dyDescent="0.3">
      <c r="A88" s="26" t="s">
        <v>3</v>
      </c>
      <c r="B88" s="21">
        <v>2015</v>
      </c>
      <c r="C88" s="21" t="s">
        <v>7</v>
      </c>
      <c r="D88" s="21" t="str">
        <f t="shared" si="8"/>
        <v>May-15</v>
      </c>
      <c r="E88" s="32">
        <v>42125</v>
      </c>
      <c r="F88" s="21" t="s">
        <v>84</v>
      </c>
      <c r="G88" s="21">
        <v>123.6</v>
      </c>
      <c r="H88" s="21">
        <v>128</v>
      </c>
      <c r="I88" s="21">
        <v>115</v>
      </c>
      <c r="J88" s="21">
        <v>127.3</v>
      </c>
      <c r="K88" s="21">
        <v>109.8</v>
      </c>
      <c r="L88" s="21">
        <v>132.6</v>
      </c>
      <c r="M88" s="21">
        <v>130.9</v>
      </c>
      <c r="N88" s="21">
        <v>130.5</v>
      </c>
      <c r="O88" s="21">
        <v>95.3</v>
      </c>
      <c r="P88" s="21">
        <v>123.4</v>
      </c>
      <c r="Q88" s="21">
        <v>119.2</v>
      </c>
      <c r="R88" s="21">
        <v>129.80000000000001</v>
      </c>
      <c r="S88" s="21">
        <v>125</v>
      </c>
      <c r="T88" s="21">
        <v>127.9</v>
      </c>
      <c r="U88" s="21">
        <v>125.4</v>
      </c>
      <c r="V88" s="21">
        <v>121.3</v>
      </c>
      <c r="W88" s="21">
        <v>124.7</v>
      </c>
      <c r="X88" s="21">
        <v>119.6</v>
      </c>
      <c r="Y88" s="21">
        <v>119.2</v>
      </c>
      <c r="Z88" s="21">
        <v>120.2</v>
      </c>
      <c r="AA88" s="21">
        <v>117.7</v>
      </c>
      <c r="AB88" s="21">
        <v>112</v>
      </c>
      <c r="AC88" s="21">
        <v>116.3</v>
      </c>
      <c r="AD88" s="21">
        <v>121.4</v>
      </c>
      <c r="AE88" s="21">
        <v>112.3</v>
      </c>
      <c r="AF88" s="21">
        <v>116.1</v>
      </c>
      <c r="AG88" s="21">
        <v>121.6</v>
      </c>
      <c r="AH88" s="28">
        <f t="shared" si="9"/>
        <v>3019.8000000000006</v>
      </c>
      <c r="AI88" s="28">
        <f t="shared" si="10"/>
        <v>466.09999999999997</v>
      </c>
      <c r="AJ88" s="28">
        <f t="shared" si="11"/>
        <v>246.7</v>
      </c>
      <c r="AK88" s="28">
        <f t="shared" si="12"/>
        <v>239.8</v>
      </c>
      <c r="AL88" s="28">
        <f t="shared" si="13"/>
        <v>1718.3000000000002</v>
      </c>
      <c r="AM88" s="28">
        <f t="shared" si="14"/>
        <v>116.52499999999999</v>
      </c>
      <c r="AN88" s="28">
        <f t="shared" si="15"/>
        <v>119.9</v>
      </c>
      <c r="AO88" s="29">
        <v>122.73571428571429</v>
      </c>
    </row>
    <row r="89" spans="1:41" x14ac:dyDescent="0.3">
      <c r="A89" s="27" t="s">
        <v>0</v>
      </c>
      <c r="B89" s="20">
        <v>2015</v>
      </c>
      <c r="C89" s="20" t="s">
        <v>8</v>
      </c>
      <c r="D89" s="21" t="str">
        <f t="shared" si="8"/>
        <v>Jun-15</v>
      </c>
      <c r="E89" s="33">
        <v>42156</v>
      </c>
      <c r="F89" s="20" t="s">
        <v>84</v>
      </c>
      <c r="G89" s="20">
        <v>124.1</v>
      </c>
      <c r="H89" s="20">
        <v>130.4</v>
      </c>
      <c r="I89" s="20">
        <v>122.1</v>
      </c>
      <c r="J89" s="20">
        <v>128.69999999999999</v>
      </c>
      <c r="K89" s="20">
        <v>114.1</v>
      </c>
      <c r="L89" s="20">
        <v>133.19999999999999</v>
      </c>
      <c r="M89" s="20">
        <v>135.19999999999999</v>
      </c>
      <c r="N89" s="20">
        <v>131.9</v>
      </c>
      <c r="O89" s="20">
        <v>96.3</v>
      </c>
      <c r="P89" s="20">
        <v>123</v>
      </c>
      <c r="Q89" s="20">
        <v>121.1</v>
      </c>
      <c r="R89" s="20">
        <v>131.19999999999999</v>
      </c>
      <c r="S89" s="20">
        <v>126.6</v>
      </c>
      <c r="T89" s="20">
        <v>128.19999999999999</v>
      </c>
      <c r="U89" s="20">
        <v>128.4</v>
      </c>
      <c r="V89" s="20">
        <v>125.1</v>
      </c>
      <c r="W89" s="20">
        <v>128</v>
      </c>
      <c r="X89" s="30">
        <f>'Handle missing value sheet only'!$C$1</f>
        <v>139.27096774193564</v>
      </c>
      <c r="Y89" s="20">
        <v>122.6</v>
      </c>
      <c r="Z89" s="20">
        <v>122.8</v>
      </c>
      <c r="AA89" s="20">
        <v>120.4</v>
      </c>
      <c r="AB89" s="20">
        <v>114.2</v>
      </c>
      <c r="AC89" s="20">
        <v>117.9</v>
      </c>
      <c r="AD89" s="20">
        <v>122</v>
      </c>
      <c r="AE89" s="20">
        <v>113</v>
      </c>
      <c r="AF89" s="20">
        <v>117.9</v>
      </c>
      <c r="AG89" s="20">
        <v>124.1</v>
      </c>
      <c r="AH89" s="28">
        <f t="shared" si="9"/>
        <v>3089.6709677419353</v>
      </c>
      <c r="AI89" s="28">
        <f t="shared" si="10"/>
        <v>470.79999999999995</v>
      </c>
      <c r="AJ89" s="28">
        <f t="shared" si="11"/>
        <v>253.5</v>
      </c>
      <c r="AK89" s="28">
        <f t="shared" si="12"/>
        <v>262.07096774193565</v>
      </c>
      <c r="AL89" s="28">
        <f t="shared" si="13"/>
        <v>1746.1</v>
      </c>
      <c r="AM89" s="28">
        <f t="shared" si="14"/>
        <v>117.69999999999999</v>
      </c>
      <c r="AN89" s="28">
        <f t="shared" si="15"/>
        <v>131.03548387096782</v>
      </c>
      <c r="AO89" s="31">
        <v>124.72142857142856</v>
      </c>
    </row>
    <row r="90" spans="1:41" x14ac:dyDescent="0.3">
      <c r="A90" s="26" t="s">
        <v>2</v>
      </c>
      <c r="B90" s="21">
        <v>2015</v>
      </c>
      <c r="C90" s="21" t="s">
        <v>8</v>
      </c>
      <c r="D90" s="21" t="str">
        <f t="shared" si="8"/>
        <v>Jun-15</v>
      </c>
      <c r="E90" s="32">
        <v>42156</v>
      </c>
      <c r="F90" s="21" t="s">
        <v>84</v>
      </c>
      <c r="G90" s="21">
        <v>123.6</v>
      </c>
      <c r="H90" s="21">
        <v>134.4</v>
      </c>
      <c r="I90" s="21">
        <v>120.9</v>
      </c>
      <c r="J90" s="21">
        <v>127.3</v>
      </c>
      <c r="K90" s="21">
        <v>106</v>
      </c>
      <c r="L90" s="21">
        <v>132.30000000000001</v>
      </c>
      <c r="M90" s="21">
        <v>146.69999999999999</v>
      </c>
      <c r="N90" s="21">
        <v>148.1</v>
      </c>
      <c r="O90" s="21">
        <v>89.8</v>
      </c>
      <c r="P90" s="21">
        <v>130.5</v>
      </c>
      <c r="Q90" s="21">
        <v>118</v>
      </c>
      <c r="R90" s="21">
        <v>130.5</v>
      </c>
      <c r="S90" s="21">
        <v>128.5</v>
      </c>
      <c r="T90" s="21">
        <v>132.1</v>
      </c>
      <c r="U90" s="21">
        <v>123.2</v>
      </c>
      <c r="V90" s="21">
        <v>117.6</v>
      </c>
      <c r="W90" s="21">
        <v>122.3</v>
      </c>
      <c r="X90" s="21">
        <v>119</v>
      </c>
      <c r="Y90" s="21">
        <v>115.1</v>
      </c>
      <c r="Z90" s="21">
        <v>119.2</v>
      </c>
      <c r="AA90" s="21">
        <v>115.4</v>
      </c>
      <c r="AB90" s="21">
        <v>111.7</v>
      </c>
      <c r="AC90" s="21">
        <v>116.2</v>
      </c>
      <c r="AD90" s="21">
        <v>123.8</v>
      </c>
      <c r="AE90" s="21">
        <v>112.5</v>
      </c>
      <c r="AF90" s="21">
        <v>116</v>
      </c>
      <c r="AG90" s="21">
        <v>121.7</v>
      </c>
      <c r="AH90" s="28">
        <f t="shared" si="9"/>
        <v>3058.4</v>
      </c>
      <c r="AI90" s="28">
        <f t="shared" si="10"/>
        <v>468.5</v>
      </c>
      <c r="AJ90" s="28">
        <f t="shared" si="11"/>
        <v>240.8</v>
      </c>
      <c r="AK90" s="28">
        <f t="shared" si="12"/>
        <v>238.2</v>
      </c>
      <c r="AL90" s="28">
        <f t="shared" si="13"/>
        <v>1768.6999999999998</v>
      </c>
      <c r="AM90" s="28">
        <f t="shared" si="14"/>
        <v>117.125</v>
      </c>
      <c r="AN90" s="28">
        <f t="shared" si="15"/>
        <v>119.1</v>
      </c>
      <c r="AO90" s="29">
        <v>126.33571428571427</v>
      </c>
    </row>
    <row r="91" spans="1:41" x14ac:dyDescent="0.3">
      <c r="A91" s="27" t="s">
        <v>3</v>
      </c>
      <c r="B91" s="20">
        <v>2015</v>
      </c>
      <c r="C91" s="20" t="s">
        <v>8</v>
      </c>
      <c r="D91" s="21" t="str">
        <f t="shared" si="8"/>
        <v>Jun-15</v>
      </c>
      <c r="E91" s="33">
        <v>42156</v>
      </c>
      <c r="F91" s="20" t="s">
        <v>84</v>
      </c>
      <c r="G91" s="20">
        <v>123.9</v>
      </c>
      <c r="H91" s="20">
        <v>131.80000000000001</v>
      </c>
      <c r="I91" s="20">
        <v>121.6</v>
      </c>
      <c r="J91" s="20">
        <v>128.19999999999999</v>
      </c>
      <c r="K91" s="20">
        <v>111.1</v>
      </c>
      <c r="L91" s="20">
        <v>132.80000000000001</v>
      </c>
      <c r="M91" s="20">
        <v>139.1</v>
      </c>
      <c r="N91" s="20">
        <v>137.4</v>
      </c>
      <c r="O91" s="20">
        <v>94.1</v>
      </c>
      <c r="P91" s="20">
        <v>125.5</v>
      </c>
      <c r="Q91" s="20">
        <v>119.8</v>
      </c>
      <c r="R91" s="20">
        <v>130.9</v>
      </c>
      <c r="S91" s="20">
        <v>127.3</v>
      </c>
      <c r="T91" s="20">
        <v>129.19999999999999</v>
      </c>
      <c r="U91" s="20">
        <v>126.4</v>
      </c>
      <c r="V91" s="20">
        <v>122</v>
      </c>
      <c r="W91" s="20">
        <v>125.7</v>
      </c>
      <c r="X91" s="20">
        <v>119</v>
      </c>
      <c r="Y91" s="20">
        <v>119.8</v>
      </c>
      <c r="Z91" s="20">
        <v>121.1</v>
      </c>
      <c r="AA91" s="20">
        <v>118.5</v>
      </c>
      <c r="AB91" s="20">
        <v>112.9</v>
      </c>
      <c r="AC91" s="20">
        <v>116.9</v>
      </c>
      <c r="AD91" s="20">
        <v>123.1</v>
      </c>
      <c r="AE91" s="20">
        <v>112.8</v>
      </c>
      <c r="AF91" s="20">
        <v>117</v>
      </c>
      <c r="AG91" s="20">
        <v>123</v>
      </c>
      <c r="AH91" s="28">
        <f t="shared" si="9"/>
        <v>3062.2</v>
      </c>
      <c r="AI91" s="28">
        <f t="shared" si="10"/>
        <v>469.79999999999995</v>
      </c>
      <c r="AJ91" s="28">
        <f t="shared" si="11"/>
        <v>248.4</v>
      </c>
      <c r="AK91" s="28">
        <f t="shared" si="12"/>
        <v>240.1</v>
      </c>
      <c r="AL91" s="28">
        <f t="shared" si="13"/>
        <v>1752.7</v>
      </c>
      <c r="AM91" s="28">
        <f t="shared" si="14"/>
        <v>117.44999999999999</v>
      </c>
      <c r="AN91" s="28">
        <f t="shared" si="15"/>
        <v>120.05</v>
      </c>
      <c r="AO91" s="31">
        <v>125.19285714285715</v>
      </c>
    </row>
    <row r="92" spans="1:41" x14ac:dyDescent="0.3">
      <c r="A92" s="26" t="s">
        <v>0</v>
      </c>
      <c r="B92" s="21">
        <v>2015</v>
      </c>
      <c r="C92" s="21" t="s">
        <v>9</v>
      </c>
      <c r="D92" s="21" t="str">
        <f t="shared" si="8"/>
        <v>Jul-15</v>
      </c>
      <c r="E92" s="32">
        <v>42186</v>
      </c>
      <c r="F92" s="21" t="s">
        <v>84</v>
      </c>
      <c r="G92" s="21">
        <v>124</v>
      </c>
      <c r="H92" s="21">
        <v>131.5</v>
      </c>
      <c r="I92" s="21">
        <v>122</v>
      </c>
      <c r="J92" s="21">
        <v>128.69999999999999</v>
      </c>
      <c r="K92" s="21">
        <v>113.5</v>
      </c>
      <c r="L92" s="21">
        <v>133.30000000000001</v>
      </c>
      <c r="M92" s="21">
        <v>140.80000000000001</v>
      </c>
      <c r="N92" s="21">
        <v>133.80000000000001</v>
      </c>
      <c r="O92" s="21">
        <v>94.1</v>
      </c>
      <c r="P92" s="21">
        <v>123.4</v>
      </c>
      <c r="Q92" s="21">
        <v>121</v>
      </c>
      <c r="R92" s="21">
        <v>131.69999999999999</v>
      </c>
      <c r="S92" s="21">
        <v>127.5</v>
      </c>
      <c r="T92" s="21">
        <v>129.4</v>
      </c>
      <c r="U92" s="21">
        <v>128.80000000000001</v>
      </c>
      <c r="V92" s="21">
        <v>125.5</v>
      </c>
      <c r="W92" s="21">
        <v>128.30000000000001</v>
      </c>
      <c r="X92" s="28">
        <f>'Handle missing value sheet only'!$C$1</f>
        <v>139.27096774193564</v>
      </c>
      <c r="Y92" s="21">
        <v>123</v>
      </c>
      <c r="Z92" s="21">
        <v>123</v>
      </c>
      <c r="AA92" s="21">
        <v>120.8</v>
      </c>
      <c r="AB92" s="21">
        <v>114.1</v>
      </c>
      <c r="AC92" s="21">
        <v>118</v>
      </c>
      <c r="AD92" s="21">
        <v>122.9</v>
      </c>
      <c r="AE92" s="21">
        <v>112.7</v>
      </c>
      <c r="AF92" s="21">
        <v>118.1</v>
      </c>
      <c r="AG92" s="21">
        <v>124.7</v>
      </c>
      <c r="AH92" s="28">
        <f t="shared" si="9"/>
        <v>3100.8709677419356</v>
      </c>
      <c r="AI92" s="28">
        <f t="shared" si="10"/>
        <v>471.70000000000005</v>
      </c>
      <c r="AJ92" s="28">
        <f t="shared" si="11"/>
        <v>254.3</v>
      </c>
      <c r="AK92" s="28">
        <f t="shared" si="12"/>
        <v>262.27096774193564</v>
      </c>
      <c r="AL92" s="28">
        <f t="shared" si="13"/>
        <v>1754.7</v>
      </c>
      <c r="AM92" s="28">
        <f t="shared" si="14"/>
        <v>117.92500000000001</v>
      </c>
      <c r="AN92" s="28">
        <f t="shared" si="15"/>
        <v>131.13548387096782</v>
      </c>
      <c r="AO92" s="29">
        <v>125.33571428571429</v>
      </c>
    </row>
    <row r="93" spans="1:41" x14ac:dyDescent="0.3">
      <c r="A93" s="27" t="s">
        <v>2</v>
      </c>
      <c r="B93" s="20">
        <v>2015</v>
      </c>
      <c r="C93" s="20" t="s">
        <v>9</v>
      </c>
      <c r="D93" s="21" t="str">
        <f t="shared" si="8"/>
        <v>Jul-15</v>
      </c>
      <c r="E93" s="33">
        <v>42186</v>
      </c>
      <c r="F93" s="20" t="s">
        <v>84</v>
      </c>
      <c r="G93" s="20">
        <v>123.2</v>
      </c>
      <c r="H93" s="20">
        <v>134.30000000000001</v>
      </c>
      <c r="I93" s="20">
        <v>119.5</v>
      </c>
      <c r="J93" s="20">
        <v>127.7</v>
      </c>
      <c r="K93" s="20">
        <v>106.3</v>
      </c>
      <c r="L93" s="20">
        <v>132.80000000000001</v>
      </c>
      <c r="M93" s="20">
        <v>153.5</v>
      </c>
      <c r="N93" s="20">
        <v>149.5</v>
      </c>
      <c r="O93" s="20">
        <v>85.7</v>
      </c>
      <c r="P93" s="20">
        <v>131.5</v>
      </c>
      <c r="Q93" s="20">
        <v>118.3</v>
      </c>
      <c r="R93" s="20">
        <v>131.1</v>
      </c>
      <c r="S93" s="20">
        <v>129.5</v>
      </c>
      <c r="T93" s="20">
        <v>133.1</v>
      </c>
      <c r="U93" s="20">
        <v>123.5</v>
      </c>
      <c r="V93" s="20">
        <v>117.9</v>
      </c>
      <c r="W93" s="20">
        <v>122.7</v>
      </c>
      <c r="X93" s="20">
        <v>119.9</v>
      </c>
      <c r="Y93" s="20">
        <v>115.3</v>
      </c>
      <c r="Z93" s="20">
        <v>119.5</v>
      </c>
      <c r="AA93" s="20">
        <v>116</v>
      </c>
      <c r="AB93" s="20">
        <v>111.5</v>
      </c>
      <c r="AC93" s="20">
        <v>116.6</v>
      </c>
      <c r="AD93" s="20">
        <v>125.4</v>
      </c>
      <c r="AE93" s="20">
        <v>111.7</v>
      </c>
      <c r="AF93" s="20">
        <v>116.3</v>
      </c>
      <c r="AG93" s="20">
        <v>122.4</v>
      </c>
      <c r="AH93" s="28">
        <f t="shared" si="9"/>
        <v>3069.6</v>
      </c>
      <c r="AI93" s="28">
        <f t="shared" si="10"/>
        <v>470</v>
      </c>
      <c r="AJ93" s="28">
        <f t="shared" si="11"/>
        <v>241.4</v>
      </c>
      <c r="AK93" s="28">
        <f t="shared" si="12"/>
        <v>239.4</v>
      </c>
      <c r="AL93" s="28">
        <f t="shared" si="13"/>
        <v>1775.9999999999998</v>
      </c>
      <c r="AM93" s="28">
        <f t="shared" si="14"/>
        <v>117.5</v>
      </c>
      <c r="AN93" s="28">
        <f t="shared" si="15"/>
        <v>119.7</v>
      </c>
      <c r="AO93" s="31">
        <v>126.85714285714285</v>
      </c>
    </row>
    <row r="94" spans="1:41" x14ac:dyDescent="0.3">
      <c r="A94" s="26" t="s">
        <v>3</v>
      </c>
      <c r="B94" s="21">
        <v>2015</v>
      </c>
      <c r="C94" s="21" t="s">
        <v>9</v>
      </c>
      <c r="D94" s="21" t="str">
        <f t="shared" si="8"/>
        <v>Jul-15</v>
      </c>
      <c r="E94" s="32">
        <v>42186</v>
      </c>
      <c r="F94" s="21" t="s">
        <v>84</v>
      </c>
      <c r="G94" s="21">
        <v>123.7</v>
      </c>
      <c r="H94" s="21">
        <v>132.5</v>
      </c>
      <c r="I94" s="21">
        <v>121</v>
      </c>
      <c r="J94" s="21">
        <v>128.30000000000001</v>
      </c>
      <c r="K94" s="21">
        <v>110.9</v>
      </c>
      <c r="L94" s="21">
        <v>133.1</v>
      </c>
      <c r="M94" s="21">
        <v>145.1</v>
      </c>
      <c r="N94" s="21">
        <v>139.1</v>
      </c>
      <c r="O94" s="21">
        <v>91.3</v>
      </c>
      <c r="P94" s="21">
        <v>126.1</v>
      </c>
      <c r="Q94" s="21">
        <v>119.9</v>
      </c>
      <c r="R94" s="21">
        <v>131.4</v>
      </c>
      <c r="S94" s="21">
        <v>128.19999999999999</v>
      </c>
      <c r="T94" s="21">
        <v>130.4</v>
      </c>
      <c r="U94" s="21">
        <v>126.7</v>
      </c>
      <c r="V94" s="21">
        <v>122.3</v>
      </c>
      <c r="W94" s="21">
        <v>126.1</v>
      </c>
      <c r="X94" s="21">
        <v>119.9</v>
      </c>
      <c r="Y94" s="21">
        <v>120.1</v>
      </c>
      <c r="Z94" s="21">
        <v>121.3</v>
      </c>
      <c r="AA94" s="21">
        <v>119</v>
      </c>
      <c r="AB94" s="21">
        <v>112.7</v>
      </c>
      <c r="AC94" s="21">
        <v>117.2</v>
      </c>
      <c r="AD94" s="21">
        <v>124.4</v>
      </c>
      <c r="AE94" s="21">
        <v>112.3</v>
      </c>
      <c r="AF94" s="21">
        <v>117.2</v>
      </c>
      <c r="AG94" s="21">
        <v>123.6</v>
      </c>
      <c r="AH94" s="28">
        <f t="shared" si="9"/>
        <v>3074.1</v>
      </c>
      <c r="AI94" s="28">
        <f t="shared" si="10"/>
        <v>471.09999999999997</v>
      </c>
      <c r="AJ94" s="28">
        <f t="shared" si="11"/>
        <v>249</v>
      </c>
      <c r="AK94" s="28">
        <f t="shared" si="12"/>
        <v>241.2</v>
      </c>
      <c r="AL94" s="28">
        <f t="shared" si="13"/>
        <v>1761.0000000000002</v>
      </c>
      <c r="AM94" s="28">
        <f t="shared" si="14"/>
        <v>117.77499999999999</v>
      </c>
      <c r="AN94" s="28">
        <f t="shared" si="15"/>
        <v>120.6</v>
      </c>
      <c r="AO94" s="29">
        <v>125.78571428571431</v>
      </c>
    </row>
    <row r="95" spans="1:41" x14ac:dyDescent="0.3">
      <c r="A95" s="27" t="s">
        <v>0</v>
      </c>
      <c r="B95" s="20">
        <v>2015</v>
      </c>
      <c r="C95" s="20" t="s">
        <v>10</v>
      </c>
      <c r="D95" s="21" t="str">
        <f t="shared" si="8"/>
        <v>Aug-15</v>
      </c>
      <c r="E95" s="33">
        <v>42217</v>
      </c>
      <c r="F95" s="20" t="s">
        <v>84</v>
      </c>
      <c r="G95" s="20">
        <v>124.7</v>
      </c>
      <c r="H95" s="20">
        <v>131.30000000000001</v>
      </c>
      <c r="I95" s="20">
        <v>121.3</v>
      </c>
      <c r="J95" s="20">
        <v>128.80000000000001</v>
      </c>
      <c r="K95" s="20">
        <v>114</v>
      </c>
      <c r="L95" s="20">
        <v>134.19999999999999</v>
      </c>
      <c r="M95" s="20">
        <v>153.6</v>
      </c>
      <c r="N95" s="20">
        <v>137.9</v>
      </c>
      <c r="O95" s="20">
        <v>93.1</v>
      </c>
      <c r="P95" s="20">
        <v>123.9</v>
      </c>
      <c r="Q95" s="20">
        <v>121.5</v>
      </c>
      <c r="R95" s="20">
        <v>132.5</v>
      </c>
      <c r="S95" s="20">
        <v>129.80000000000001</v>
      </c>
      <c r="T95" s="20">
        <v>130.1</v>
      </c>
      <c r="U95" s="20">
        <v>129.5</v>
      </c>
      <c r="V95" s="20">
        <v>126.3</v>
      </c>
      <c r="W95" s="20">
        <v>129</v>
      </c>
      <c r="X95" s="30">
        <f>'Handle missing value sheet only'!$C$1</f>
        <v>139.27096774193564</v>
      </c>
      <c r="Y95" s="20">
        <v>123.8</v>
      </c>
      <c r="Z95" s="20">
        <v>123.7</v>
      </c>
      <c r="AA95" s="20">
        <v>121.1</v>
      </c>
      <c r="AB95" s="20">
        <v>113.6</v>
      </c>
      <c r="AC95" s="20">
        <v>118.5</v>
      </c>
      <c r="AD95" s="20">
        <v>123.6</v>
      </c>
      <c r="AE95" s="20">
        <v>112.5</v>
      </c>
      <c r="AF95" s="20">
        <v>118.2</v>
      </c>
      <c r="AG95" s="20">
        <v>126.1</v>
      </c>
      <c r="AH95" s="28">
        <f t="shared" si="9"/>
        <v>3126.7709677419357</v>
      </c>
      <c r="AI95" s="28">
        <f t="shared" si="10"/>
        <v>472.79999999999995</v>
      </c>
      <c r="AJ95" s="28">
        <f t="shared" si="11"/>
        <v>255.8</v>
      </c>
      <c r="AK95" s="28">
        <f t="shared" si="12"/>
        <v>262.97096774193562</v>
      </c>
      <c r="AL95" s="28">
        <f t="shared" si="13"/>
        <v>1776.6999999999998</v>
      </c>
      <c r="AM95" s="28">
        <f t="shared" si="14"/>
        <v>118.19999999999999</v>
      </c>
      <c r="AN95" s="28">
        <f t="shared" si="15"/>
        <v>131.48548387096781</v>
      </c>
      <c r="AO95" s="31">
        <v>126.90714285714284</v>
      </c>
    </row>
    <row r="96" spans="1:41" x14ac:dyDescent="0.3">
      <c r="A96" s="26" t="s">
        <v>2</v>
      </c>
      <c r="B96" s="21">
        <v>2015</v>
      </c>
      <c r="C96" s="21" t="s">
        <v>10</v>
      </c>
      <c r="D96" s="21" t="str">
        <f t="shared" si="8"/>
        <v>Aug-15</v>
      </c>
      <c r="E96" s="32">
        <v>42217</v>
      </c>
      <c r="F96" s="21" t="s">
        <v>84</v>
      </c>
      <c r="G96" s="21">
        <v>123.1</v>
      </c>
      <c r="H96" s="21">
        <v>131.69999999999999</v>
      </c>
      <c r="I96" s="21">
        <v>118.1</v>
      </c>
      <c r="J96" s="21">
        <v>128</v>
      </c>
      <c r="K96" s="21">
        <v>106.8</v>
      </c>
      <c r="L96" s="21">
        <v>130.1</v>
      </c>
      <c r="M96" s="21">
        <v>165.5</v>
      </c>
      <c r="N96" s="21">
        <v>156</v>
      </c>
      <c r="O96" s="21">
        <v>85.3</v>
      </c>
      <c r="P96" s="21">
        <v>132.69999999999999</v>
      </c>
      <c r="Q96" s="21">
        <v>118.8</v>
      </c>
      <c r="R96" s="21">
        <v>131.69999999999999</v>
      </c>
      <c r="S96" s="21">
        <v>131.1</v>
      </c>
      <c r="T96" s="21">
        <v>134.19999999999999</v>
      </c>
      <c r="U96" s="21">
        <v>123.7</v>
      </c>
      <c r="V96" s="21">
        <v>118.2</v>
      </c>
      <c r="W96" s="21">
        <v>122.9</v>
      </c>
      <c r="X96" s="21">
        <v>120.9</v>
      </c>
      <c r="Y96" s="21">
        <v>115.3</v>
      </c>
      <c r="Z96" s="21">
        <v>120</v>
      </c>
      <c r="AA96" s="21">
        <v>116.6</v>
      </c>
      <c r="AB96" s="21">
        <v>109.9</v>
      </c>
      <c r="AC96" s="21">
        <v>117.2</v>
      </c>
      <c r="AD96" s="21">
        <v>126.2</v>
      </c>
      <c r="AE96" s="21">
        <v>112</v>
      </c>
      <c r="AF96" s="21">
        <v>116.2</v>
      </c>
      <c r="AG96" s="21">
        <v>123.2</v>
      </c>
      <c r="AH96" s="28">
        <f t="shared" si="9"/>
        <v>3089.2999999999988</v>
      </c>
      <c r="AI96" s="28">
        <f t="shared" si="10"/>
        <v>471.59999999999997</v>
      </c>
      <c r="AJ96" s="28">
        <f t="shared" si="11"/>
        <v>241.9</v>
      </c>
      <c r="AK96" s="28">
        <f t="shared" si="12"/>
        <v>240.9</v>
      </c>
      <c r="AL96" s="28">
        <f t="shared" si="13"/>
        <v>1793.1</v>
      </c>
      <c r="AM96" s="28">
        <f t="shared" si="14"/>
        <v>117.89999999999999</v>
      </c>
      <c r="AN96" s="28">
        <f t="shared" si="15"/>
        <v>120.45</v>
      </c>
      <c r="AO96" s="29">
        <v>128.07857142857142</v>
      </c>
    </row>
    <row r="97" spans="1:41" x14ac:dyDescent="0.3">
      <c r="A97" s="27" t="s">
        <v>3</v>
      </c>
      <c r="B97" s="20">
        <v>2015</v>
      </c>
      <c r="C97" s="20" t="s">
        <v>10</v>
      </c>
      <c r="D97" s="21" t="str">
        <f t="shared" si="8"/>
        <v>Aug-15</v>
      </c>
      <c r="E97" s="33">
        <v>42217</v>
      </c>
      <c r="F97" s="20" t="s">
        <v>84</v>
      </c>
      <c r="G97" s="20">
        <v>124.2</v>
      </c>
      <c r="H97" s="20">
        <v>131.4</v>
      </c>
      <c r="I97" s="20">
        <v>120.1</v>
      </c>
      <c r="J97" s="20">
        <v>128.5</v>
      </c>
      <c r="K97" s="20">
        <v>111.4</v>
      </c>
      <c r="L97" s="20">
        <v>132.30000000000001</v>
      </c>
      <c r="M97" s="20">
        <v>157.6</v>
      </c>
      <c r="N97" s="20">
        <v>144</v>
      </c>
      <c r="O97" s="20">
        <v>90.5</v>
      </c>
      <c r="P97" s="20">
        <v>126.8</v>
      </c>
      <c r="Q97" s="20">
        <v>120.4</v>
      </c>
      <c r="R97" s="20">
        <v>132.1</v>
      </c>
      <c r="S97" s="20">
        <v>130.30000000000001</v>
      </c>
      <c r="T97" s="20">
        <v>131.19999999999999</v>
      </c>
      <c r="U97" s="20">
        <v>127.2</v>
      </c>
      <c r="V97" s="20">
        <v>122.9</v>
      </c>
      <c r="W97" s="20">
        <v>126.6</v>
      </c>
      <c r="X97" s="20">
        <v>120.9</v>
      </c>
      <c r="Y97" s="20">
        <v>120.6</v>
      </c>
      <c r="Z97" s="20">
        <v>122</v>
      </c>
      <c r="AA97" s="20">
        <v>119.4</v>
      </c>
      <c r="AB97" s="20">
        <v>111.7</v>
      </c>
      <c r="AC97" s="20">
        <v>117.8</v>
      </c>
      <c r="AD97" s="20">
        <v>125.1</v>
      </c>
      <c r="AE97" s="20">
        <v>112.3</v>
      </c>
      <c r="AF97" s="20">
        <v>117.2</v>
      </c>
      <c r="AG97" s="20">
        <v>124.8</v>
      </c>
      <c r="AH97" s="28">
        <f t="shared" si="9"/>
        <v>3097.9</v>
      </c>
      <c r="AI97" s="28">
        <f t="shared" si="10"/>
        <v>472.40000000000003</v>
      </c>
      <c r="AJ97" s="28">
        <f t="shared" si="11"/>
        <v>250.10000000000002</v>
      </c>
      <c r="AK97" s="28">
        <f t="shared" si="12"/>
        <v>242.9</v>
      </c>
      <c r="AL97" s="28">
        <f t="shared" si="13"/>
        <v>1780.8</v>
      </c>
      <c r="AM97" s="28">
        <f t="shared" si="14"/>
        <v>118.10000000000001</v>
      </c>
      <c r="AN97" s="28">
        <f t="shared" si="15"/>
        <v>121.45</v>
      </c>
      <c r="AO97" s="31">
        <v>127.2</v>
      </c>
    </row>
    <row r="98" spans="1:41" x14ac:dyDescent="0.3">
      <c r="A98" s="26" t="s">
        <v>0</v>
      </c>
      <c r="B98" s="21">
        <v>2015</v>
      </c>
      <c r="C98" s="21" t="s">
        <v>11</v>
      </c>
      <c r="D98" s="21" t="str">
        <f t="shared" si="8"/>
        <v>Sep-15</v>
      </c>
      <c r="E98" s="32">
        <v>42248</v>
      </c>
      <c r="F98" s="21" t="s">
        <v>84</v>
      </c>
      <c r="G98" s="21">
        <v>125.1</v>
      </c>
      <c r="H98" s="21">
        <v>131.1</v>
      </c>
      <c r="I98" s="21">
        <v>120.7</v>
      </c>
      <c r="J98" s="21">
        <v>129.19999999999999</v>
      </c>
      <c r="K98" s="21">
        <v>114.7</v>
      </c>
      <c r="L98" s="21">
        <v>132.30000000000001</v>
      </c>
      <c r="M98" s="21">
        <v>158.9</v>
      </c>
      <c r="N98" s="21">
        <v>142.1</v>
      </c>
      <c r="O98" s="21">
        <v>92.5</v>
      </c>
      <c r="P98" s="21">
        <v>125.4</v>
      </c>
      <c r="Q98" s="21">
        <v>121.9</v>
      </c>
      <c r="R98" s="21">
        <v>132.69999999999999</v>
      </c>
      <c r="S98" s="21">
        <v>131</v>
      </c>
      <c r="T98" s="21">
        <v>131</v>
      </c>
      <c r="U98" s="21">
        <v>130.4</v>
      </c>
      <c r="V98" s="21">
        <v>126.8</v>
      </c>
      <c r="W98" s="21">
        <v>129.9</v>
      </c>
      <c r="X98" s="28">
        <f>'Handle missing value sheet only'!$C$1</f>
        <v>139.27096774193564</v>
      </c>
      <c r="Y98" s="21">
        <v>123.7</v>
      </c>
      <c r="Z98" s="21">
        <v>124.5</v>
      </c>
      <c r="AA98" s="21">
        <v>121.4</v>
      </c>
      <c r="AB98" s="21">
        <v>113.8</v>
      </c>
      <c r="AC98" s="21">
        <v>119.6</v>
      </c>
      <c r="AD98" s="21">
        <v>124.5</v>
      </c>
      <c r="AE98" s="21">
        <v>113.7</v>
      </c>
      <c r="AF98" s="21">
        <v>118.8</v>
      </c>
      <c r="AG98" s="21">
        <v>127</v>
      </c>
      <c r="AH98" s="28">
        <f t="shared" si="9"/>
        <v>3145.0709677419359</v>
      </c>
      <c r="AI98" s="28">
        <f t="shared" si="10"/>
        <v>476.6</v>
      </c>
      <c r="AJ98" s="28">
        <f t="shared" si="11"/>
        <v>257.2</v>
      </c>
      <c r="AK98" s="28">
        <f t="shared" si="12"/>
        <v>263.77096774193564</v>
      </c>
      <c r="AL98" s="28">
        <f t="shared" si="13"/>
        <v>1788.6000000000001</v>
      </c>
      <c r="AM98" s="28">
        <f t="shared" si="14"/>
        <v>119.15</v>
      </c>
      <c r="AN98" s="28">
        <f t="shared" si="15"/>
        <v>131.88548387096782</v>
      </c>
      <c r="AO98" s="29">
        <v>127.75714285714287</v>
      </c>
    </row>
    <row r="99" spans="1:41" x14ac:dyDescent="0.3">
      <c r="A99" s="27" t="s">
        <v>2</v>
      </c>
      <c r="B99" s="20">
        <v>2015</v>
      </c>
      <c r="C99" s="20" t="s">
        <v>11</v>
      </c>
      <c r="D99" s="21" t="str">
        <f t="shared" si="8"/>
        <v>Sep-15</v>
      </c>
      <c r="E99" s="33">
        <v>42248</v>
      </c>
      <c r="F99" s="20" t="s">
        <v>84</v>
      </c>
      <c r="G99" s="20">
        <v>123.4</v>
      </c>
      <c r="H99" s="20">
        <v>129</v>
      </c>
      <c r="I99" s="20">
        <v>115.6</v>
      </c>
      <c r="J99" s="20">
        <v>128.30000000000001</v>
      </c>
      <c r="K99" s="20">
        <v>107</v>
      </c>
      <c r="L99" s="20">
        <v>124</v>
      </c>
      <c r="M99" s="20">
        <v>168.5</v>
      </c>
      <c r="N99" s="20">
        <v>165.4</v>
      </c>
      <c r="O99" s="20">
        <v>86.3</v>
      </c>
      <c r="P99" s="20">
        <v>134.4</v>
      </c>
      <c r="Q99" s="20">
        <v>119.1</v>
      </c>
      <c r="R99" s="20">
        <v>132.30000000000001</v>
      </c>
      <c r="S99" s="20">
        <v>131.5</v>
      </c>
      <c r="T99" s="20">
        <v>134.69999999999999</v>
      </c>
      <c r="U99" s="20">
        <v>124</v>
      </c>
      <c r="V99" s="20">
        <v>118.6</v>
      </c>
      <c r="W99" s="20">
        <v>123.2</v>
      </c>
      <c r="X99" s="20">
        <v>121.6</v>
      </c>
      <c r="Y99" s="20">
        <v>115.1</v>
      </c>
      <c r="Z99" s="20">
        <v>120.4</v>
      </c>
      <c r="AA99" s="20">
        <v>117.1</v>
      </c>
      <c r="AB99" s="20">
        <v>109.1</v>
      </c>
      <c r="AC99" s="20">
        <v>117.3</v>
      </c>
      <c r="AD99" s="20">
        <v>126.5</v>
      </c>
      <c r="AE99" s="20">
        <v>112.9</v>
      </c>
      <c r="AF99" s="20">
        <v>116.2</v>
      </c>
      <c r="AG99" s="20">
        <v>123.5</v>
      </c>
      <c r="AH99" s="28">
        <f t="shared" si="9"/>
        <v>3098.3</v>
      </c>
      <c r="AI99" s="28">
        <f t="shared" si="10"/>
        <v>472.90000000000003</v>
      </c>
      <c r="AJ99" s="28">
        <f t="shared" si="11"/>
        <v>242.6</v>
      </c>
      <c r="AK99" s="28">
        <f t="shared" si="12"/>
        <v>242</v>
      </c>
      <c r="AL99" s="28">
        <f t="shared" si="13"/>
        <v>1799.5</v>
      </c>
      <c r="AM99" s="28">
        <f t="shared" si="14"/>
        <v>118.22500000000001</v>
      </c>
      <c r="AN99" s="28">
        <f t="shared" si="15"/>
        <v>121</v>
      </c>
      <c r="AO99" s="31">
        <v>128.53571428571428</v>
      </c>
    </row>
    <row r="100" spans="1:41" x14ac:dyDescent="0.3">
      <c r="A100" s="26" t="s">
        <v>3</v>
      </c>
      <c r="B100" s="21">
        <v>2015</v>
      </c>
      <c r="C100" s="21" t="s">
        <v>11</v>
      </c>
      <c r="D100" s="21" t="str">
        <f t="shared" si="8"/>
        <v>Sep-15</v>
      </c>
      <c r="E100" s="32">
        <v>42248</v>
      </c>
      <c r="F100" s="21" t="s">
        <v>84</v>
      </c>
      <c r="G100" s="21">
        <v>124.6</v>
      </c>
      <c r="H100" s="21">
        <v>130.4</v>
      </c>
      <c r="I100" s="21">
        <v>118.7</v>
      </c>
      <c r="J100" s="21">
        <v>128.9</v>
      </c>
      <c r="K100" s="21">
        <v>111.9</v>
      </c>
      <c r="L100" s="21">
        <v>128.4</v>
      </c>
      <c r="M100" s="21">
        <v>162.19999999999999</v>
      </c>
      <c r="N100" s="21">
        <v>150</v>
      </c>
      <c r="O100" s="21">
        <v>90.4</v>
      </c>
      <c r="P100" s="21">
        <v>128.4</v>
      </c>
      <c r="Q100" s="21">
        <v>120.7</v>
      </c>
      <c r="R100" s="21">
        <v>132.5</v>
      </c>
      <c r="S100" s="21">
        <v>131.19999999999999</v>
      </c>
      <c r="T100" s="21">
        <v>132</v>
      </c>
      <c r="U100" s="21">
        <v>127.9</v>
      </c>
      <c r="V100" s="21">
        <v>123.4</v>
      </c>
      <c r="W100" s="21">
        <v>127.2</v>
      </c>
      <c r="X100" s="21">
        <v>121.6</v>
      </c>
      <c r="Y100" s="21">
        <v>120.4</v>
      </c>
      <c r="Z100" s="21">
        <v>122.6</v>
      </c>
      <c r="AA100" s="21">
        <v>119.8</v>
      </c>
      <c r="AB100" s="21">
        <v>111.3</v>
      </c>
      <c r="AC100" s="21">
        <v>118.3</v>
      </c>
      <c r="AD100" s="21">
        <v>125.7</v>
      </c>
      <c r="AE100" s="21">
        <v>113.4</v>
      </c>
      <c r="AF100" s="21">
        <v>117.5</v>
      </c>
      <c r="AG100" s="21">
        <v>125.4</v>
      </c>
      <c r="AH100" s="28">
        <f t="shared" si="9"/>
        <v>3112.2000000000003</v>
      </c>
      <c r="AI100" s="28">
        <f t="shared" si="10"/>
        <v>474.90000000000003</v>
      </c>
      <c r="AJ100" s="28">
        <f t="shared" si="11"/>
        <v>251.3</v>
      </c>
      <c r="AK100" s="28">
        <f t="shared" si="12"/>
        <v>244.2</v>
      </c>
      <c r="AL100" s="28">
        <f t="shared" si="13"/>
        <v>1790.3000000000002</v>
      </c>
      <c r="AM100" s="28">
        <f t="shared" si="14"/>
        <v>118.72500000000001</v>
      </c>
      <c r="AN100" s="28">
        <f t="shared" si="15"/>
        <v>122.1</v>
      </c>
      <c r="AO100" s="29">
        <v>127.87857142857145</v>
      </c>
    </row>
    <row r="101" spans="1:41" x14ac:dyDescent="0.3">
      <c r="A101" s="27" t="s">
        <v>0</v>
      </c>
      <c r="B101" s="20">
        <v>2015</v>
      </c>
      <c r="C101" s="20" t="s">
        <v>12</v>
      </c>
      <c r="D101" s="21" t="str">
        <f t="shared" si="8"/>
        <v>Oct-15</v>
      </c>
      <c r="E101" s="33">
        <v>42278</v>
      </c>
      <c r="F101" s="20" t="s">
        <v>84</v>
      </c>
      <c r="G101" s="20">
        <v>125.6</v>
      </c>
      <c r="H101" s="20">
        <v>130.4</v>
      </c>
      <c r="I101" s="20">
        <v>120.8</v>
      </c>
      <c r="J101" s="20">
        <v>129.4</v>
      </c>
      <c r="K101" s="20">
        <v>115.8</v>
      </c>
      <c r="L101" s="20">
        <v>133.19999999999999</v>
      </c>
      <c r="M101" s="20">
        <v>157.69999999999999</v>
      </c>
      <c r="N101" s="20">
        <v>154.19999999999999</v>
      </c>
      <c r="O101" s="20">
        <v>93.7</v>
      </c>
      <c r="P101" s="20">
        <v>126.6</v>
      </c>
      <c r="Q101" s="20">
        <v>122.3</v>
      </c>
      <c r="R101" s="20">
        <v>133.1</v>
      </c>
      <c r="S101" s="20">
        <v>131.80000000000001</v>
      </c>
      <c r="T101" s="20">
        <v>131.5</v>
      </c>
      <c r="U101" s="20">
        <v>131.1</v>
      </c>
      <c r="V101" s="20">
        <v>127.3</v>
      </c>
      <c r="W101" s="20">
        <v>130.6</v>
      </c>
      <c r="X101" s="30">
        <f>'Handle missing value sheet only'!$C$1</f>
        <v>139.27096774193564</v>
      </c>
      <c r="Y101" s="20">
        <v>124.4</v>
      </c>
      <c r="Z101" s="20">
        <v>125.1</v>
      </c>
      <c r="AA101" s="20">
        <v>122</v>
      </c>
      <c r="AB101" s="20">
        <v>113.8</v>
      </c>
      <c r="AC101" s="20">
        <v>120.1</v>
      </c>
      <c r="AD101" s="20">
        <v>125.1</v>
      </c>
      <c r="AE101" s="20">
        <v>114.2</v>
      </c>
      <c r="AF101" s="20">
        <v>119.2</v>
      </c>
      <c r="AG101" s="20">
        <v>127.7</v>
      </c>
      <c r="AH101" s="28">
        <f t="shared" si="9"/>
        <v>3167.6709677419358</v>
      </c>
      <c r="AI101" s="28">
        <f t="shared" si="10"/>
        <v>478.6</v>
      </c>
      <c r="AJ101" s="28">
        <f t="shared" si="11"/>
        <v>258.39999999999998</v>
      </c>
      <c r="AK101" s="28">
        <f t="shared" si="12"/>
        <v>264.3709677419356</v>
      </c>
      <c r="AL101" s="28">
        <f t="shared" si="13"/>
        <v>1806.1</v>
      </c>
      <c r="AM101" s="28">
        <f t="shared" si="14"/>
        <v>119.65</v>
      </c>
      <c r="AN101" s="28">
        <f t="shared" si="15"/>
        <v>132.1854838709678</v>
      </c>
      <c r="AO101" s="31">
        <v>129.00714285714284</v>
      </c>
    </row>
    <row r="102" spans="1:41" x14ac:dyDescent="0.3">
      <c r="A102" s="26" t="s">
        <v>2</v>
      </c>
      <c r="B102" s="21">
        <v>2015</v>
      </c>
      <c r="C102" s="21" t="s">
        <v>12</v>
      </c>
      <c r="D102" s="21" t="str">
        <f t="shared" si="8"/>
        <v>Oct-15</v>
      </c>
      <c r="E102" s="32">
        <v>42278</v>
      </c>
      <c r="F102" s="21" t="s">
        <v>84</v>
      </c>
      <c r="G102" s="21">
        <v>123.6</v>
      </c>
      <c r="H102" s="21">
        <v>128.6</v>
      </c>
      <c r="I102" s="21">
        <v>115.9</v>
      </c>
      <c r="J102" s="21">
        <v>128.5</v>
      </c>
      <c r="K102" s="21">
        <v>109</v>
      </c>
      <c r="L102" s="21">
        <v>124.1</v>
      </c>
      <c r="M102" s="21">
        <v>165.8</v>
      </c>
      <c r="N102" s="21">
        <v>187.2</v>
      </c>
      <c r="O102" s="21">
        <v>89.4</v>
      </c>
      <c r="P102" s="21">
        <v>135.80000000000001</v>
      </c>
      <c r="Q102" s="21">
        <v>119.4</v>
      </c>
      <c r="R102" s="21">
        <v>132.9</v>
      </c>
      <c r="S102" s="21">
        <v>132.6</v>
      </c>
      <c r="T102" s="21">
        <v>135.30000000000001</v>
      </c>
      <c r="U102" s="21">
        <v>124.4</v>
      </c>
      <c r="V102" s="21">
        <v>118.8</v>
      </c>
      <c r="W102" s="21">
        <v>123.6</v>
      </c>
      <c r="X102" s="21">
        <v>122.4</v>
      </c>
      <c r="Y102" s="21">
        <v>114.9</v>
      </c>
      <c r="Z102" s="21">
        <v>120.7</v>
      </c>
      <c r="AA102" s="21">
        <v>117.7</v>
      </c>
      <c r="AB102" s="21">
        <v>109.3</v>
      </c>
      <c r="AC102" s="21">
        <v>117.7</v>
      </c>
      <c r="AD102" s="21">
        <v>126.5</v>
      </c>
      <c r="AE102" s="21">
        <v>113.5</v>
      </c>
      <c r="AF102" s="21">
        <v>116.5</v>
      </c>
      <c r="AG102" s="21">
        <v>124.2</v>
      </c>
      <c r="AH102" s="28">
        <f t="shared" si="9"/>
        <v>3130.5000000000005</v>
      </c>
      <c r="AI102" s="28">
        <f t="shared" si="10"/>
        <v>474.2</v>
      </c>
      <c r="AJ102" s="28">
        <f t="shared" si="11"/>
        <v>243.2</v>
      </c>
      <c r="AK102" s="28">
        <f t="shared" si="12"/>
        <v>243.10000000000002</v>
      </c>
      <c r="AL102" s="28">
        <f t="shared" si="13"/>
        <v>1828.1000000000001</v>
      </c>
      <c r="AM102" s="28">
        <f t="shared" si="14"/>
        <v>118.55</v>
      </c>
      <c r="AN102" s="28">
        <f t="shared" si="15"/>
        <v>121.55000000000001</v>
      </c>
      <c r="AO102" s="29">
        <v>130.57857142857145</v>
      </c>
    </row>
    <row r="103" spans="1:41" x14ac:dyDescent="0.3">
      <c r="A103" s="27" t="s">
        <v>3</v>
      </c>
      <c r="B103" s="20">
        <v>2015</v>
      </c>
      <c r="C103" s="20" t="s">
        <v>12</v>
      </c>
      <c r="D103" s="21" t="str">
        <f t="shared" si="8"/>
        <v>Oct-15</v>
      </c>
      <c r="E103" s="33">
        <v>42278</v>
      </c>
      <c r="F103" s="20" t="s">
        <v>84</v>
      </c>
      <c r="G103" s="20">
        <v>125</v>
      </c>
      <c r="H103" s="20">
        <v>129.80000000000001</v>
      </c>
      <c r="I103" s="20">
        <v>118.9</v>
      </c>
      <c r="J103" s="20">
        <v>129.1</v>
      </c>
      <c r="K103" s="20">
        <v>113.3</v>
      </c>
      <c r="L103" s="20">
        <v>129</v>
      </c>
      <c r="M103" s="20">
        <v>160.4</v>
      </c>
      <c r="N103" s="20">
        <v>165.3</v>
      </c>
      <c r="O103" s="20">
        <v>92.3</v>
      </c>
      <c r="P103" s="20">
        <v>129.69999999999999</v>
      </c>
      <c r="Q103" s="20">
        <v>121.1</v>
      </c>
      <c r="R103" s="20">
        <v>133</v>
      </c>
      <c r="S103" s="20">
        <v>132.1</v>
      </c>
      <c r="T103" s="20">
        <v>132.5</v>
      </c>
      <c r="U103" s="20">
        <v>128.5</v>
      </c>
      <c r="V103" s="20">
        <v>123.8</v>
      </c>
      <c r="W103" s="20">
        <v>127.8</v>
      </c>
      <c r="X103" s="20">
        <v>122.4</v>
      </c>
      <c r="Y103" s="20">
        <v>120.8</v>
      </c>
      <c r="Z103" s="20">
        <v>123</v>
      </c>
      <c r="AA103" s="20">
        <v>120.4</v>
      </c>
      <c r="AB103" s="20">
        <v>111.4</v>
      </c>
      <c r="AC103" s="20">
        <v>118.7</v>
      </c>
      <c r="AD103" s="20">
        <v>125.9</v>
      </c>
      <c r="AE103" s="20">
        <v>113.9</v>
      </c>
      <c r="AF103" s="20">
        <v>117.9</v>
      </c>
      <c r="AG103" s="20">
        <v>126.1</v>
      </c>
      <c r="AH103" s="28">
        <f t="shared" si="9"/>
        <v>3138.2000000000003</v>
      </c>
      <c r="AI103" s="28">
        <f t="shared" si="10"/>
        <v>476.40000000000003</v>
      </c>
      <c r="AJ103" s="28">
        <f t="shared" si="11"/>
        <v>252.3</v>
      </c>
      <c r="AK103" s="28">
        <f t="shared" si="12"/>
        <v>245.4</v>
      </c>
      <c r="AL103" s="28">
        <f t="shared" si="13"/>
        <v>1811.4999999999998</v>
      </c>
      <c r="AM103" s="28">
        <f t="shared" si="14"/>
        <v>119.10000000000001</v>
      </c>
      <c r="AN103" s="28">
        <f t="shared" si="15"/>
        <v>122.7</v>
      </c>
      <c r="AO103" s="31">
        <v>129.39285714285714</v>
      </c>
    </row>
    <row r="104" spans="1:41" x14ac:dyDescent="0.3">
      <c r="A104" s="26" t="s">
        <v>0</v>
      </c>
      <c r="B104" s="21">
        <v>2015</v>
      </c>
      <c r="C104" s="21" t="s">
        <v>14</v>
      </c>
      <c r="D104" s="21" t="str">
        <f t="shared" si="8"/>
        <v>Nov-15</v>
      </c>
      <c r="E104" s="32">
        <v>42309</v>
      </c>
      <c r="F104" s="21" t="s">
        <v>84</v>
      </c>
      <c r="G104" s="21">
        <v>126.1</v>
      </c>
      <c r="H104" s="21">
        <v>130.6</v>
      </c>
      <c r="I104" s="21">
        <v>121.7</v>
      </c>
      <c r="J104" s="21">
        <v>129.5</v>
      </c>
      <c r="K104" s="21">
        <v>117.8</v>
      </c>
      <c r="L104" s="21">
        <v>132.1</v>
      </c>
      <c r="M104" s="21">
        <v>155.19999999999999</v>
      </c>
      <c r="N104" s="21">
        <v>160.80000000000001</v>
      </c>
      <c r="O104" s="21">
        <v>94.5</v>
      </c>
      <c r="P104" s="21">
        <v>128.30000000000001</v>
      </c>
      <c r="Q104" s="21">
        <v>123.1</v>
      </c>
      <c r="R104" s="21">
        <v>134.19999999999999</v>
      </c>
      <c r="S104" s="21">
        <v>132.4</v>
      </c>
      <c r="T104" s="21">
        <v>132.19999999999999</v>
      </c>
      <c r="U104" s="21">
        <v>132.1</v>
      </c>
      <c r="V104" s="21">
        <v>128.19999999999999</v>
      </c>
      <c r="W104" s="21">
        <v>131.5</v>
      </c>
      <c r="X104" s="28">
        <f>'Handle missing value sheet only'!$C$1</f>
        <v>139.27096774193564</v>
      </c>
      <c r="Y104" s="21">
        <v>125.6</v>
      </c>
      <c r="Z104" s="21">
        <v>125.6</v>
      </c>
      <c r="AA104" s="21">
        <v>122.6</v>
      </c>
      <c r="AB104" s="21">
        <v>114</v>
      </c>
      <c r="AC104" s="21">
        <v>120.9</v>
      </c>
      <c r="AD104" s="21">
        <v>125.8</v>
      </c>
      <c r="AE104" s="21">
        <v>114.2</v>
      </c>
      <c r="AF104" s="21">
        <v>119.6</v>
      </c>
      <c r="AG104" s="21">
        <v>128.30000000000001</v>
      </c>
      <c r="AH104" s="28">
        <f t="shared" si="9"/>
        <v>3186.3709677419351</v>
      </c>
      <c r="AI104" s="28">
        <f t="shared" si="10"/>
        <v>480.5</v>
      </c>
      <c r="AJ104" s="28">
        <f t="shared" si="11"/>
        <v>260.29999999999995</v>
      </c>
      <c r="AK104" s="28">
        <f t="shared" si="12"/>
        <v>264.8709677419356</v>
      </c>
      <c r="AL104" s="28">
        <f t="shared" si="13"/>
        <v>1818.5</v>
      </c>
      <c r="AM104" s="28">
        <f t="shared" si="14"/>
        <v>120.125</v>
      </c>
      <c r="AN104" s="28">
        <f t="shared" si="15"/>
        <v>132.4354838709678</v>
      </c>
      <c r="AO104" s="29">
        <v>129.89285714285714</v>
      </c>
    </row>
    <row r="105" spans="1:41" x14ac:dyDescent="0.3">
      <c r="A105" s="27" t="s">
        <v>2</v>
      </c>
      <c r="B105" s="20">
        <v>2015</v>
      </c>
      <c r="C105" s="20" t="s">
        <v>14</v>
      </c>
      <c r="D105" s="21" t="str">
        <f t="shared" si="8"/>
        <v>Nov-15</v>
      </c>
      <c r="E105" s="33">
        <v>42309</v>
      </c>
      <c r="F105" s="20" t="s">
        <v>84</v>
      </c>
      <c r="G105" s="20">
        <v>124</v>
      </c>
      <c r="H105" s="20">
        <v>129.80000000000001</v>
      </c>
      <c r="I105" s="20">
        <v>121.5</v>
      </c>
      <c r="J105" s="20">
        <v>128.6</v>
      </c>
      <c r="K105" s="20">
        <v>110</v>
      </c>
      <c r="L105" s="20">
        <v>123.7</v>
      </c>
      <c r="M105" s="20">
        <v>164.6</v>
      </c>
      <c r="N105" s="20">
        <v>191.6</v>
      </c>
      <c r="O105" s="20">
        <v>90.8</v>
      </c>
      <c r="P105" s="20">
        <v>137.1</v>
      </c>
      <c r="Q105" s="20">
        <v>119.8</v>
      </c>
      <c r="R105" s="20">
        <v>133.69999999999999</v>
      </c>
      <c r="S105" s="20">
        <v>133.30000000000001</v>
      </c>
      <c r="T105" s="20">
        <v>137.6</v>
      </c>
      <c r="U105" s="20">
        <v>125</v>
      </c>
      <c r="V105" s="20">
        <v>119.3</v>
      </c>
      <c r="W105" s="20">
        <v>124.2</v>
      </c>
      <c r="X105" s="20">
        <v>122.9</v>
      </c>
      <c r="Y105" s="20">
        <v>115.1</v>
      </c>
      <c r="Z105" s="20">
        <v>121</v>
      </c>
      <c r="AA105" s="20">
        <v>118.1</v>
      </c>
      <c r="AB105" s="20">
        <v>109.3</v>
      </c>
      <c r="AC105" s="20">
        <v>117.9</v>
      </c>
      <c r="AD105" s="20">
        <v>126.6</v>
      </c>
      <c r="AE105" s="20">
        <v>113.3</v>
      </c>
      <c r="AF105" s="20">
        <v>116.6</v>
      </c>
      <c r="AG105" s="20">
        <v>124.6</v>
      </c>
      <c r="AH105" s="28">
        <f t="shared" si="9"/>
        <v>3151.2000000000003</v>
      </c>
      <c r="AI105" s="28">
        <f t="shared" si="10"/>
        <v>474.4</v>
      </c>
      <c r="AJ105" s="28">
        <f t="shared" si="11"/>
        <v>244.3</v>
      </c>
      <c r="AK105" s="28">
        <f t="shared" si="12"/>
        <v>243.9</v>
      </c>
      <c r="AL105" s="28">
        <f t="shared" si="13"/>
        <v>1846.0999999999997</v>
      </c>
      <c r="AM105" s="28">
        <f t="shared" si="14"/>
        <v>118.6</v>
      </c>
      <c r="AN105" s="28">
        <f t="shared" si="15"/>
        <v>121.95</v>
      </c>
      <c r="AO105" s="31">
        <v>131.8642857142857</v>
      </c>
    </row>
    <row r="106" spans="1:41" x14ac:dyDescent="0.3">
      <c r="A106" s="26" t="s">
        <v>3</v>
      </c>
      <c r="B106" s="21">
        <v>2015</v>
      </c>
      <c r="C106" s="21" t="s">
        <v>14</v>
      </c>
      <c r="D106" s="21" t="str">
        <f t="shared" si="8"/>
        <v>Nov-15</v>
      </c>
      <c r="E106" s="32">
        <v>42309</v>
      </c>
      <c r="F106" s="21" t="s">
        <v>84</v>
      </c>
      <c r="G106" s="21">
        <v>125.4</v>
      </c>
      <c r="H106" s="21">
        <v>130.30000000000001</v>
      </c>
      <c r="I106" s="21">
        <v>121.6</v>
      </c>
      <c r="J106" s="21">
        <v>129.19999999999999</v>
      </c>
      <c r="K106" s="21">
        <v>114.9</v>
      </c>
      <c r="L106" s="21">
        <v>128.19999999999999</v>
      </c>
      <c r="M106" s="21">
        <v>158.4</v>
      </c>
      <c r="N106" s="21">
        <v>171.2</v>
      </c>
      <c r="O106" s="21">
        <v>93.3</v>
      </c>
      <c r="P106" s="21">
        <v>131.19999999999999</v>
      </c>
      <c r="Q106" s="21">
        <v>121.7</v>
      </c>
      <c r="R106" s="21">
        <v>134</v>
      </c>
      <c r="S106" s="21">
        <v>132.69999999999999</v>
      </c>
      <c r="T106" s="21">
        <v>133.6</v>
      </c>
      <c r="U106" s="21">
        <v>129.30000000000001</v>
      </c>
      <c r="V106" s="21">
        <v>124.5</v>
      </c>
      <c r="W106" s="21">
        <v>128.6</v>
      </c>
      <c r="X106" s="21">
        <v>122.9</v>
      </c>
      <c r="Y106" s="21">
        <v>121.6</v>
      </c>
      <c r="Z106" s="21">
        <v>123.4</v>
      </c>
      <c r="AA106" s="21">
        <v>120.9</v>
      </c>
      <c r="AB106" s="21">
        <v>111.5</v>
      </c>
      <c r="AC106" s="21">
        <v>119.2</v>
      </c>
      <c r="AD106" s="21">
        <v>126.3</v>
      </c>
      <c r="AE106" s="21">
        <v>113.8</v>
      </c>
      <c r="AF106" s="21">
        <v>118.1</v>
      </c>
      <c r="AG106" s="21">
        <v>126.6</v>
      </c>
      <c r="AH106" s="28">
        <f t="shared" si="9"/>
        <v>3157.2</v>
      </c>
      <c r="AI106" s="28">
        <f t="shared" si="10"/>
        <v>477.4</v>
      </c>
      <c r="AJ106" s="28">
        <f t="shared" si="11"/>
        <v>253.8</v>
      </c>
      <c r="AK106" s="28">
        <f t="shared" si="12"/>
        <v>246.3</v>
      </c>
      <c r="AL106" s="28">
        <f t="shared" si="13"/>
        <v>1825.6999999999998</v>
      </c>
      <c r="AM106" s="28">
        <f t="shared" si="14"/>
        <v>119.35</v>
      </c>
      <c r="AN106" s="28">
        <f t="shared" si="15"/>
        <v>123.15</v>
      </c>
      <c r="AO106" s="29">
        <v>130.40714285714284</v>
      </c>
    </row>
    <row r="107" spans="1:41" x14ac:dyDescent="0.3">
      <c r="A107" s="27" t="s">
        <v>0</v>
      </c>
      <c r="B107" s="20">
        <v>2015</v>
      </c>
      <c r="C107" s="20" t="s">
        <v>15</v>
      </c>
      <c r="D107" s="21" t="str">
        <f t="shared" si="8"/>
        <v>Dec-15</v>
      </c>
      <c r="E107" s="33">
        <v>42339</v>
      </c>
      <c r="F107" s="20" t="s">
        <v>84</v>
      </c>
      <c r="G107" s="20">
        <v>126.3</v>
      </c>
      <c r="H107" s="20">
        <v>131.30000000000001</v>
      </c>
      <c r="I107" s="20">
        <v>123.3</v>
      </c>
      <c r="J107" s="20">
        <v>129.80000000000001</v>
      </c>
      <c r="K107" s="20">
        <v>118.3</v>
      </c>
      <c r="L107" s="20">
        <v>131.6</v>
      </c>
      <c r="M107" s="20">
        <v>145.5</v>
      </c>
      <c r="N107" s="20">
        <v>162.1</v>
      </c>
      <c r="O107" s="20">
        <v>95.4</v>
      </c>
      <c r="P107" s="20">
        <v>128.9</v>
      </c>
      <c r="Q107" s="20">
        <v>123.3</v>
      </c>
      <c r="R107" s="20">
        <v>135.1</v>
      </c>
      <c r="S107" s="20">
        <v>131.4</v>
      </c>
      <c r="T107" s="20">
        <v>133.1</v>
      </c>
      <c r="U107" s="20">
        <v>132.5</v>
      </c>
      <c r="V107" s="20">
        <v>128.5</v>
      </c>
      <c r="W107" s="20">
        <v>131.9</v>
      </c>
      <c r="X107" s="30">
        <f>'Handle missing value sheet only'!$C$1</f>
        <v>139.27096774193564</v>
      </c>
      <c r="Y107" s="20">
        <v>125.7</v>
      </c>
      <c r="Z107" s="20">
        <v>126</v>
      </c>
      <c r="AA107" s="20">
        <v>123.1</v>
      </c>
      <c r="AB107" s="20">
        <v>114</v>
      </c>
      <c r="AC107" s="20">
        <v>121.6</v>
      </c>
      <c r="AD107" s="20">
        <v>125.6</v>
      </c>
      <c r="AE107" s="20">
        <v>114.1</v>
      </c>
      <c r="AF107" s="20">
        <v>119.8</v>
      </c>
      <c r="AG107" s="20">
        <v>127.9</v>
      </c>
      <c r="AH107" s="28">
        <f t="shared" si="9"/>
        <v>3185.5709677419359</v>
      </c>
      <c r="AI107" s="28">
        <f t="shared" si="10"/>
        <v>481.1</v>
      </c>
      <c r="AJ107" s="28">
        <f t="shared" si="11"/>
        <v>261</v>
      </c>
      <c r="AK107" s="28">
        <f t="shared" si="12"/>
        <v>265.27096774193564</v>
      </c>
      <c r="AL107" s="28">
        <f t="shared" si="13"/>
        <v>1815.4</v>
      </c>
      <c r="AM107" s="28">
        <f t="shared" si="14"/>
        <v>120.27500000000001</v>
      </c>
      <c r="AN107" s="28">
        <f t="shared" si="15"/>
        <v>132.63548387096782</v>
      </c>
      <c r="AO107" s="31">
        <v>129.67142857142858</v>
      </c>
    </row>
    <row r="108" spans="1:41" x14ac:dyDescent="0.3">
      <c r="A108" s="26" t="s">
        <v>2</v>
      </c>
      <c r="B108" s="21">
        <v>2015</v>
      </c>
      <c r="C108" s="21" t="s">
        <v>15</v>
      </c>
      <c r="D108" s="21" t="str">
        <f t="shared" si="8"/>
        <v>Dec-15</v>
      </c>
      <c r="E108" s="32">
        <v>42339</v>
      </c>
      <c r="F108" s="21" t="s">
        <v>84</v>
      </c>
      <c r="G108" s="21">
        <v>124.3</v>
      </c>
      <c r="H108" s="21">
        <v>131.69999999999999</v>
      </c>
      <c r="I108" s="21">
        <v>127.1</v>
      </c>
      <c r="J108" s="21">
        <v>128.6</v>
      </c>
      <c r="K108" s="21">
        <v>110</v>
      </c>
      <c r="L108" s="21">
        <v>120.8</v>
      </c>
      <c r="M108" s="21">
        <v>149</v>
      </c>
      <c r="N108" s="21">
        <v>190.1</v>
      </c>
      <c r="O108" s="21">
        <v>92.7</v>
      </c>
      <c r="P108" s="21">
        <v>138.6</v>
      </c>
      <c r="Q108" s="21">
        <v>120.2</v>
      </c>
      <c r="R108" s="21">
        <v>134.19999999999999</v>
      </c>
      <c r="S108" s="21">
        <v>131.5</v>
      </c>
      <c r="T108" s="21">
        <v>138.19999999999999</v>
      </c>
      <c r="U108" s="21">
        <v>125.4</v>
      </c>
      <c r="V108" s="21">
        <v>119.5</v>
      </c>
      <c r="W108" s="21">
        <v>124.5</v>
      </c>
      <c r="X108" s="21">
        <v>122.4</v>
      </c>
      <c r="Y108" s="21">
        <v>116</v>
      </c>
      <c r="Z108" s="21">
        <v>121</v>
      </c>
      <c r="AA108" s="21">
        <v>118.6</v>
      </c>
      <c r="AB108" s="21">
        <v>109.3</v>
      </c>
      <c r="AC108" s="21">
        <v>118.1</v>
      </c>
      <c r="AD108" s="21">
        <v>126.6</v>
      </c>
      <c r="AE108" s="21">
        <v>113.2</v>
      </c>
      <c r="AF108" s="21">
        <v>116.7</v>
      </c>
      <c r="AG108" s="21">
        <v>124</v>
      </c>
      <c r="AH108" s="28">
        <f t="shared" si="9"/>
        <v>3143.7999999999993</v>
      </c>
      <c r="AI108" s="28">
        <f t="shared" si="10"/>
        <v>474.6</v>
      </c>
      <c r="AJ108" s="28">
        <f t="shared" si="11"/>
        <v>244.9</v>
      </c>
      <c r="AK108" s="28">
        <f t="shared" si="12"/>
        <v>243.4</v>
      </c>
      <c r="AL108" s="28">
        <f t="shared" si="13"/>
        <v>1837</v>
      </c>
      <c r="AM108" s="28">
        <f t="shared" si="14"/>
        <v>118.65</v>
      </c>
      <c r="AN108" s="28">
        <f t="shared" si="15"/>
        <v>121.7</v>
      </c>
      <c r="AO108" s="29">
        <v>131.21428571428572</v>
      </c>
    </row>
    <row r="109" spans="1:41" x14ac:dyDescent="0.3">
      <c r="A109" s="27" t="s">
        <v>3</v>
      </c>
      <c r="B109" s="20">
        <v>2015</v>
      </c>
      <c r="C109" s="20" t="s">
        <v>15</v>
      </c>
      <c r="D109" s="21" t="str">
        <f t="shared" si="8"/>
        <v>Dec-15</v>
      </c>
      <c r="E109" s="33">
        <v>42339</v>
      </c>
      <c r="F109" s="20" t="s">
        <v>84</v>
      </c>
      <c r="G109" s="20">
        <v>125.7</v>
      </c>
      <c r="H109" s="20">
        <v>131.4</v>
      </c>
      <c r="I109" s="20">
        <v>124.8</v>
      </c>
      <c r="J109" s="20">
        <v>129.4</v>
      </c>
      <c r="K109" s="20">
        <v>115.3</v>
      </c>
      <c r="L109" s="20">
        <v>126.6</v>
      </c>
      <c r="M109" s="20">
        <v>146.69999999999999</v>
      </c>
      <c r="N109" s="20">
        <v>171.5</v>
      </c>
      <c r="O109" s="20">
        <v>94.5</v>
      </c>
      <c r="P109" s="20">
        <v>132.1</v>
      </c>
      <c r="Q109" s="20">
        <v>122</v>
      </c>
      <c r="R109" s="20">
        <v>134.69999999999999</v>
      </c>
      <c r="S109" s="20">
        <v>131.4</v>
      </c>
      <c r="T109" s="20">
        <v>134.5</v>
      </c>
      <c r="U109" s="20">
        <v>129.69999999999999</v>
      </c>
      <c r="V109" s="20">
        <v>124.8</v>
      </c>
      <c r="W109" s="20">
        <v>129</v>
      </c>
      <c r="X109" s="20">
        <v>122.4</v>
      </c>
      <c r="Y109" s="20">
        <v>122</v>
      </c>
      <c r="Z109" s="20">
        <v>123.6</v>
      </c>
      <c r="AA109" s="20">
        <v>121.4</v>
      </c>
      <c r="AB109" s="20">
        <v>111.5</v>
      </c>
      <c r="AC109" s="20">
        <v>119.6</v>
      </c>
      <c r="AD109" s="20">
        <v>126.2</v>
      </c>
      <c r="AE109" s="20">
        <v>113.7</v>
      </c>
      <c r="AF109" s="20">
        <v>118.3</v>
      </c>
      <c r="AG109" s="20">
        <v>126.1</v>
      </c>
      <c r="AH109" s="28">
        <f t="shared" si="9"/>
        <v>3153.8</v>
      </c>
      <c r="AI109" s="28">
        <f t="shared" si="10"/>
        <v>477.79999999999995</v>
      </c>
      <c r="AJ109" s="28">
        <f t="shared" si="11"/>
        <v>254.5</v>
      </c>
      <c r="AK109" s="28">
        <f t="shared" si="12"/>
        <v>246</v>
      </c>
      <c r="AL109" s="28">
        <f t="shared" si="13"/>
        <v>1820.6000000000001</v>
      </c>
      <c r="AM109" s="28">
        <f t="shared" si="14"/>
        <v>119.44999999999999</v>
      </c>
      <c r="AN109" s="28">
        <f t="shared" si="15"/>
        <v>123</v>
      </c>
      <c r="AO109" s="31">
        <v>130.04285714285714</v>
      </c>
    </row>
    <row r="110" spans="1:41" x14ac:dyDescent="0.3">
      <c r="A110" s="26" t="s">
        <v>0</v>
      </c>
      <c r="B110" s="21">
        <v>2016</v>
      </c>
      <c r="C110" s="21" t="s">
        <v>1</v>
      </c>
      <c r="D110" s="21" t="str">
        <f t="shared" si="8"/>
        <v>Jan-16</v>
      </c>
      <c r="E110" s="32">
        <v>42370</v>
      </c>
      <c r="F110" s="21" t="s">
        <v>84</v>
      </c>
      <c r="G110" s="21">
        <v>126.8</v>
      </c>
      <c r="H110" s="21">
        <v>133.19999999999999</v>
      </c>
      <c r="I110" s="21">
        <v>126.5</v>
      </c>
      <c r="J110" s="21">
        <v>130.30000000000001</v>
      </c>
      <c r="K110" s="21">
        <v>118.9</v>
      </c>
      <c r="L110" s="21">
        <v>131.6</v>
      </c>
      <c r="M110" s="21">
        <v>140.1</v>
      </c>
      <c r="N110" s="21">
        <v>163.80000000000001</v>
      </c>
      <c r="O110" s="21">
        <v>97.7</v>
      </c>
      <c r="P110" s="21">
        <v>129.6</v>
      </c>
      <c r="Q110" s="21">
        <v>124.3</v>
      </c>
      <c r="R110" s="21">
        <v>135.9</v>
      </c>
      <c r="S110" s="21">
        <v>131.4</v>
      </c>
      <c r="T110" s="21">
        <v>133.6</v>
      </c>
      <c r="U110" s="21">
        <v>133.19999999999999</v>
      </c>
      <c r="V110" s="21">
        <v>128.9</v>
      </c>
      <c r="W110" s="21">
        <v>132.6</v>
      </c>
      <c r="X110" s="28">
        <f>'Handle missing value sheet only'!$C$1</f>
        <v>139.27096774193564</v>
      </c>
      <c r="Y110" s="21">
        <v>126.2</v>
      </c>
      <c r="Z110" s="21">
        <v>126.6</v>
      </c>
      <c r="AA110" s="21">
        <v>123.7</v>
      </c>
      <c r="AB110" s="21">
        <v>113.6</v>
      </c>
      <c r="AC110" s="21">
        <v>121.4</v>
      </c>
      <c r="AD110" s="21">
        <v>126.2</v>
      </c>
      <c r="AE110" s="21">
        <v>114.9</v>
      </c>
      <c r="AF110" s="21">
        <v>120.1</v>
      </c>
      <c r="AG110" s="21">
        <v>128.1</v>
      </c>
      <c r="AH110" s="28">
        <f t="shared" si="9"/>
        <v>3197.7709677419357</v>
      </c>
      <c r="AI110" s="28">
        <f t="shared" si="10"/>
        <v>482.6</v>
      </c>
      <c r="AJ110" s="28">
        <f t="shared" si="11"/>
        <v>262.10000000000002</v>
      </c>
      <c r="AK110" s="28">
        <f t="shared" si="12"/>
        <v>265.8709677419356</v>
      </c>
      <c r="AL110" s="28">
        <f t="shared" si="13"/>
        <v>1823.7</v>
      </c>
      <c r="AM110" s="28">
        <f t="shared" si="14"/>
        <v>120.65</v>
      </c>
      <c r="AN110" s="28">
        <f t="shared" si="15"/>
        <v>132.9354838709678</v>
      </c>
      <c r="AO110" s="29">
        <v>130.26428571428571</v>
      </c>
    </row>
    <row r="111" spans="1:41" x14ac:dyDescent="0.3">
      <c r="A111" s="27" t="s">
        <v>2</v>
      </c>
      <c r="B111" s="20">
        <v>2016</v>
      </c>
      <c r="C111" s="20" t="s">
        <v>1</v>
      </c>
      <c r="D111" s="21" t="str">
        <f t="shared" si="8"/>
        <v>Jan-16</v>
      </c>
      <c r="E111" s="33">
        <v>42370</v>
      </c>
      <c r="F111" s="20" t="s">
        <v>84</v>
      </c>
      <c r="G111" s="20">
        <v>124.7</v>
      </c>
      <c r="H111" s="20">
        <v>135.9</v>
      </c>
      <c r="I111" s="20">
        <v>132</v>
      </c>
      <c r="J111" s="20">
        <v>129.19999999999999</v>
      </c>
      <c r="K111" s="20">
        <v>109.7</v>
      </c>
      <c r="L111" s="20">
        <v>119</v>
      </c>
      <c r="M111" s="20">
        <v>144.1</v>
      </c>
      <c r="N111" s="20">
        <v>184.2</v>
      </c>
      <c r="O111" s="20">
        <v>96.7</v>
      </c>
      <c r="P111" s="20">
        <v>139.5</v>
      </c>
      <c r="Q111" s="20">
        <v>120.5</v>
      </c>
      <c r="R111" s="20">
        <v>134.69999999999999</v>
      </c>
      <c r="S111" s="20">
        <v>131.19999999999999</v>
      </c>
      <c r="T111" s="20">
        <v>139.5</v>
      </c>
      <c r="U111" s="20">
        <v>125.8</v>
      </c>
      <c r="V111" s="20">
        <v>119.8</v>
      </c>
      <c r="W111" s="20">
        <v>124.9</v>
      </c>
      <c r="X111" s="20">
        <v>123.4</v>
      </c>
      <c r="Y111" s="20">
        <v>116.9</v>
      </c>
      <c r="Z111" s="20">
        <v>121.6</v>
      </c>
      <c r="AA111" s="20">
        <v>119.1</v>
      </c>
      <c r="AB111" s="20">
        <v>108.9</v>
      </c>
      <c r="AC111" s="20">
        <v>118.5</v>
      </c>
      <c r="AD111" s="20">
        <v>126.4</v>
      </c>
      <c r="AE111" s="20">
        <v>114</v>
      </c>
      <c r="AF111" s="20">
        <v>116.8</v>
      </c>
      <c r="AG111" s="20">
        <v>124.2</v>
      </c>
      <c r="AH111" s="28">
        <f t="shared" si="9"/>
        <v>3152.1</v>
      </c>
      <c r="AI111" s="28">
        <f t="shared" si="10"/>
        <v>475.70000000000005</v>
      </c>
      <c r="AJ111" s="28">
        <f t="shared" si="11"/>
        <v>245.6</v>
      </c>
      <c r="AK111" s="28">
        <f t="shared" si="12"/>
        <v>245</v>
      </c>
      <c r="AL111" s="28">
        <f t="shared" si="13"/>
        <v>1840.9</v>
      </c>
      <c r="AM111" s="28">
        <f t="shared" si="14"/>
        <v>118.92500000000001</v>
      </c>
      <c r="AN111" s="28">
        <f t="shared" si="15"/>
        <v>122.5</v>
      </c>
      <c r="AO111" s="31">
        <v>131.49285714285716</v>
      </c>
    </row>
    <row r="112" spans="1:41" x14ac:dyDescent="0.3">
      <c r="A112" s="26" t="s">
        <v>3</v>
      </c>
      <c r="B112" s="21">
        <v>2016</v>
      </c>
      <c r="C112" s="21" t="s">
        <v>1</v>
      </c>
      <c r="D112" s="21" t="str">
        <f t="shared" si="8"/>
        <v>Jan-16</v>
      </c>
      <c r="E112" s="32">
        <v>42370</v>
      </c>
      <c r="F112" s="21" t="s">
        <v>84</v>
      </c>
      <c r="G112" s="21">
        <v>126.1</v>
      </c>
      <c r="H112" s="21">
        <v>134.1</v>
      </c>
      <c r="I112" s="21">
        <v>128.6</v>
      </c>
      <c r="J112" s="21">
        <v>129.9</v>
      </c>
      <c r="K112" s="21">
        <v>115.5</v>
      </c>
      <c r="L112" s="21">
        <v>125.7</v>
      </c>
      <c r="M112" s="21">
        <v>141.5</v>
      </c>
      <c r="N112" s="21">
        <v>170.7</v>
      </c>
      <c r="O112" s="21">
        <v>97.4</v>
      </c>
      <c r="P112" s="21">
        <v>132.9</v>
      </c>
      <c r="Q112" s="21">
        <v>122.7</v>
      </c>
      <c r="R112" s="21">
        <v>135.30000000000001</v>
      </c>
      <c r="S112" s="21">
        <v>131.30000000000001</v>
      </c>
      <c r="T112" s="21">
        <v>135.19999999999999</v>
      </c>
      <c r="U112" s="21">
        <v>130.30000000000001</v>
      </c>
      <c r="V112" s="21">
        <v>125.1</v>
      </c>
      <c r="W112" s="21">
        <v>129.5</v>
      </c>
      <c r="X112" s="21">
        <v>123.4</v>
      </c>
      <c r="Y112" s="21">
        <v>122.7</v>
      </c>
      <c r="Z112" s="21">
        <v>124.2</v>
      </c>
      <c r="AA112" s="21">
        <v>122</v>
      </c>
      <c r="AB112" s="21">
        <v>111.1</v>
      </c>
      <c r="AC112" s="21">
        <v>119.8</v>
      </c>
      <c r="AD112" s="21">
        <v>126.3</v>
      </c>
      <c r="AE112" s="21">
        <v>114.5</v>
      </c>
      <c r="AF112" s="21">
        <v>118.5</v>
      </c>
      <c r="AG112" s="21">
        <v>126.3</v>
      </c>
      <c r="AH112" s="28">
        <f t="shared" si="9"/>
        <v>3164.8</v>
      </c>
      <c r="AI112" s="28">
        <f t="shared" si="10"/>
        <v>479.1</v>
      </c>
      <c r="AJ112" s="28">
        <f t="shared" si="11"/>
        <v>255.4</v>
      </c>
      <c r="AK112" s="28">
        <f t="shared" si="12"/>
        <v>247.60000000000002</v>
      </c>
      <c r="AL112" s="28">
        <f t="shared" si="13"/>
        <v>1826.9</v>
      </c>
      <c r="AM112" s="28">
        <f t="shared" si="14"/>
        <v>119.77500000000001</v>
      </c>
      <c r="AN112" s="28">
        <f t="shared" si="15"/>
        <v>123.80000000000001</v>
      </c>
      <c r="AO112" s="29">
        <v>130.49285714285716</v>
      </c>
    </row>
    <row r="113" spans="1:41" x14ac:dyDescent="0.3">
      <c r="A113" s="27" t="s">
        <v>0</v>
      </c>
      <c r="B113" s="20">
        <v>2016</v>
      </c>
      <c r="C113" s="20" t="s">
        <v>4</v>
      </c>
      <c r="D113" s="21" t="str">
        <f t="shared" si="8"/>
        <v>Feb-16</v>
      </c>
      <c r="E113" s="33">
        <v>42401</v>
      </c>
      <c r="F113" s="20" t="s">
        <v>84</v>
      </c>
      <c r="G113" s="20">
        <v>127.1</v>
      </c>
      <c r="H113" s="20">
        <v>133.69999999999999</v>
      </c>
      <c r="I113" s="20">
        <v>127.7</v>
      </c>
      <c r="J113" s="20">
        <v>130.69999999999999</v>
      </c>
      <c r="K113" s="20">
        <v>118.5</v>
      </c>
      <c r="L113" s="20">
        <v>130.4</v>
      </c>
      <c r="M113" s="20">
        <v>130.9</v>
      </c>
      <c r="N113" s="20">
        <v>162.80000000000001</v>
      </c>
      <c r="O113" s="20">
        <v>98.7</v>
      </c>
      <c r="P113" s="20">
        <v>130.6</v>
      </c>
      <c r="Q113" s="20">
        <v>124.8</v>
      </c>
      <c r="R113" s="20">
        <v>136.4</v>
      </c>
      <c r="S113" s="20">
        <v>130.30000000000001</v>
      </c>
      <c r="T113" s="20">
        <v>134.4</v>
      </c>
      <c r="U113" s="20">
        <v>133.9</v>
      </c>
      <c r="V113" s="20">
        <v>129.80000000000001</v>
      </c>
      <c r="W113" s="20">
        <v>133.4</v>
      </c>
      <c r="X113" s="30">
        <f>'Handle missing value sheet only'!$C$1</f>
        <v>139.27096774193564</v>
      </c>
      <c r="Y113" s="20">
        <v>127.5</v>
      </c>
      <c r="Z113" s="20">
        <v>127.1</v>
      </c>
      <c r="AA113" s="20">
        <v>124.3</v>
      </c>
      <c r="AB113" s="20">
        <v>113.9</v>
      </c>
      <c r="AC113" s="20">
        <v>122.3</v>
      </c>
      <c r="AD113" s="20">
        <v>127.1</v>
      </c>
      <c r="AE113" s="20">
        <v>116.8</v>
      </c>
      <c r="AF113" s="20">
        <v>120.9</v>
      </c>
      <c r="AG113" s="20">
        <v>127.9</v>
      </c>
      <c r="AH113" s="28">
        <f t="shared" si="9"/>
        <v>3199.8709677419365</v>
      </c>
      <c r="AI113" s="28">
        <f t="shared" si="10"/>
        <v>487.09999999999997</v>
      </c>
      <c r="AJ113" s="28">
        <f t="shared" si="11"/>
        <v>263.70000000000005</v>
      </c>
      <c r="AK113" s="28">
        <f t="shared" si="12"/>
        <v>266.3709677419356</v>
      </c>
      <c r="AL113" s="28">
        <f t="shared" si="13"/>
        <v>1817</v>
      </c>
      <c r="AM113" s="28">
        <f t="shared" si="14"/>
        <v>121.77499999999999</v>
      </c>
      <c r="AN113" s="28">
        <f t="shared" si="15"/>
        <v>133.1854838709678</v>
      </c>
      <c r="AO113" s="31">
        <v>129.78571428571428</v>
      </c>
    </row>
    <row r="114" spans="1:41" x14ac:dyDescent="0.3">
      <c r="A114" s="26" t="s">
        <v>2</v>
      </c>
      <c r="B114" s="21">
        <v>2016</v>
      </c>
      <c r="C114" s="21" t="s">
        <v>4</v>
      </c>
      <c r="D114" s="21" t="str">
        <f t="shared" si="8"/>
        <v>Feb-16</v>
      </c>
      <c r="E114" s="32">
        <v>42401</v>
      </c>
      <c r="F114" s="21" t="s">
        <v>84</v>
      </c>
      <c r="G114" s="21">
        <v>124.8</v>
      </c>
      <c r="H114" s="21">
        <v>135.1</v>
      </c>
      <c r="I114" s="21">
        <v>130.30000000000001</v>
      </c>
      <c r="J114" s="21">
        <v>129.6</v>
      </c>
      <c r="K114" s="21">
        <v>108.4</v>
      </c>
      <c r="L114" s="21">
        <v>118.6</v>
      </c>
      <c r="M114" s="21">
        <v>129.19999999999999</v>
      </c>
      <c r="N114" s="21">
        <v>176.4</v>
      </c>
      <c r="O114" s="21">
        <v>99.1</v>
      </c>
      <c r="P114" s="21">
        <v>139.69999999999999</v>
      </c>
      <c r="Q114" s="21">
        <v>120.6</v>
      </c>
      <c r="R114" s="21">
        <v>135.19999999999999</v>
      </c>
      <c r="S114" s="21">
        <v>129.1</v>
      </c>
      <c r="T114" s="21">
        <v>140</v>
      </c>
      <c r="U114" s="21">
        <v>126.2</v>
      </c>
      <c r="V114" s="21">
        <v>120.1</v>
      </c>
      <c r="W114" s="21">
        <v>125.3</v>
      </c>
      <c r="X114" s="21">
        <v>124.4</v>
      </c>
      <c r="Y114" s="21">
        <v>116</v>
      </c>
      <c r="Z114" s="21">
        <v>121.8</v>
      </c>
      <c r="AA114" s="21">
        <v>119.5</v>
      </c>
      <c r="AB114" s="21">
        <v>109.1</v>
      </c>
      <c r="AC114" s="21">
        <v>118.8</v>
      </c>
      <c r="AD114" s="21">
        <v>126.3</v>
      </c>
      <c r="AE114" s="21">
        <v>116.2</v>
      </c>
      <c r="AF114" s="21">
        <v>117.2</v>
      </c>
      <c r="AG114" s="21">
        <v>123.8</v>
      </c>
      <c r="AH114" s="28">
        <f t="shared" si="9"/>
        <v>3131.6999999999989</v>
      </c>
      <c r="AI114" s="28">
        <f t="shared" si="10"/>
        <v>478.5</v>
      </c>
      <c r="AJ114" s="28">
        <f t="shared" si="11"/>
        <v>246.3</v>
      </c>
      <c r="AK114" s="28">
        <f t="shared" si="12"/>
        <v>246.2</v>
      </c>
      <c r="AL114" s="28">
        <f t="shared" si="13"/>
        <v>1816.1</v>
      </c>
      <c r="AM114" s="28">
        <f t="shared" si="14"/>
        <v>119.625</v>
      </c>
      <c r="AN114" s="28">
        <f t="shared" si="15"/>
        <v>123.1</v>
      </c>
      <c r="AO114" s="29">
        <v>129.72142857142856</v>
      </c>
    </row>
    <row r="115" spans="1:41" x14ac:dyDescent="0.3">
      <c r="A115" s="27" t="s">
        <v>3</v>
      </c>
      <c r="B115" s="20">
        <v>2016</v>
      </c>
      <c r="C115" s="20" t="s">
        <v>4</v>
      </c>
      <c r="D115" s="21" t="str">
        <f t="shared" si="8"/>
        <v>Feb-16</v>
      </c>
      <c r="E115" s="33">
        <v>42401</v>
      </c>
      <c r="F115" s="20" t="s">
        <v>84</v>
      </c>
      <c r="G115" s="20">
        <v>126.4</v>
      </c>
      <c r="H115" s="20">
        <v>134.19999999999999</v>
      </c>
      <c r="I115" s="20">
        <v>128.69999999999999</v>
      </c>
      <c r="J115" s="20">
        <v>130.30000000000001</v>
      </c>
      <c r="K115" s="20">
        <v>114.8</v>
      </c>
      <c r="L115" s="20">
        <v>124.9</v>
      </c>
      <c r="M115" s="20">
        <v>130.30000000000001</v>
      </c>
      <c r="N115" s="20">
        <v>167.4</v>
      </c>
      <c r="O115" s="20">
        <v>98.8</v>
      </c>
      <c r="P115" s="20">
        <v>133.6</v>
      </c>
      <c r="Q115" s="20">
        <v>123</v>
      </c>
      <c r="R115" s="20">
        <v>135.80000000000001</v>
      </c>
      <c r="S115" s="20">
        <v>129.9</v>
      </c>
      <c r="T115" s="20">
        <v>135.9</v>
      </c>
      <c r="U115" s="20">
        <v>130.9</v>
      </c>
      <c r="V115" s="20">
        <v>125.8</v>
      </c>
      <c r="W115" s="20">
        <v>130.19999999999999</v>
      </c>
      <c r="X115" s="20">
        <v>124.4</v>
      </c>
      <c r="Y115" s="20">
        <v>123.1</v>
      </c>
      <c r="Z115" s="20">
        <v>124.6</v>
      </c>
      <c r="AA115" s="20">
        <v>122.5</v>
      </c>
      <c r="AB115" s="20">
        <v>111.4</v>
      </c>
      <c r="AC115" s="20">
        <v>120.3</v>
      </c>
      <c r="AD115" s="20">
        <v>126.6</v>
      </c>
      <c r="AE115" s="20">
        <v>116.6</v>
      </c>
      <c r="AF115" s="20">
        <v>119.1</v>
      </c>
      <c r="AG115" s="20">
        <v>126</v>
      </c>
      <c r="AH115" s="28">
        <f t="shared" si="9"/>
        <v>3159.3000000000006</v>
      </c>
      <c r="AI115" s="28">
        <f t="shared" si="10"/>
        <v>482.59999999999997</v>
      </c>
      <c r="AJ115" s="28">
        <f t="shared" si="11"/>
        <v>256.7</v>
      </c>
      <c r="AK115" s="28">
        <f t="shared" si="12"/>
        <v>249</v>
      </c>
      <c r="AL115" s="28">
        <f t="shared" si="13"/>
        <v>1814</v>
      </c>
      <c r="AM115" s="28">
        <f t="shared" si="14"/>
        <v>120.64999999999999</v>
      </c>
      <c r="AN115" s="28">
        <f t="shared" si="15"/>
        <v>124.5</v>
      </c>
      <c r="AO115" s="31">
        <v>129.57142857142858</v>
      </c>
    </row>
    <row r="116" spans="1:41" x14ac:dyDescent="0.3">
      <c r="A116" s="26" t="s">
        <v>0</v>
      </c>
      <c r="B116" s="21">
        <v>2016</v>
      </c>
      <c r="C116" s="21" t="s">
        <v>5</v>
      </c>
      <c r="D116" s="21" t="str">
        <f t="shared" si="8"/>
        <v>Mar-16</v>
      </c>
      <c r="E116" s="32">
        <v>42430</v>
      </c>
      <c r="F116" s="21" t="s">
        <v>84</v>
      </c>
      <c r="G116" s="21">
        <v>127.3</v>
      </c>
      <c r="H116" s="21">
        <v>134.4</v>
      </c>
      <c r="I116" s="21">
        <v>125.1</v>
      </c>
      <c r="J116" s="21">
        <v>130.5</v>
      </c>
      <c r="K116" s="21">
        <v>118.3</v>
      </c>
      <c r="L116" s="21">
        <v>131.69999999999999</v>
      </c>
      <c r="M116" s="21">
        <v>130.69999999999999</v>
      </c>
      <c r="N116" s="21">
        <v>161.19999999999999</v>
      </c>
      <c r="O116" s="21">
        <v>100.4</v>
      </c>
      <c r="P116" s="21">
        <v>130.80000000000001</v>
      </c>
      <c r="Q116" s="21">
        <v>124.9</v>
      </c>
      <c r="R116" s="21">
        <v>137</v>
      </c>
      <c r="S116" s="21">
        <v>130.4</v>
      </c>
      <c r="T116" s="21">
        <v>135</v>
      </c>
      <c r="U116" s="21">
        <v>134.4</v>
      </c>
      <c r="V116" s="21">
        <v>130.19999999999999</v>
      </c>
      <c r="W116" s="21">
        <v>133.80000000000001</v>
      </c>
      <c r="X116" s="28">
        <f>'Handle missing value sheet only'!$C$1</f>
        <v>139.27096774193564</v>
      </c>
      <c r="Y116" s="21">
        <v>127</v>
      </c>
      <c r="Z116" s="21">
        <v>127.7</v>
      </c>
      <c r="AA116" s="21">
        <v>124.8</v>
      </c>
      <c r="AB116" s="21">
        <v>113.6</v>
      </c>
      <c r="AC116" s="21">
        <v>122.5</v>
      </c>
      <c r="AD116" s="21">
        <v>127.5</v>
      </c>
      <c r="AE116" s="21">
        <v>117.4</v>
      </c>
      <c r="AF116" s="21">
        <v>121.1</v>
      </c>
      <c r="AG116" s="21">
        <v>128</v>
      </c>
      <c r="AH116" s="28">
        <f t="shared" si="9"/>
        <v>3203.1709677419358</v>
      </c>
      <c r="AI116" s="28">
        <f t="shared" si="10"/>
        <v>488.5</v>
      </c>
      <c r="AJ116" s="28">
        <f t="shared" si="11"/>
        <v>264.60000000000002</v>
      </c>
      <c r="AK116" s="28">
        <f t="shared" si="12"/>
        <v>266.97096774193562</v>
      </c>
      <c r="AL116" s="28">
        <f t="shared" si="13"/>
        <v>1817.7000000000003</v>
      </c>
      <c r="AM116" s="28">
        <f t="shared" si="14"/>
        <v>122.125</v>
      </c>
      <c r="AN116" s="28">
        <f t="shared" si="15"/>
        <v>133.48548387096781</v>
      </c>
      <c r="AO116" s="29">
        <v>129.83571428571432</v>
      </c>
    </row>
    <row r="117" spans="1:41" x14ac:dyDescent="0.3">
      <c r="A117" s="27" t="s">
        <v>2</v>
      </c>
      <c r="B117" s="20">
        <v>2016</v>
      </c>
      <c r="C117" s="20" t="s">
        <v>5</v>
      </c>
      <c r="D117" s="21" t="str">
        <f t="shared" si="8"/>
        <v>Mar-16</v>
      </c>
      <c r="E117" s="33">
        <v>42430</v>
      </c>
      <c r="F117" s="20" t="s">
        <v>84</v>
      </c>
      <c r="G117" s="20">
        <v>124.8</v>
      </c>
      <c r="H117" s="20">
        <v>136.30000000000001</v>
      </c>
      <c r="I117" s="20">
        <v>123.7</v>
      </c>
      <c r="J117" s="20">
        <v>129.69999999999999</v>
      </c>
      <c r="K117" s="20">
        <v>107.9</v>
      </c>
      <c r="L117" s="20">
        <v>119.9</v>
      </c>
      <c r="M117" s="20">
        <v>128.1</v>
      </c>
      <c r="N117" s="20">
        <v>170.3</v>
      </c>
      <c r="O117" s="20">
        <v>101.8</v>
      </c>
      <c r="P117" s="20">
        <v>140.1</v>
      </c>
      <c r="Q117" s="20">
        <v>120.7</v>
      </c>
      <c r="R117" s="20">
        <v>135.4</v>
      </c>
      <c r="S117" s="20">
        <v>128.9</v>
      </c>
      <c r="T117" s="20">
        <v>140.6</v>
      </c>
      <c r="U117" s="20">
        <v>126.4</v>
      </c>
      <c r="V117" s="20">
        <v>120.3</v>
      </c>
      <c r="W117" s="20">
        <v>125.5</v>
      </c>
      <c r="X117" s="20">
        <v>124.9</v>
      </c>
      <c r="Y117" s="20">
        <v>114.8</v>
      </c>
      <c r="Z117" s="20">
        <v>122.3</v>
      </c>
      <c r="AA117" s="20">
        <v>119.7</v>
      </c>
      <c r="AB117" s="20">
        <v>108.5</v>
      </c>
      <c r="AC117" s="20">
        <v>119.1</v>
      </c>
      <c r="AD117" s="20">
        <v>126.4</v>
      </c>
      <c r="AE117" s="20">
        <v>117.1</v>
      </c>
      <c r="AF117" s="20">
        <v>117.3</v>
      </c>
      <c r="AG117" s="20">
        <v>123.8</v>
      </c>
      <c r="AH117" s="28">
        <f t="shared" si="9"/>
        <v>3125.0000000000005</v>
      </c>
      <c r="AI117" s="28">
        <f t="shared" si="10"/>
        <v>479.9</v>
      </c>
      <c r="AJ117" s="28">
        <f t="shared" si="11"/>
        <v>246.7</v>
      </c>
      <c r="AK117" s="28">
        <f t="shared" si="12"/>
        <v>247.2</v>
      </c>
      <c r="AL117" s="28">
        <f t="shared" si="13"/>
        <v>1808.2</v>
      </c>
      <c r="AM117" s="28">
        <f t="shared" si="14"/>
        <v>119.97499999999999</v>
      </c>
      <c r="AN117" s="28">
        <f t="shared" si="15"/>
        <v>123.6</v>
      </c>
      <c r="AO117" s="31">
        <v>129.15714285714287</v>
      </c>
    </row>
    <row r="118" spans="1:41" x14ac:dyDescent="0.3">
      <c r="A118" s="26" t="s">
        <v>3</v>
      </c>
      <c r="B118" s="21">
        <v>2016</v>
      </c>
      <c r="C118" s="21" t="s">
        <v>5</v>
      </c>
      <c r="D118" s="21" t="str">
        <f t="shared" si="8"/>
        <v>Mar-16</v>
      </c>
      <c r="E118" s="32">
        <v>42430</v>
      </c>
      <c r="F118" s="21" t="s">
        <v>84</v>
      </c>
      <c r="G118" s="21">
        <v>126.5</v>
      </c>
      <c r="H118" s="21">
        <v>135.1</v>
      </c>
      <c r="I118" s="21">
        <v>124.6</v>
      </c>
      <c r="J118" s="21">
        <v>130.19999999999999</v>
      </c>
      <c r="K118" s="21">
        <v>114.5</v>
      </c>
      <c r="L118" s="21">
        <v>126.2</v>
      </c>
      <c r="M118" s="21">
        <v>129.80000000000001</v>
      </c>
      <c r="N118" s="21">
        <v>164.3</v>
      </c>
      <c r="O118" s="21">
        <v>100.9</v>
      </c>
      <c r="P118" s="21">
        <v>133.9</v>
      </c>
      <c r="Q118" s="21">
        <v>123.1</v>
      </c>
      <c r="R118" s="21">
        <v>136.30000000000001</v>
      </c>
      <c r="S118" s="21">
        <v>129.80000000000001</v>
      </c>
      <c r="T118" s="21">
        <v>136.5</v>
      </c>
      <c r="U118" s="21">
        <v>131.30000000000001</v>
      </c>
      <c r="V118" s="21">
        <v>126.1</v>
      </c>
      <c r="W118" s="21">
        <v>130.5</v>
      </c>
      <c r="X118" s="21">
        <v>124.9</v>
      </c>
      <c r="Y118" s="21">
        <v>122.4</v>
      </c>
      <c r="Z118" s="21">
        <v>125.1</v>
      </c>
      <c r="AA118" s="21">
        <v>122.9</v>
      </c>
      <c r="AB118" s="21">
        <v>110.9</v>
      </c>
      <c r="AC118" s="21">
        <v>120.6</v>
      </c>
      <c r="AD118" s="21">
        <v>126.9</v>
      </c>
      <c r="AE118" s="21">
        <v>117.3</v>
      </c>
      <c r="AF118" s="21">
        <v>119.3</v>
      </c>
      <c r="AG118" s="21">
        <v>126</v>
      </c>
      <c r="AH118" s="28">
        <f t="shared" si="9"/>
        <v>3159.4000000000005</v>
      </c>
      <c r="AI118" s="28">
        <f t="shared" si="10"/>
        <v>484.1</v>
      </c>
      <c r="AJ118" s="28">
        <f t="shared" si="11"/>
        <v>257.39999999999998</v>
      </c>
      <c r="AK118" s="28">
        <f t="shared" si="12"/>
        <v>250</v>
      </c>
      <c r="AL118" s="28">
        <f t="shared" si="13"/>
        <v>1811.7</v>
      </c>
      <c r="AM118" s="28">
        <f t="shared" si="14"/>
        <v>121.02500000000001</v>
      </c>
      <c r="AN118" s="28">
        <f t="shared" si="15"/>
        <v>125</v>
      </c>
      <c r="AO118" s="29">
        <v>129.40714285714287</v>
      </c>
    </row>
    <row r="119" spans="1:41" x14ac:dyDescent="0.3">
      <c r="A119" s="27" t="s">
        <v>0</v>
      </c>
      <c r="B119" s="20">
        <v>2016</v>
      </c>
      <c r="C119" s="20" t="s">
        <v>6</v>
      </c>
      <c r="D119" s="21" t="str">
        <f t="shared" si="8"/>
        <v>Apr-16</v>
      </c>
      <c r="E119" s="33">
        <v>42461</v>
      </c>
      <c r="F119" s="20" t="s">
        <v>84</v>
      </c>
      <c r="G119" s="20">
        <v>127.4</v>
      </c>
      <c r="H119" s="20">
        <v>135.4</v>
      </c>
      <c r="I119" s="20">
        <v>123.4</v>
      </c>
      <c r="J119" s="20">
        <v>131.30000000000001</v>
      </c>
      <c r="K119" s="20">
        <v>118.2</v>
      </c>
      <c r="L119" s="20">
        <v>138.1</v>
      </c>
      <c r="M119" s="20">
        <v>134.1</v>
      </c>
      <c r="N119" s="20">
        <v>162.69999999999999</v>
      </c>
      <c r="O119" s="20">
        <v>105</v>
      </c>
      <c r="P119" s="20">
        <v>131.4</v>
      </c>
      <c r="Q119" s="20">
        <v>125.4</v>
      </c>
      <c r="R119" s="20">
        <v>137.4</v>
      </c>
      <c r="S119" s="20">
        <v>131.80000000000001</v>
      </c>
      <c r="T119" s="20">
        <v>135.5</v>
      </c>
      <c r="U119" s="20">
        <v>135</v>
      </c>
      <c r="V119" s="20">
        <v>130.6</v>
      </c>
      <c r="W119" s="20">
        <v>134.4</v>
      </c>
      <c r="X119" s="30">
        <f>'Handle missing value sheet only'!$C$1</f>
        <v>139.27096774193564</v>
      </c>
      <c r="Y119" s="20">
        <v>127</v>
      </c>
      <c r="Z119" s="20">
        <v>128</v>
      </c>
      <c r="AA119" s="20">
        <v>125.2</v>
      </c>
      <c r="AB119" s="20">
        <v>114.4</v>
      </c>
      <c r="AC119" s="20">
        <v>123.2</v>
      </c>
      <c r="AD119" s="20">
        <v>127.9</v>
      </c>
      <c r="AE119" s="20">
        <v>118.4</v>
      </c>
      <c r="AF119" s="20">
        <v>121.7</v>
      </c>
      <c r="AG119" s="20">
        <v>129</v>
      </c>
      <c r="AH119" s="28">
        <f t="shared" si="9"/>
        <v>3227.7709677419361</v>
      </c>
      <c r="AI119" s="28">
        <f t="shared" si="10"/>
        <v>491.2</v>
      </c>
      <c r="AJ119" s="28">
        <f t="shared" si="11"/>
        <v>265.60000000000002</v>
      </c>
      <c r="AK119" s="28">
        <f t="shared" si="12"/>
        <v>267.27096774193564</v>
      </c>
      <c r="AL119" s="28">
        <f t="shared" si="13"/>
        <v>1837.1000000000004</v>
      </c>
      <c r="AM119" s="28">
        <f t="shared" si="14"/>
        <v>122.8</v>
      </c>
      <c r="AN119" s="28">
        <f t="shared" si="15"/>
        <v>133.63548387096782</v>
      </c>
      <c r="AO119" s="31">
        <v>131.22142857142859</v>
      </c>
    </row>
    <row r="120" spans="1:41" x14ac:dyDescent="0.3">
      <c r="A120" s="26" t="s">
        <v>2</v>
      </c>
      <c r="B120" s="21">
        <v>2016</v>
      </c>
      <c r="C120" s="21" t="s">
        <v>6</v>
      </c>
      <c r="D120" s="21" t="str">
        <f t="shared" si="8"/>
        <v>Apr-16</v>
      </c>
      <c r="E120" s="32">
        <v>42461</v>
      </c>
      <c r="F120" s="21" t="s">
        <v>84</v>
      </c>
      <c r="G120" s="21">
        <v>124.9</v>
      </c>
      <c r="H120" s="21">
        <v>139.30000000000001</v>
      </c>
      <c r="I120" s="21">
        <v>119.9</v>
      </c>
      <c r="J120" s="21">
        <v>130.19999999999999</v>
      </c>
      <c r="K120" s="21">
        <v>108.9</v>
      </c>
      <c r="L120" s="21">
        <v>131.1</v>
      </c>
      <c r="M120" s="21">
        <v>136.80000000000001</v>
      </c>
      <c r="N120" s="21">
        <v>176.9</v>
      </c>
      <c r="O120" s="21">
        <v>109.1</v>
      </c>
      <c r="P120" s="21">
        <v>140.4</v>
      </c>
      <c r="Q120" s="21">
        <v>121.1</v>
      </c>
      <c r="R120" s="21">
        <v>135.9</v>
      </c>
      <c r="S120" s="21">
        <v>131.80000000000001</v>
      </c>
      <c r="T120" s="21">
        <v>141.5</v>
      </c>
      <c r="U120" s="21">
        <v>126.8</v>
      </c>
      <c r="V120" s="21">
        <v>120.5</v>
      </c>
      <c r="W120" s="21">
        <v>125.8</v>
      </c>
      <c r="X120" s="21">
        <v>125.6</v>
      </c>
      <c r="Y120" s="21">
        <v>114.6</v>
      </c>
      <c r="Z120" s="21">
        <v>122.8</v>
      </c>
      <c r="AA120" s="21">
        <v>120</v>
      </c>
      <c r="AB120" s="21">
        <v>110</v>
      </c>
      <c r="AC120" s="21">
        <v>119.5</v>
      </c>
      <c r="AD120" s="21">
        <v>127.6</v>
      </c>
      <c r="AE120" s="21">
        <v>117.6</v>
      </c>
      <c r="AF120" s="21">
        <v>118.2</v>
      </c>
      <c r="AG120" s="21">
        <v>125.3</v>
      </c>
      <c r="AH120" s="28">
        <f t="shared" si="9"/>
        <v>3171.0000000000005</v>
      </c>
      <c r="AI120" s="28">
        <f t="shared" si="10"/>
        <v>482.9</v>
      </c>
      <c r="AJ120" s="28">
        <f t="shared" si="11"/>
        <v>247.3</v>
      </c>
      <c r="AK120" s="28">
        <f t="shared" si="12"/>
        <v>248.39999999999998</v>
      </c>
      <c r="AL120" s="28">
        <f t="shared" si="13"/>
        <v>1847.8</v>
      </c>
      <c r="AM120" s="28">
        <f t="shared" si="14"/>
        <v>120.72499999999999</v>
      </c>
      <c r="AN120" s="28">
        <f t="shared" si="15"/>
        <v>124.19999999999999</v>
      </c>
      <c r="AO120" s="29">
        <v>131.98571428571429</v>
      </c>
    </row>
    <row r="121" spans="1:41" x14ac:dyDescent="0.3">
      <c r="A121" s="27" t="s">
        <v>3</v>
      </c>
      <c r="B121" s="20">
        <v>2016</v>
      </c>
      <c r="C121" s="20" t="s">
        <v>6</v>
      </c>
      <c r="D121" s="21" t="str">
        <f t="shared" si="8"/>
        <v>Apr-16</v>
      </c>
      <c r="E121" s="33">
        <v>42461</v>
      </c>
      <c r="F121" s="20" t="s">
        <v>84</v>
      </c>
      <c r="G121" s="20">
        <v>126.6</v>
      </c>
      <c r="H121" s="20">
        <v>136.80000000000001</v>
      </c>
      <c r="I121" s="20">
        <v>122</v>
      </c>
      <c r="J121" s="20">
        <v>130.9</v>
      </c>
      <c r="K121" s="20">
        <v>114.8</v>
      </c>
      <c r="L121" s="20">
        <v>134.80000000000001</v>
      </c>
      <c r="M121" s="20">
        <v>135</v>
      </c>
      <c r="N121" s="20">
        <v>167.5</v>
      </c>
      <c r="O121" s="20">
        <v>106.4</v>
      </c>
      <c r="P121" s="20">
        <v>134.4</v>
      </c>
      <c r="Q121" s="20">
        <v>123.6</v>
      </c>
      <c r="R121" s="20">
        <v>136.69999999999999</v>
      </c>
      <c r="S121" s="20">
        <v>131.80000000000001</v>
      </c>
      <c r="T121" s="20">
        <v>137.1</v>
      </c>
      <c r="U121" s="20">
        <v>131.80000000000001</v>
      </c>
      <c r="V121" s="20">
        <v>126.4</v>
      </c>
      <c r="W121" s="20">
        <v>131</v>
      </c>
      <c r="X121" s="20">
        <v>125.6</v>
      </c>
      <c r="Y121" s="20">
        <v>122.3</v>
      </c>
      <c r="Z121" s="20">
        <v>125.5</v>
      </c>
      <c r="AA121" s="20">
        <v>123.2</v>
      </c>
      <c r="AB121" s="20">
        <v>112.1</v>
      </c>
      <c r="AC121" s="20">
        <v>121.1</v>
      </c>
      <c r="AD121" s="20">
        <v>127.7</v>
      </c>
      <c r="AE121" s="20">
        <v>118.1</v>
      </c>
      <c r="AF121" s="20">
        <v>120</v>
      </c>
      <c r="AG121" s="20">
        <v>127.3</v>
      </c>
      <c r="AH121" s="28">
        <f t="shared" si="9"/>
        <v>3192.2000000000003</v>
      </c>
      <c r="AI121" s="28">
        <f t="shared" si="10"/>
        <v>486.9</v>
      </c>
      <c r="AJ121" s="28">
        <f t="shared" si="11"/>
        <v>258.20000000000005</v>
      </c>
      <c r="AK121" s="28">
        <f t="shared" si="12"/>
        <v>251.1</v>
      </c>
      <c r="AL121" s="28">
        <f t="shared" si="13"/>
        <v>1838.3999999999999</v>
      </c>
      <c r="AM121" s="28">
        <f t="shared" si="14"/>
        <v>121.72499999999999</v>
      </c>
      <c r="AN121" s="28">
        <f t="shared" si="15"/>
        <v>125.55</v>
      </c>
      <c r="AO121" s="31">
        <v>131.31428571428572</v>
      </c>
    </row>
    <row r="122" spans="1:41" x14ac:dyDescent="0.3">
      <c r="A122" s="26" t="s">
        <v>0</v>
      </c>
      <c r="B122" s="21">
        <v>2016</v>
      </c>
      <c r="C122" s="21" t="s">
        <v>7</v>
      </c>
      <c r="D122" s="21" t="str">
        <f t="shared" si="8"/>
        <v>May-16</v>
      </c>
      <c r="E122" s="32">
        <v>42491</v>
      </c>
      <c r="F122" s="21" t="s">
        <v>84</v>
      </c>
      <c r="G122" s="21">
        <v>127.6</v>
      </c>
      <c r="H122" s="21">
        <v>137.5</v>
      </c>
      <c r="I122" s="21">
        <v>124.4</v>
      </c>
      <c r="J122" s="21">
        <v>132.4</v>
      </c>
      <c r="K122" s="21">
        <v>118.2</v>
      </c>
      <c r="L122" s="21">
        <v>138.1</v>
      </c>
      <c r="M122" s="21">
        <v>141.80000000000001</v>
      </c>
      <c r="N122" s="21">
        <v>166</v>
      </c>
      <c r="O122" s="21">
        <v>107.5</v>
      </c>
      <c r="P122" s="21">
        <v>132.19999999999999</v>
      </c>
      <c r="Q122" s="21">
        <v>126.1</v>
      </c>
      <c r="R122" s="21">
        <v>138.30000000000001</v>
      </c>
      <c r="S122" s="21">
        <v>133.6</v>
      </c>
      <c r="T122" s="21">
        <v>136</v>
      </c>
      <c r="U122" s="21">
        <v>135.4</v>
      </c>
      <c r="V122" s="21">
        <v>131.1</v>
      </c>
      <c r="W122" s="21">
        <v>134.80000000000001</v>
      </c>
      <c r="X122" s="28">
        <f>'Handle missing value sheet only'!$C$1</f>
        <v>139.27096774193564</v>
      </c>
      <c r="Y122" s="21">
        <v>127.4</v>
      </c>
      <c r="Z122" s="21">
        <v>128.5</v>
      </c>
      <c r="AA122" s="21">
        <v>125.8</v>
      </c>
      <c r="AB122" s="21">
        <v>115.1</v>
      </c>
      <c r="AC122" s="21">
        <v>123.6</v>
      </c>
      <c r="AD122" s="21">
        <v>129.1</v>
      </c>
      <c r="AE122" s="21">
        <v>119.7</v>
      </c>
      <c r="AF122" s="21">
        <v>122.5</v>
      </c>
      <c r="AG122" s="21">
        <v>130.30000000000001</v>
      </c>
      <c r="AH122" s="28">
        <f t="shared" si="9"/>
        <v>3257.1709677419358</v>
      </c>
      <c r="AI122" s="28">
        <f t="shared" si="10"/>
        <v>494.9</v>
      </c>
      <c r="AJ122" s="28">
        <f t="shared" si="11"/>
        <v>266.5</v>
      </c>
      <c r="AK122" s="28">
        <f t="shared" si="12"/>
        <v>267.77096774193564</v>
      </c>
      <c r="AL122" s="28">
        <f t="shared" si="13"/>
        <v>1859.6999999999998</v>
      </c>
      <c r="AM122" s="28">
        <f t="shared" si="14"/>
        <v>123.72499999999999</v>
      </c>
      <c r="AN122" s="28">
        <f t="shared" si="15"/>
        <v>133.88548387096782</v>
      </c>
      <c r="AO122" s="29">
        <v>132.83571428571426</v>
      </c>
    </row>
    <row r="123" spans="1:41" x14ac:dyDescent="0.3">
      <c r="A123" s="27" t="s">
        <v>2</v>
      </c>
      <c r="B123" s="20">
        <v>2016</v>
      </c>
      <c r="C123" s="20" t="s">
        <v>7</v>
      </c>
      <c r="D123" s="21" t="str">
        <f t="shared" si="8"/>
        <v>May-16</v>
      </c>
      <c r="E123" s="33">
        <v>42491</v>
      </c>
      <c r="F123" s="20" t="s">
        <v>84</v>
      </c>
      <c r="G123" s="20">
        <v>125</v>
      </c>
      <c r="H123" s="20">
        <v>142.1</v>
      </c>
      <c r="I123" s="20">
        <v>127</v>
      </c>
      <c r="J123" s="20">
        <v>130.4</v>
      </c>
      <c r="K123" s="20">
        <v>109.6</v>
      </c>
      <c r="L123" s="20">
        <v>133.5</v>
      </c>
      <c r="M123" s="20">
        <v>151.4</v>
      </c>
      <c r="N123" s="20">
        <v>182.8</v>
      </c>
      <c r="O123" s="20">
        <v>111.1</v>
      </c>
      <c r="P123" s="20">
        <v>141.5</v>
      </c>
      <c r="Q123" s="20">
        <v>121.5</v>
      </c>
      <c r="R123" s="20">
        <v>136.30000000000001</v>
      </c>
      <c r="S123" s="20">
        <v>134.6</v>
      </c>
      <c r="T123" s="20">
        <v>142.19999999999999</v>
      </c>
      <c r="U123" s="20">
        <v>127.2</v>
      </c>
      <c r="V123" s="20">
        <v>120.7</v>
      </c>
      <c r="W123" s="20">
        <v>126.2</v>
      </c>
      <c r="X123" s="20">
        <v>126</v>
      </c>
      <c r="Y123" s="20">
        <v>115</v>
      </c>
      <c r="Z123" s="20">
        <v>123.2</v>
      </c>
      <c r="AA123" s="20">
        <v>120.3</v>
      </c>
      <c r="AB123" s="20">
        <v>110.7</v>
      </c>
      <c r="AC123" s="20">
        <v>119.8</v>
      </c>
      <c r="AD123" s="20">
        <v>128</v>
      </c>
      <c r="AE123" s="20">
        <v>118.5</v>
      </c>
      <c r="AF123" s="20">
        <v>118.7</v>
      </c>
      <c r="AG123" s="20">
        <v>126.6</v>
      </c>
      <c r="AH123" s="28">
        <f t="shared" si="9"/>
        <v>3217.0999999999995</v>
      </c>
      <c r="AI123" s="28">
        <f t="shared" si="10"/>
        <v>485</v>
      </c>
      <c r="AJ123" s="28">
        <f t="shared" si="11"/>
        <v>247.9</v>
      </c>
      <c r="AK123" s="28">
        <f t="shared" si="12"/>
        <v>249.2</v>
      </c>
      <c r="AL123" s="28">
        <f t="shared" si="13"/>
        <v>1888.9999999999998</v>
      </c>
      <c r="AM123" s="28">
        <f t="shared" si="14"/>
        <v>121.25</v>
      </c>
      <c r="AN123" s="28">
        <f t="shared" si="15"/>
        <v>124.6</v>
      </c>
      <c r="AO123" s="31">
        <v>134.92857142857142</v>
      </c>
    </row>
    <row r="124" spans="1:41" x14ac:dyDescent="0.3">
      <c r="A124" s="26" t="s">
        <v>3</v>
      </c>
      <c r="B124" s="21">
        <v>2016</v>
      </c>
      <c r="C124" s="21" t="s">
        <v>7</v>
      </c>
      <c r="D124" s="21" t="str">
        <f t="shared" si="8"/>
        <v>May-16</v>
      </c>
      <c r="E124" s="32">
        <v>42491</v>
      </c>
      <c r="F124" s="21" t="s">
        <v>84</v>
      </c>
      <c r="G124" s="21">
        <v>126.8</v>
      </c>
      <c r="H124" s="21">
        <v>139.1</v>
      </c>
      <c r="I124" s="21">
        <v>125.4</v>
      </c>
      <c r="J124" s="21">
        <v>131.69999999999999</v>
      </c>
      <c r="K124" s="21">
        <v>115</v>
      </c>
      <c r="L124" s="21">
        <v>136</v>
      </c>
      <c r="M124" s="21">
        <v>145.1</v>
      </c>
      <c r="N124" s="21">
        <v>171.7</v>
      </c>
      <c r="O124" s="21">
        <v>108.7</v>
      </c>
      <c r="P124" s="21">
        <v>135.30000000000001</v>
      </c>
      <c r="Q124" s="21">
        <v>124.2</v>
      </c>
      <c r="R124" s="21">
        <v>137.4</v>
      </c>
      <c r="S124" s="21">
        <v>134</v>
      </c>
      <c r="T124" s="21">
        <v>137.69999999999999</v>
      </c>
      <c r="U124" s="21">
        <v>132.19999999999999</v>
      </c>
      <c r="V124" s="21">
        <v>126.8</v>
      </c>
      <c r="W124" s="21">
        <v>131.4</v>
      </c>
      <c r="X124" s="21">
        <v>126</v>
      </c>
      <c r="Y124" s="21">
        <v>122.7</v>
      </c>
      <c r="Z124" s="21">
        <v>126</v>
      </c>
      <c r="AA124" s="21">
        <v>123.7</v>
      </c>
      <c r="AB124" s="21">
        <v>112.8</v>
      </c>
      <c r="AC124" s="21">
        <v>121.5</v>
      </c>
      <c r="AD124" s="21">
        <v>128.5</v>
      </c>
      <c r="AE124" s="21">
        <v>119.2</v>
      </c>
      <c r="AF124" s="21">
        <v>120.7</v>
      </c>
      <c r="AG124" s="21">
        <v>128.6</v>
      </c>
      <c r="AH124" s="28">
        <f t="shared" si="9"/>
        <v>3228.1999999999994</v>
      </c>
      <c r="AI124" s="28">
        <f t="shared" si="10"/>
        <v>489.9</v>
      </c>
      <c r="AJ124" s="28">
        <f t="shared" si="11"/>
        <v>259</v>
      </c>
      <c r="AK124" s="28">
        <f t="shared" si="12"/>
        <v>252</v>
      </c>
      <c r="AL124" s="28">
        <f t="shared" si="13"/>
        <v>1868.1000000000001</v>
      </c>
      <c r="AM124" s="28">
        <f t="shared" si="14"/>
        <v>122.47499999999999</v>
      </c>
      <c r="AN124" s="28">
        <f t="shared" si="15"/>
        <v>126</v>
      </c>
      <c r="AO124" s="29">
        <v>133.43571428571428</v>
      </c>
    </row>
    <row r="125" spans="1:41" x14ac:dyDescent="0.3">
      <c r="A125" s="27" t="s">
        <v>0</v>
      </c>
      <c r="B125" s="20">
        <v>2016</v>
      </c>
      <c r="C125" s="20" t="s">
        <v>8</v>
      </c>
      <c r="D125" s="21" t="str">
        <f t="shared" si="8"/>
        <v>Jun-16</v>
      </c>
      <c r="E125" s="33">
        <v>42522</v>
      </c>
      <c r="F125" s="20" t="s">
        <v>84</v>
      </c>
      <c r="G125" s="20">
        <v>128.6</v>
      </c>
      <c r="H125" s="20">
        <v>138.6</v>
      </c>
      <c r="I125" s="20">
        <v>126.6</v>
      </c>
      <c r="J125" s="20">
        <v>133.6</v>
      </c>
      <c r="K125" s="20">
        <v>118.6</v>
      </c>
      <c r="L125" s="20">
        <v>137.4</v>
      </c>
      <c r="M125" s="20">
        <v>152.5</v>
      </c>
      <c r="N125" s="20">
        <v>169.2</v>
      </c>
      <c r="O125" s="20">
        <v>108.8</v>
      </c>
      <c r="P125" s="20">
        <v>133.1</v>
      </c>
      <c r="Q125" s="20">
        <v>126.4</v>
      </c>
      <c r="R125" s="20">
        <v>139.19999999999999</v>
      </c>
      <c r="S125" s="20">
        <v>136</v>
      </c>
      <c r="T125" s="20">
        <v>137.19999999999999</v>
      </c>
      <c r="U125" s="20">
        <v>136.30000000000001</v>
      </c>
      <c r="V125" s="20">
        <v>131.6</v>
      </c>
      <c r="W125" s="20">
        <v>135.6</v>
      </c>
      <c r="X125" s="30">
        <f>'Handle missing value sheet only'!$C$1</f>
        <v>139.27096774193564</v>
      </c>
      <c r="Y125" s="20">
        <v>128</v>
      </c>
      <c r="Z125" s="20">
        <v>129.30000000000001</v>
      </c>
      <c r="AA125" s="20">
        <v>126.2</v>
      </c>
      <c r="AB125" s="20">
        <v>116.3</v>
      </c>
      <c r="AC125" s="20">
        <v>124.1</v>
      </c>
      <c r="AD125" s="20">
        <v>130.19999999999999</v>
      </c>
      <c r="AE125" s="20">
        <v>119.9</v>
      </c>
      <c r="AF125" s="20">
        <v>123.3</v>
      </c>
      <c r="AG125" s="20">
        <v>131.9</v>
      </c>
      <c r="AH125" s="28">
        <f t="shared" si="9"/>
        <v>3290.2709677419348</v>
      </c>
      <c r="AI125" s="28">
        <f t="shared" si="10"/>
        <v>497.5</v>
      </c>
      <c r="AJ125" s="28">
        <f t="shared" si="11"/>
        <v>267.89999999999998</v>
      </c>
      <c r="AK125" s="28">
        <f t="shared" si="12"/>
        <v>268.57096774193565</v>
      </c>
      <c r="AL125" s="28">
        <f t="shared" si="13"/>
        <v>1885.8</v>
      </c>
      <c r="AM125" s="28">
        <f t="shared" si="14"/>
        <v>124.375</v>
      </c>
      <c r="AN125" s="28">
        <f t="shared" si="15"/>
        <v>134.28548387096782</v>
      </c>
      <c r="AO125" s="31">
        <v>134.69999999999999</v>
      </c>
    </row>
    <row r="126" spans="1:41" x14ac:dyDescent="0.3">
      <c r="A126" s="26" t="s">
        <v>2</v>
      </c>
      <c r="B126" s="21">
        <v>2016</v>
      </c>
      <c r="C126" s="21" t="s">
        <v>8</v>
      </c>
      <c r="D126" s="21" t="str">
        <f t="shared" si="8"/>
        <v>Jun-16</v>
      </c>
      <c r="E126" s="32">
        <v>42522</v>
      </c>
      <c r="F126" s="21" t="s">
        <v>84</v>
      </c>
      <c r="G126" s="21">
        <v>125.9</v>
      </c>
      <c r="H126" s="21">
        <v>143.9</v>
      </c>
      <c r="I126" s="21">
        <v>130.9</v>
      </c>
      <c r="J126" s="21">
        <v>131</v>
      </c>
      <c r="K126" s="21">
        <v>110.2</v>
      </c>
      <c r="L126" s="21">
        <v>135.5</v>
      </c>
      <c r="M126" s="21">
        <v>173.7</v>
      </c>
      <c r="N126" s="21">
        <v>184.4</v>
      </c>
      <c r="O126" s="21">
        <v>112</v>
      </c>
      <c r="P126" s="21">
        <v>142.80000000000001</v>
      </c>
      <c r="Q126" s="21">
        <v>121.6</v>
      </c>
      <c r="R126" s="21">
        <v>136.9</v>
      </c>
      <c r="S126" s="21">
        <v>138.19999999999999</v>
      </c>
      <c r="T126" s="21">
        <v>142.69999999999999</v>
      </c>
      <c r="U126" s="21">
        <v>127.6</v>
      </c>
      <c r="V126" s="21">
        <v>121.1</v>
      </c>
      <c r="W126" s="21">
        <v>126.6</v>
      </c>
      <c r="X126" s="21">
        <v>125.5</v>
      </c>
      <c r="Y126" s="21">
        <v>115.5</v>
      </c>
      <c r="Z126" s="21">
        <v>123.2</v>
      </c>
      <c r="AA126" s="21">
        <v>120.6</v>
      </c>
      <c r="AB126" s="21">
        <v>112.3</v>
      </c>
      <c r="AC126" s="21">
        <v>119.9</v>
      </c>
      <c r="AD126" s="21">
        <v>129.30000000000001</v>
      </c>
      <c r="AE126" s="21">
        <v>118.8</v>
      </c>
      <c r="AF126" s="21">
        <v>119.6</v>
      </c>
      <c r="AG126" s="21">
        <v>128.1</v>
      </c>
      <c r="AH126" s="28">
        <f t="shared" si="9"/>
        <v>3263.1</v>
      </c>
      <c r="AI126" s="28">
        <f t="shared" si="10"/>
        <v>487.6</v>
      </c>
      <c r="AJ126" s="28">
        <f t="shared" si="11"/>
        <v>248.7</v>
      </c>
      <c r="AK126" s="28">
        <f t="shared" si="12"/>
        <v>248.7</v>
      </c>
      <c r="AL126" s="28">
        <f t="shared" si="13"/>
        <v>1929.7000000000003</v>
      </c>
      <c r="AM126" s="28">
        <f t="shared" si="14"/>
        <v>121.9</v>
      </c>
      <c r="AN126" s="28">
        <f t="shared" si="15"/>
        <v>124.35</v>
      </c>
      <c r="AO126" s="29">
        <v>137.83571428571432</v>
      </c>
    </row>
    <row r="127" spans="1:41" x14ac:dyDescent="0.3">
      <c r="A127" s="27" t="s">
        <v>3</v>
      </c>
      <c r="B127" s="20">
        <v>2016</v>
      </c>
      <c r="C127" s="20" t="s">
        <v>8</v>
      </c>
      <c r="D127" s="21" t="str">
        <f t="shared" si="8"/>
        <v>Jun-16</v>
      </c>
      <c r="E127" s="33">
        <v>42522</v>
      </c>
      <c r="F127" s="20" t="s">
        <v>84</v>
      </c>
      <c r="G127" s="20">
        <v>127.7</v>
      </c>
      <c r="H127" s="20">
        <v>140.5</v>
      </c>
      <c r="I127" s="20">
        <v>128.30000000000001</v>
      </c>
      <c r="J127" s="20">
        <v>132.6</v>
      </c>
      <c r="K127" s="20">
        <v>115.5</v>
      </c>
      <c r="L127" s="20">
        <v>136.5</v>
      </c>
      <c r="M127" s="20">
        <v>159.69999999999999</v>
      </c>
      <c r="N127" s="20">
        <v>174.3</v>
      </c>
      <c r="O127" s="20">
        <v>109.9</v>
      </c>
      <c r="P127" s="20">
        <v>136.30000000000001</v>
      </c>
      <c r="Q127" s="20">
        <v>124.4</v>
      </c>
      <c r="R127" s="20">
        <v>138.1</v>
      </c>
      <c r="S127" s="20">
        <v>136.80000000000001</v>
      </c>
      <c r="T127" s="20">
        <v>138.69999999999999</v>
      </c>
      <c r="U127" s="20">
        <v>132.9</v>
      </c>
      <c r="V127" s="20">
        <v>127.2</v>
      </c>
      <c r="W127" s="20">
        <v>132</v>
      </c>
      <c r="X127" s="20">
        <v>125.5</v>
      </c>
      <c r="Y127" s="20">
        <v>123.3</v>
      </c>
      <c r="Z127" s="20">
        <v>126.4</v>
      </c>
      <c r="AA127" s="20">
        <v>124.1</v>
      </c>
      <c r="AB127" s="20">
        <v>114.2</v>
      </c>
      <c r="AC127" s="20">
        <v>121.7</v>
      </c>
      <c r="AD127" s="20">
        <v>129.69999999999999</v>
      </c>
      <c r="AE127" s="20">
        <v>119.4</v>
      </c>
      <c r="AF127" s="20">
        <v>121.5</v>
      </c>
      <c r="AG127" s="20">
        <v>130.1</v>
      </c>
      <c r="AH127" s="28">
        <f t="shared" si="9"/>
        <v>3265.2000000000003</v>
      </c>
      <c r="AI127" s="28">
        <f t="shared" si="10"/>
        <v>492.3</v>
      </c>
      <c r="AJ127" s="28">
        <f t="shared" si="11"/>
        <v>260.10000000000002</v>
      </c>
      <c r="AK127" s="28">
        <f t="shared" si="12"/>
        <v>251.9</v>
      </c>
      <c r="AL127" s="28">
        <f t="shared" si="13"/>
        <v>1899.3</v>
      </c>
      <c r="AM127" s="28">
        <f t="shared" si="14"/>
        <v>123.075</v>
      </c>
      <c r="AN127" s="28">
        <f t="shared" si="15"/>
        <v>125.95</v>
      </c>
      <c r="AO127" s="31">
        <v>135.66428571428571</v>
      </c>
    </row>
    <row r="128" spans="1:41" x14ac:dyDescent="0.3">
      <c r="A128" s="26" t="s">
        <v>0</v>
      </c>
      <c r="B128" s="21">
        <v>2016</v>
      </c>
      <c r="C128" s="21" t="s">
        <v>9</v>
      </c>
      <c r="D128" s="21" t="str">
        <f t="shared" si="8"/>
        <v>Jul-16</v>
      </c>
      <c r="E128" s="32">
        <v>42552</v>
      </c>
      <c r="F128" s="21" t="s">
        <v>84</v>
      </c>
      <c r="G128" s="21">
        <v>129.30000000000001</v>
      </c>
      <c r="H128" s="21">
        <v>139.5</v>
      </c>
      <c r="I128" s="21">
        <v>129.6</v>
      </c>
      <c r="J128" s="21">
        <v>134.5</v>
      </c>
      <c r="K128" s="21">
        <v>119.5</v>
      </c>
      <c r="L128" s="21">
        <v>138.5</v>
      </c>
      <c r="M128" s="21">
        <v>158.19999999999999</v>
      </c>
      <c r="N128" s="21">
        <v>171.8</v>
      </c>
      <c r="O128" s="21">
        <v>110.3</v>
      </c>
      <c r="P128" s="21">
        <v>134.30000000000001</v>
      </c>
      <c r="Q128" s="21">
        <v>127.3</v>
      </c>
      <c r="R128" s="21">
        <v>139.9</v>
      </c>
      <c r="S128" s="21">
        <v>137.6</v>
      </c>
      <c r="T128" s="21">
        <v>138</v>
      </c>
      <c r="U128" s="21">
        <v>137.19999999999999</v>
      </c>
      <c r="V128" s="21">
        <v>132.19999999999999</v>
      </c>
      <c r="W128" s="21">
        <v>136.5</v>
      </c>
      <c r="X128" s="28">
        <f>'Handle missing value sheet only'!$C$1</f>
        <v>139.27096774193564</v>
      </c>
      <c r="Y128" s="21">
        <v>128.19999999999999</v>
      </c>
      <c r="Z128" s="21">
        <v>130</v>
      </c>
      <c r="AA128" s="21">
        <v>126.7</v>
      </c>
      <c r="AB128" s="21">
        <v>116.4</v>
      </c>
      <c r="AC128" s="21">
        <v>125.2</v>
      </c>
      <c r="AD128" s="21">
        <v>130.80000000000001</v>
      </c>
      <c r="AE128" s="21">
        <v>120.9</v>
      </c>
      <c r="AF128" s="21">
        <v>123.8</v>
      </c>
      <c r="AG128" s="21">
        <v>133</v>
      </c>
      <c r="AH128" s="28">
        <f t="shared" si="9"/>
        <v>3318.970967741936</v>
      </c>
      <c r="AI128" s="28">
        <f t="shared" si="10"/>
        <v>500.7</v>
      </c>
      <c r="AJ128" s="28">
        <f t="shared" si="11"/>
        <v>269.39999999999998</v>
      </c>
      <c r="AK128" s="28">
        <f t="shared" si="12"/>
        <v>269.27096774193564</v>
      </c>
      <c r="AL128" s="28">
        <f t="shared" si="13"/>
        <v>1908.2999999999997</v>
      </c>
      <c r="AM128" s="28">
        <f t="shared" si="14"/>
        <v>125.175</v>
      </c>
      <c r="AN128" s="28">
        <f t="shared" si="15"/>
        <v>134.63548387096782</v>
      </c>
      <c r="AO128" s="29">
        <v>136.30714285714285</v>
      </c>
    </row>
    <row r="129" spans="1:41" x14ac:dyDescent="0.3">
      <c r="A129" s="27" t="s">
        <v>2</v>
      </c>
      <c r="B129" s="20">
        <v>2016</v>
      </c>
      <c r="C129" s="20" t="s">
        <v>9</v>
      </c>
      <c r="D129" s="21" t="str">
        <f t="shared" si="8"/>
        <v>Jul-16</v>
      </c>
      <c r="E129" s="33">
        <v>42552</v>
      </c>
      <c r="F129" s="20" t="s">
        <v>84</v>
      </c>
      <c r="G129" s="20">
        <v>126.8</v>
      </c>
      <c r="H129" s="20">
        <v>144.19999999999999</v>
      </c>
      <c r="I129" s="20">
        <v>136.6</v>
      </c>
      <c r="J129" s="20">
        <v>131.80000000000001</v>
      </c>
      <c r="K129" s="20">
        <v>111</v>
      </c>
      <c r="L129" s="20">
        <v>137</v>
      </c>
      <c r="M129" s="20">
        <v>179.5</v>
      </c>
      <c r="N129" s="20">
        <v>188.4</v>
      </c>
      <c r="O129" s="20">
        <v>113.3</v>
      </c>
      <c r="P129" s="20">
        <v>143.9</v>
      </c>
      <c r="Q129" s="20">
        <v>121.7</v>
      </c>
      <c r="R129" s="20">
        <v>137.5</v>
      </c>
      <c r="S129" s="20">
        <v>139.80000000000001</v>
      </c>
      <c r="T129" s="20">
        <v>142.9</v>
      </c>
      <c r="U129" s="20">
        <v>127.9</v>
      </c>
      <c r="V129" s="20">
        <v>121.1</v>
      </c>
      <c r="W129" s="20">
        <v>126.9</v>
      </c>
      <c r="X129" s="20">
        <v>126.4</v>
      </c>
      <c r="Y129" s="20">
        <v>115.5</v>
      </c>
      <c r="Z129" s="20">
        <v>123.5</v>
      </c>
      <c r="AA129" s="20">
        <v>120.9</v>
      </c>
      <c r="AB129" s="20">
        <v>111.7</v>
      </c>
      <c r="AC129" s="20">
        <v>120.3</v>
      </c>
      <c r="AD129" s="20">
        <v>130.80000000000001</v>
      </c>
      <c r="AE129" s="20">
        <v>120</v>
      </c>
      <c r="AF129" s="20">
        <v>119.9</v>
      </c>
      <c r="AG129" s="20">
        <v>129</v>
      </c>
      <c r="AH129" s="28">
        <f t="shared" si="9"/>
        <v>3292.4</v>
      </c>
      <c r="AI129" s="28">
        <f t="shared" si="10"/>
        <v>491.00000000000006</v>
      </c>
      <c r="AJ129" s="28">
        <f t="shared" si="11"/>
        <v>249</v>
      </c>
      <c r="AK129" s="28">
        <f t="shared" si="12"/>
        <v>249.9</v>
      </c>
      <c r="AL129" s="28">
        <f t="shared" si="13"/>
        <v>1954.4000000000003</v>
      </c>
      <c r="AM129" s="28">
        <f t="shared" si="14"/>
        <v>122.75000000000001</v>
      </c>
      <c r="AN129" s="28">
        <f t="shared" si="15"/>
        <v>124.95</v>
      </c>
      <c r="AO129" s="31">
        <v>139.60000000000002</v>
      </c>
    </row>
    <row r="130" spans="1:41" x14ac:dyDescent="0.3">
      <c r="A130" s="26" t="s">
        <v>3</v>
      </c>
      <c r="B130" s="21">
        <v>2016</v>
      </c>
      <c r="C130" s="21" t="s">
        <v>9</v>
      </c>
      <c r="D130" s="21" t="str">
        <f t="shared" si="8"/>
        <v>Jul-16</v>
      </c>
      <c r="E130" s="32">
        <v>42552</v>
      </c>
      <c r="F130" s="21" t="s">
        <v>84</v>
      </c>
      <c r="G130" s="21">
        <v>128.5</v>
      </c>
      <c r="H130" s="21">
        <v>141.19999999999999</v>
      </c>
      <c r="I130" s="21">
        <v>132.30000000000001</v>
      </c>
      <c r="J130" s="21">
        <v>133.5</v>
      </c>
      <c r="K130" s="21">
        <v>116.4</v>
      </c>
      <c r="L130" s="21">
        <v>137.80000000000001</v>
      </c>
      <c r="M130" s="21">
        <v>165.4</v>
      </c>
      <c r="N130" s="21">
        <v>177.4</v>
      </c>
      <c r="O130" s="21">
        <v>111.3</v>
      </c>
      <c r="P130" s="21">
        <v>137.5</v>
      </c>
      <c r="Q130" s="21">
        <v>125</v>
      </c>
      <c r="R130" s="21">
        <v>138.80000000000001</v>
      </c>
      <c r="S130" s="21">
        <v>138.4</v>
      </c>
      <c r="T130" s="21">
        <v>139.30000000000001</v>
      </c>
      <c r="U130" s="21">
        <v>133.5</v>
      </c>
      <c r="V130" s="21">
        <v>127.6</v>
      </c>
      <c r="W130" s="21">
        <v>132.69999999999999</v>
      </c>
      <c r="X130" s="21">
        <v>126.4</v>
      </c>
      <c r="Y130" s="21">
        <v>123.4</v>
      </c>
      <c r="Z130" s="21">
        <v>126.9</v>
      </c>
      <c r="AA130" s="21">
        <v>124.5</v>
      </c>
      <c r="AB130" s="21">
        <v>113.9</v>
      </c>
      <c r="AC130" s="21">
        <v>122.4</v>
      </c>
      <c r="AD130" s="21">
        <v>130.80000000000001</v>
      </c>
      <c r="AE130" s="21">
        <v>120.5</v>
      </c>
      <c r="AF130" s="21">
        <v>121.9</v>
      </c>
      <c r="AG130" s="21">
        <v>131.1</v>
      </c>
      <c r="AH130" s="28">
        <f t="shared" si="9"/>
        <v>3294.6000000000008</v>
      </c>
      <c r="AI130" s="28">
        <f t="shared" si="10"/>
        <v>495.6</v>
      </c>
      <c r="AJ130" s="28">
        <f t="shared" si="11"/>
        <v>261.10000000000002</v>
      </c>
      <c r="AK130" s="28">
        <f t="shared" si="12"/>
        <v>253.3</v>
      </c>
      <c r="AL130" s="28">
        <f t="shared" si="13"/>
        <v>1922.8</v>
      </c>
      <c r="AM130" s="28">
        <f t="shared" si="14"/>
        <v>123.9</v>
      </c>
      <c r="AN130" s="28">
        <f t="shared" si="15"/>
        <v>126.65</v>
      </c>
      <c r="AO130" s="29">
        <v>137.34285714285713</v>
      </c>
    </row>
    <row r="131" spans="1:41" x14ac:dyDescent="0.3">
      <c r="A131" s="27" t="s">
        <v>0</v>
      </c>
      <c r="B131" s="20">
        <v>2016</v>
      </c>
      <c r="C131" s="20" t="s">
        <v>10</v>
      </c>
      <c r="D131" s="21" t="str">
        <f t="shared" ref="D131:D194" si="16">TEXT(DATE(B131, MONTH(1&amp;C131), 1), "mmm-yy")</f>
        <v>Aug-16</v>
      </c>
      <c r="E131" s="33">
        <v>42583</v>
      </c>
      <c r="F131" s="20" t="s">
        <v>84</v>
      </c>
      <c r="G131" s="20">
        <v>130.1</v>
      </c>
      <c r="H131" s="20">
        <v>138.80000000000001</v>
      </c>
      <c r="I131" s="20">
        <v>130.30000000000001</v>
      </c>
      <c r="J131" s="20">
        <v>135.30000000000001</v>
      </c>
      <c r="K131" s="20">
        <v>119.9</v>
      </c>
      <c r="L131" s="20">
        <v>140.19999999999999</v>
      </c>
      <c r="M131" s="20">
        <v>156.9</v>
      </c>
      <c r="N131" s="20">
        <v>172.2</v>
      </c>
      <c r="O131" s="20">
        <v>112.1</v>
      </c>
      <c r="P131" s="20">
        <v>134.9</v>
      </c>
      <c r="Q131" s="20">
        <v>128.1</v>
      </c>
      <c r="R131" s="20">
        <v>140.69999999999999</v>
      </c>
      <c r="S131" s="20">
        <v>138</v>
      </c>
      <c r="T131" s="20">
        <v>138.9</v>
      </c>
      <c r="U131" s="20">
        <v>137.80000000000001</v>
      </c>
      <c r="V131" s="20">
        <v>133</v>
      </c>
      <c r="W131" s="20">
        <v>137.1</v>
      </c>
      <c r="X131" s="30">
        <f>'Handle missing value sheet only'!$C$1</f>
        <v>139.27096774193564</v>
      </c>
      <c r="Y131" s="20">
        <v>129.1</v>
      </c>
      <c r="Z131" s="20">
        <v>130.6</v>
      </c>
      <c r="AA131" s="20">
        <v>127</v>
      </c>
      <c r="AB131" s="20">
        <v>116</v>
      </c>
      <c r="AC131" s="20">
        <v>125.5</v>
      </c>
      <c r="AD131" s="20">
        <v>131.9</v>
      </c>
      <c r="AE131" s="20">
        <v>122</v>
      </c>
      <c r="AF131" s="20">
        <v>124.2</v>
      </c>
      <c r="AG131" s="20">
        <v>133.5</v>
      </c>
      <c r="AH131" s="28">
        <f t="shared" ref="AH131:AH194" si="17">SUM(X131:AF131,G131:V131)</f>
        <v>3332.7709677419352</v>
      </c>
      <c r="AI131" s="28">
        <f t="shared" ref="AI131:AI194" si="18">SUM(AF131,AE131,AD131,AC131)</f>
        <v>503.6</v>
      </c>
      <c r="AJ131" s="28">
        <f t="shared" ref="AJ131:AJ194" si="19">SUM(V131,U131)</f>
        <v>270.8</v>
      </c>
      <c r="AK131" s="28">
        <f t="shared" ref="AK131:AK194" si="20">SUM(Z131,X131)</f>
        <v>269.8709677419356</v>
      </c>
      <c r="AL131" s="28">
        <f t="shared" ref="AL131:AL194" si="21">SUM(G131:T131)</f>
        <v>1916.3999999999999</v>
      </c>
      <c r="AM131" s="28">
        <f t="shared" ref="AM131:AM194" si="22">AVERAGE(AF131,AE131,AD131,AC131)</f>
        <v>125.9</v>
      </c>
      <c r="AN131" s="28">
        <f t="shared" ref="AN131:AN194" si="23">AVERAGE(X131,Z131)</f>
        <v>134.9354838709678</v>
      </c>
      <c r="AO131" s="31">
        <v>136.88571428571427</v>
      </c>
    </row>
    <row r="132" spans="1:41" x14ac:dyDescent="0.3">
      <c r="A132" s="26" t="s">
        <v>2</v>
      </c>
      <c r="B132" s="21">
        <v>2016</v>
      </c>
      <c r="C132" s="21" t="s">
        <v>10</v>
      </c>
      <c r="D132" s="21" t="str">
        <f t="shared" si="16"/>
        <v>Aug-16</v>
      </c>
      <c r="E132" s="32">
        <v>42583</v>
      </c>
      <c r="F132" s="21" t="s">
        <v>84</v>
      </c>
      <c r="G132" s="21">
        <v>127.6</v>
      </c>
      <c r="H132" s="21">
        <v>140.30000000000001</v>
      </c>
      <c r="I132" s="21">
        <v>133.69999999999999</v>
      </c>
      <c r="J132" s="21">
        <v>132.19999999999999</v>
      </c>
      <c r="K132" s="21">
        <v>111.8</v>
      </c>
      <c r="L132" s="21">
        <v>135.80000000000001</v>
      </c>
      <c r="M132" s="21">
        <v>163.5</v>
      </c>
      <c r="N132" s="21">
        <v>182.3</v>
      </c>
      <c r="O132" s="21">
        <v>114.6</v>
      </c>
      <c r="P132" s="21">
        <v>144.6</v>
      </c>
      <c r="Q132" s="21">
        <v>121.9</v>
      </c>
      <c r="R132" s="21">
        <v>138.1</v>
      </c>
      <c r="S132" s="21">
        <v>137.6</v>
      </c>
      <c r="T132" s="21">
        <v>143.6</v>
      </c>
      <c r="U132" s="21">
        <v>128.30000000000001</v>
      </c>
      <c r="V132" s="21">
        <v>121.4</v>
      </c>
      <c r="W132" s="21">
        <v>127.3</v>
      </c>
      <c r="X132" s="21">
        <v>127.3</v>
      </c>
      <c r="Y132" s="21">
        <v>114.7</v>
      </c>
      <c r="Z132" s="21">
        <v>123.9</v>
      </c>
      <c r="AA132" s="21">
        <v>121.2</v>
      </c>
      <c r="AB132" s="21">
        <v>110.4</v>
      </c>
      <c r="AC132" s="21">
        <v>120.6</v>
      </c>
      <c r="AD132" s="21">
        <v>131.5</v>
      </c>
      <c r="AE132" s="21">
        <v>120.9</v>
      </c>
      <c r="AF132" s="21">
        <v>119.9</v>
      </c>
      <c r="AG132" s="21">
        <v>128.4</v>
      </c>
      <c r="AH132" s="28">
        <f t="shared" si="17"/>
        <v>3267.7</v>
      </c>
      <c r="AI132" s="28">
        <f t="shared" si="18"/>
        <v>492.9</v>
      </c>
      <c r="AJ132" s="28">
        <f t="shared" si="19"/>
        <v>249.70000000000002</v>
      </c>
      <c r="AK132" s="28">
        <f t="shared" si="20"/>
        <v>251.2</v>
      </c>
      <c r="AL132" s="28">
        <f t="shared" si="21"/>
        <v>1927.5999999999995</v>
      </c>
      <c r="AM132" s="28">
        <f t="shared" si="22"/>
        <v>123.22499999999999</v>
      </c>
      <c r="AN132" s="28">
        <f t="shared" si="23"/>
        <v>125.6</v>
      </c>
      <c r="AO132" s="29">
        <v>137.68571428571425</v>
      </c>
    </row>
    <row r="133" spans="1:41" x14ac:dyDescent="0.3">
      <c r="A133" s="27" t="s">
        <v>3</v>
      </c>
      <c r="B133" s="20">
        <v>2016</v>
      </c>
      <c r="C133" s="20" t="s">
        <v>10</v>
      </c>
      <c r="D133" s="21" t="str">
        <f t="shared" si="16"/>
        <v>Aug-16</v>
      </c>
      <c r="E133" s="33">
        <v>42583</v>
      </c>
      <c r="F133" s="20" t="s">
        <v>84</v>
      </c>
      <c r="G133" s="20">
        <v>129.30000000000001</v>
      </c>
      <c r="H133" s="20">
        <v>139.30000000000001</v>
      </c>
      <c r="I133" s="20">
        <v>131.6</v>
      </c>
      <c r="J133" s="20">
        <v>134.1</v>
      </c>
      <c r="K133" s="20">
        <v>116.9</v>
      </c>
      <c r="L133" s="20">
        <v>138.1</v>
      </c>
      <c r="M133" s="20">
        <v>159.1</v>
      </c>
      <c r="N133" s="20">
        <v>175.6</v>
      </c>
      <c r="O133" s="20">
        <v>112.9</v>
      </c>
      <c r="P133" s="20">
        <v>138.1</v>
      </c>
      <c r="Q133" s="20">
        <v>125.5</v>
      </c>
      <c r="R133" s="20">
        <v>139.5</v>
      </c>
      <c r="S133" s="20">
        <v>137.9</v>
      </c>
      <c r="T133" s="20">
        <v>140.19999999999999</v>
      </c>
      <c r="U133" s="20">
        <v>134.1</v>
      </c>
      <c r="V133" s="20">
        <v>128.19999999999999</v>
      </c>
      <c r="W133" s="20">
        <v>133.19999999999999</v>
      </c>
      <c r="X133" s="20">
        <v>127.3</v>
      </c>
      <c r="Y133" s="20">
        <v>123.6</v>
      </c>
      <c r="Z133" s="20">
        <v>127.4</v>
      </c>
      <c r="AA133" s="20">
        <v>124.8</v>
      </c>
      <c r="AB133" s="20">
        <v>113.1</v>
      </c>
      <c r="AC133" s="20">
        <v>122.7</v>
      </c>
      <c r="AD133" s="20">
        <v>131.69999999999999</v>
      </c>
      <c r="AE133" s="20">
        <v>121.5</v>
      </c>
      <c r="AF133" s="20">
        <v>122.1</v>
      </c>
      <c r="AG133" s="20">
        <v>131.1</v>
      </c>
      <c r="AH133" s="28">
        <f t="shared" si="17"/>
        <v>3294.599999999999</v>
      </c>
      <c r="AI133" s="28">
        <f t="shared" si="18"/>
        <v>497.99999999999994</v>
      </c>
      <c r="AJ133" s="28">
        <f t="shared" si="19"/>
        <v>262.29999999999995</v>
      </c>
      <c r="AK133" s="28">
        <f t="shared" si="20"/>
        <v>254.7</v>
      </c>
      <c r="AL133" s="28">
        <f t="shared" si="21"/>
        <v>1918.1000000000001</v>
      </c>
      <c r="AM133" s="28">
        <f t="shared" si="22"/>
        <v>124.49999999999999</v>
      </c>
      <c r="AN133" s="28">
        <f t="shared" si="23"/>
        <v>127.35</v>
      </c>
      <c r="AO133" s="31">
        <v>137.00714285714287</v>
      </c>
    </row>
    <row r="134" spans="1:41" x14ac:dyDescent="0.3">
      <c r="A134" s="26" t="s">
        <v>0</v>
      </c>
      <c r="B134" s="21">
        <v>2016</v>
      </c>
      <c r="C134" s="21" t="s">
        <v>11</v>
      </c>
      <c r="D134" s="21" t="str">
        <f t="shared" si="16"/>
        <v>Sep-16</v>
      </c>
      <c r="E134" s="32">
        <v>42614</v>
      </c>
      <c r="F134" s="21" t="s">
        <v>84</v>
      </c>
      <c r="G134" s="21">
        <v>130.80000000000001</v>
      </c>
      <c r="H134" s="21">
        <v>138.19999999999999</v>
      </c>
      <c r="I134" s="21">
        <v>130.5</v>
      </c>
      <c r="J134" s="21">
        <v>135.5</v>
      </c>
      <c r="K134" s="21">
        <v>120.2</v>
      </c>
      <c r="L134" s="21">
        <v>139.19999999999999</v>
      </c>
      <c r="M134" s="21">
        <v>149.5</v>
      </c>
      <c r="N134" s="21">
        <v>170.4</v>
      </c>
      <c r="O134" s="21">
        <v>113.1</v>
      </c>
      <c r="P134" s="21">
        <v>135.80000000000001</v>
      </c>
      <c r="Q134" s="21">
        <v>128.80000000000001</v>
      </c>
      <c r="R134" s="21">
        <v>141.5</v>
      </c>
      <c r="S134" s="21">
        <v>137.19999999999999</v>
      </c>
      <c r="T134" s="21">
        <v>139.9</v>
      </c>
      <c r="U134" s="21">
        <v>138.5</v>
      </c>
      <c r="V134" s="21">
        <v>133.5</v>
      </c>
      <c r="W134" s="21">
        <v>137.80000000000001</v>
      </c>
      <c r="X134" s="28">
        <f>'Handle missing value sheet only'!$C$1</f>
        <v>139.27096774193564</v>
      </c>
      <c r="Y134" s="21">
        <v>129.69999999999999</v>
      </c>
      <c r="Z134" s="21">
        <v>131.1</v>
      </c>
      <c r="AA134" s="21">
        <v>127.8</v>
      </c>
      <c r="AB134" s="21">
        <v>117</v>
      </c>
      <c r="AC134" s="21">
        <v>125.7</v>
      </c>
      <c r="AD134" s="21">
        <v>132.19999999999999</v>
      </c>
      <c r="AE134" s="21">
        <v>122.8</v>
      </c>
      <c r="AF134" s="21">
        <v>124.9</v>
      </c>
      <c r="AG134" s="21">
        <v>133.4</v>
      </c>
      <c r="AH134" s="28">
        <f t="shared" si="17"/>
        <v>3333.0709677419359</v>
      </c>
      <c r="AI134" s="28">
        <f t="shared" si="18"/>
        <v>505.59999999999997</v>
      </c>
      <c r="AJ134" s="28">
        <f t="shared" si="19"/>
        <v>272</v>
      </c>
      <c r="AK134" s="28">
        <f t="shared" si="20"/>
        <v>270.3709677419356</v>
      </c>
      <c r="AL134" s="28">
        <f t="shared" si="21"/>
        <v>1910.6000000000001</v>
      </c>
      <c r="AM134" s="28">
        <f t="shared" si="22"/>
        <v>126.39999999999999</v>
      </c>
      <c r="AN134" s="28">
        <f t="shared" si="23"/>
        <v>135.1854838709678</v>
      </c>
      <c r="AO134" s="29">
        <v>136.47142857142859</v>
      </c>
    </row>
    <row r="135" spans="1:41" x14ac:dyDescent="0.3">
      <c r="A135" s="27" t="s">
        <v>2</v>
      </c>
      <c r="B135" s="20">
        <v>2016</v>
      </c>
      <c r="C135" s="20" t="s">
        <v>11</v>
      </c>
      <c r="D135" s="21" t="str">
        <f t="shared" si="16"/>
        <v>Sep-16</v>
      </c>
      <c r="E135" s="33">
        <v>42614</v>
      </c>
      <c r="F135" s="20" t="s">
        <v>84</v>
      </c>
      <c r="G135" s="20">
        <v>128.1</v>
      </c>
      <c r="H135" s="20">
        <v>137.69999999999999</v>
      </c>
      <c r="I135" s="20">
        <v>130.6</v>
      </c>
      <c r="J135" s="20">
        <v>132.6</v>
      </c>
      <c r="K135" s="20">
        <v>111.9</v>
      </c>
      <c r="L135" s="20">
        <v>132.5</v>
      </c>
      <c r="M135" s="20">
        <v>152.9</v>
      </c>
      <c r="N135" s="20">
        <v>173.6</v>
      </c>
      <c r="O135" s="20">
        <v>115.1</v>
      </c>
      <c r="P135" s="20">
        <v>144.80000000000001</v>
      </c>
      <c r="Q135" s="20">
        <v>122.1</v>
      </c>
      <c r="R135" s="20">
        <v>138.80000000000001</v>
      </c>
      <c r="S135" s="20">
        <v>135.69999999999999</v>
      </c>
      <c r="T135" s="20">
        <v>143.9</v>
      </c>
      <c r="U135" s="20">
        <v>128.69999999999999</v>
      </c>
      <c r="V135" s="20">
        <v>121.6</v>
      </c>
      <c r="W135" s="20">
        <v>127.7</v>
      </c>
      <c r="X135" s="20">
        <v>127.9</v>
      </c>
      <c r="Y135" s="20">
        <v>114.8</v>
      </c>
      <c r="Z135" s="20">
        <v>124.3</v>
      </c>
      <c r="AA135" s="20">
        <v>121.4</v>
      </c>
      <c r="AB135" s="20">
        <v>111.8</v>
      </c>
      <c r="AC135" s="20">
        <v>120.8</v>
      </c>
      <c r="AD135" s="20">
        <v>131.6</v>
      </c>
      <c r="AE135" s="20">
        <v>121.2</v>
      </c>
      <c r="AF135" s="20">
        <v>120.5</v>
      </c>
      <c r="AG135" s="20">
        <v>128</v>
      </c>
      <c r="AH135" s="28">
        <f t="shared" si="17"/>
        <v>3244.8999999999996</v>
      </c>
      <c r="AI135" s="28">
        <f t="shared" si="18"/>
        <v>494.09999999999997</v>
      </c>
      <c r="AJ135" s="28">
        <f t="shared" si="19"/>
        <v>250.29999999999998</v>
      </c>
      <c r="AK135" s="28">
        <f t="shared" si="20"/>
        <v>252.2</v>
      </c>
      <c r="AL135" s="28">
        <f t="shared" si="21"/>
        <v>1900.2999999999997</v>
      </c>
      <c r="AM135" s="28">
        <f t="shared" si="22"/>
        <v>123.52499999999999</v>
      </c>
      <c r="AN135" s="28">
        <f t="shared" si="23"/>
        <v>126.1</v>
      </c>
      <c r="AO135" s="31">
        <v>135.73571428571427</v>
      </c>
    </row>
    <row r="136" spans="1:41" x14ac:dyDescent="0.3">
      <c r="A136" s="26" t="s">
        <v>3</v>
      </c>
      <c r="B136" s="21">
        <v>2016</v>
      </c>
      <c r="C136" s="21" t="s">
        <v>11</v>
      </c>
      <c r="D136" s="21" t="str">
        <f t="shared" si="16"/>
        <v>Sep-16</v>
      </c>
      <c r="E136" s="32">
        <v>42614</v>
      </c>
      <c r="F136" s="21" t="s">
        <v>84</v>
      </c>
      <c r="G136" s="21">
        <v>129.9</v>
      </c>
      <c r="H136" s="21">
        <v>138</v>
      </c>
      <c r="I136" s="21">
        <v>130.5</v>
      </c>
      <c r="J136" s="21">
        <v>134.4</v>
      </c>
      <c r="K136" s="21">
        <v>117.2</v>
      </c>
      <c r="L136" s="21">
        <v>136.1</v>
      </c>
      <c r="M136" s="21">
        <v>150.69999999999999</v>
      </c>
      <c r="N136" s="21">
        <v>171.5</v>
      </c>
      <c r="O136" s="21">
        <v>113.8</v>
      </c>
      <c r="P136" s="21">
        <v>138.80000000000001</v>
      </c>
      <c r="Q136" s="21">
        <v>126</v>
      </c>
      <c r="R136" s="21">
        <v>140.19999999999999</v>
      </c>
      <c r="S136" s="21">
        <v>136.6</v>
      </c>
      <c r="T136" s="21">
        <v>141</v>
      </c>
      <c r="U136" s="21">
        <v>134.6</v>
      </c>
      <c r="V136" s="21">
        <v>128.6</v>
      </c>
      <c r="W136" s="21">
        <v>133.80000000000001</v>
      </c>
      <c r="X136" s="21">
        <v>127.9</v>
      </c>
      <c r="Y136" s="21">
        <v>124.1</v>
      </c>
      <c r="Z136" s="21">
        <v>127.9</v>
      </c>
      <c r="AA136" s="21">
        <v>125.4</v>
      </c>
      <c r="AB136" s="21">
        <v>114.3</v>
      </c>
      <c r="AC136" s="21">
        <v>122.9</v>
      </c>
      <c r="AD136" s="21">
        <v>131.80000000000001</v>
      </c>
      <c r="AE136" s="21">
        <v>122.1</v>
      </c>
      <c r="AF136" s="21">
        <v>122.8</v>
      </c>
      <c r="AG136" s="21">
        <v>130.9</v>
      </c>
      <c r="AH136" s="28">
        <f t="shared" si="17"/>
        <v>3287.1</v>
      </c>
      <c r="AI136" s="28">
        <f t="shared" si="18"/>
        <v>499.6</v>
      </c>
      <c r="AJ136" s="28">
        <f t="shared" si="19"/>
        <v>263.2</v>
      </c>
      <c r="AK136" s="28">
        <f t="shared" si="20"/>
        <v>255.8</v>
      </c>
      <c r="AL136" s="28">
        <f t="shared" si="21"/>
        <v>1904.6999999999998</v>
      </c>
      <c r="AM136" s="28">
        <f t="shared" si="22"/>
        <v>124.9</v>
      </c>
      <c r="AN136" s="28">
        <f t="shared" si="23"/>
        <v>127.9</v>
      </c>
      <c r="AO136" s="29">
        <v>136.04999999999998</v>
      </c>
    </row>
    <row r="137" spans="1:41" x14ac:dyDescent="0.3">
      <c r="A137" s="27" t="s">
        <v>0</v>
      </c>
      <c r="B137" s="20">
        <v>2016</v>
      </c>
      <c r="C137" s="20" t="s">
        <v>12</v>
      </c>
      <c r="D137" s="21" t="str">
        <f t="shared" si="16"/>
        <v>Oct-16</v>
      </c>
      <c r="E137" s="33">
        <v>42644</v>
      </c>
      <c r="F137" s="20" t="s">
        <v>84</v>
      </c>
      <c r="G137" s="20">
        <v>131.30000000000001</v>
      </c>
      <c r="H137" s="20">
        <v>137.6</v>
      </c>
      <c r="I137" s="20">
        <v>130.1</v>
      </c>
      <c r="J137" s="20">
        <v>136</v>
      </c>
      <c r="K137" s="20">
        <v>120.8</v>
      </c>
      <c r="L137" s="20">
        <v>138.4</v>
      </c>
      <c r="M137" s="20">
        <v>149.19999999999999</v>
      </c>
      <c r="N137" s="20">
        <v>170.2</v>
      </c>
      <c r="O137" s="20">
        <v>113.4</v>
      </c>
      <c r="P137" s="20">
        <v>136.30000000000001</v>
      </c>
      <c r="Q137" s="20">
        <v>128.69999999999999</v>
      </c>
      <c r="R137" s="20">
        <v>142.4</v>
      </c>
      <c r="S137" s="20">
        <v>137.4</v>
      </c>
      <c r="T137" s="20">
        <v>140.9</v>
      </c>
      <c r="U137" s="20">
        <v>139.6</v>
      </c>
      <c r="V137" s="20">
        <v>134.30000000000001</v>
      </c>
      <c r="W137" s="20">
        <v>138.80000000000001</v>
      </c>
      <c r="X137" s="30">
        <f>'Handle missing value sheet only'!$C$1</f>
        <v>139.27096774193564</v>
      </c>
      <c r="Y137" s="20">
        <v>129.80000000000001</v>
      </c>
      <c r="Z137" s="20">
        <v>131.80000000000001</v>
      </c>
      <c r="AA137" s="20">
        <v>128.69999999999999</v>
      </c>
      <c r="AB137" s="20">
        <v>117.8</v>
      </c>
      <c r="AC137" s="20">
        <v>126.5</v>
      </c>
      <c r="AD137" s="20">
        <v>133</v>
      </c>
      <c r="AE137" s="20">
        <v>123</v>
      </c>
      <c r="AF137" s="20">
        <v>125.7</v>
      </c>
      <c r="AG137" s="20">
        <v>133.80000000000001</v>
      </c>
      <c r="AH137" s="28">
        <f t="shared" si="17"/>
        <v>3342.1709677419358</v>
      </c>
      <c r="AI137" s="28">
        <f t="shared" si="18"/>
        <v>508.2</v>
      </c>
      <c r="AJ137" s="28">
        <f t="shared" si="19"/>
        <v>273.89999999999998</v>
      </c>
      <c r="AK137" s="28">
        <f t="shared" si="20"/>
        <v>271.07096774193565</v>
      </c>
      <c r="AL137" s="28">
        <f t="shared" si="21"/>
        <v>1912.7000000000003</v>
      </c>
      <c r="AM137" s="28">
        <f t="shared" si="22"/>
        <v>127.05</v>
      </c>
      <c r="AN137" s="28">
        <f t="shared" si="23"/>
        <v>135.53548387096782</v>
      </c>
      <c r="AO137" s="31">
        <v>136.62142857142859</v>
      </c>
    </row>
    <row r="138" spans="1:41" x14ac:dyDescent="0.3">
      <c r="A138" s="26" t="s">
        <v>2</v>
      </c>
      <c r="B138" s="21">
        <v>2016</v>
      </c>
      <c r="C138" s="21" t="s">
        <v>12</v>
      </c>
      <c r="D138" s="21" t="str">
        <f t="shared" si="16"/>
        <v>Oct-16</v>
      </c>
      <c r="E138" s="32">
        <v>42644</v>
      </c>
      <c r="F138" s="21" t="s">
        <v>84</v>
      </c>
      <c r="G138" s="21">
        <v>128.69999999999999</v>
      </c>
      <c r="H138" s="21">
        <v>138.4</v>
      </c>
      <c r="I138" s="21">
        <v>130.30000000000001</v>
      </c>
      <c r="J138" s="21">
        <v>132.69999999999999</v>
      </c>
      <c r="K138" s="21">
        <v>112.5</v>
      </c>
      <c r="L138" s="21">
        <v>130.4</v>
      </c>
      <c r="M138" s="21">
        <v>155.1</v>
      </c>
      <c r="N138" s="21">
        <v>175.7</v>
      </c>
      <c r="O138" s="21">
        <v>115.4</v>
      </c>
      <c r="P138" s="21">
        <v>145.30000000000001</v>
      </c>
      <c r="Q138" s="21">
        <v>122.5</v>
      </c>
      <c r="R138" s="21">
        <v>139.6</v>
      </c>
      <c r="S138" s="21">
        <v>136.30000000000001</v>
      </c>
      <c r="T138" s="21">
        <v>144.30000000000001</v>
      </c>
      <c r="U138" s="21">
        <v>129.1</v>
      </c>
      <c r="V138" s="21">
        <v>121.9</v>
      </c>
      <c r="W138" s="21">
        <v>128</v>
      </c>
      <c r="X138" s="21">
        <v>128.69999999999999</v>
      </c>
      <c r="Y138" s="21">
        <v>115.2</v>
      </c>
      <c r="Z138" s="21">
        <v>124.5</v>
      </c>
      <c r="AA138" s="21">
        <v>121.8</v>
      </c>
      <c r="AB138" s="21">
        <v>112.8</v>
      </c>
      <c r="AC138" s="21">
        <v>121.2</v>
      </c>
      <c r="AD138" s="21">
        <v>131.9</v>
      </c>
      <c r="AE138" s="21">
        <v>120.8</v>
      </c>
      <c r="AF138" s="21">
        <v>120.9</v>
      </c>
      <c r="AG138" s="21">
        <v>128.6</v>
      </c>
      <c r="AH138" s="28">
        <f t="shared" si="17"/>
        <v>3256.0000000000005</v>
      </c>
      <c r="AI138" s="28">
        <f t="shared" si="18"/>
        <v>494.8</v>
      </c>
      <c r="AJ138" s="28">
        <f t="shared" si="19"/>
        <v>251</v>
      </c>
      <c r="AK138" s="28">
        <f t="shared" si="20"/>
        <v>253.2</v>
      </c>
      <c r="AL138" s="28">
        <f t="shared" si="21"/>
        <v>1907.1999999999998</v>
      </c>
      <c r="AM138" s="28">
        <f t="shared" si="22"/>
        <v>123.7</v>
      </c>
      <c r="AN138" s="28">
        <f t="shared" si="23"/>
        <v>126.6</v>
      </c>
      <c r="AO138" s="29">
        <v>136.22857142857143</v>
      </c>
    </row>
    <row r="139" spans="1:41" x14ac:dyDescent="0.3">
      <c r="A139" s="27" t="s">
        <v>3</v>
      </c>
      <c r="B139" s="20">
        <v>2016</v>
      </c>
      <c r="C139" s="20" t="s">
        <v>12</v>
      </c>
      <c r="D139" s="21" t="str">
        <f t="shared" si="16"/>
        <v>Oct-16</v>
      </c>
      <c r="E139" s="33">
        <v>42644</v>
      </c>
      <c r="F139" s="20" t="s">
        <v>84</v>
      </c>
      <c r="G139" s="20">
        <v>130.5</v>
      </c>
      <c r="H139" s="20">
        <v>137.9</v>
      </c>
      <c r="I139" s="20">
        <v>130.19999999999999</v>
      </c>
      <c r="J139" s="20">
        <v>134.80000000000001</v>
      </c>
      <c r="K139" s="20">
        <v>117.8</v>
      </c>
      <c r="L139" s="20">
        <v>134.69999999999999</v>
      </c>
      <c r="M139" s="20">
        <v>151.19999999999999</v>
      </c>
      <c r="N139" s="20">
        <v>172.1</v>
      </c>
      <c r="O139" s="20">
        <v>114.1</v>
      </c>
      <c r="P139" s="20">
        <v>139.30000000000001</v>
      </c>
      <c r="Q139" s="20">
        <v>126.1</v>
      </c>
      <c r="R139" s="20">
        <v>141.1</v>
      </c>
      <c r="S139" s="20">
        <v>137</v>
      </c>
      <c r="T139" s="20">
        <v>141.80000000000001</v>
      </c>
      <c r="U139" s="20">
        <v>135.5</v>
      </c>
      <c r="V139" s="20">
        <v>129.1</v>
      </c>
      <c r="W139" s="20">
        <v>134.5</v>
      </c>
      <c r="X139" s="20">
        <v>128.69999999999999</v>
      </c>
      <c r="Y139" s="20">
        <v>124.3</v>
      </c>
      <c r="Z139" s="20">
        <v>128.4</v>
      </c>
      <c r="AA139" s="20">
        <v>126.1</v>
      </c>
      <c r="AB139" s="20">
        <v>115.2</v>
      </c>
      <c r="AC139" s="20">
        <v>123.5</v>
      </c>
      <c r="AD139" s="20">
        <v>132.4</v>
      </c>
      <c r="AE139" s="20">
        <v>122.1</v>
      </c>
      <c r="AF139" s="20">
        <v>123.4</v>
      </c>
      <c r="AG139" s="20">
        <v>131.4</v>
      </c>
      <c r="AH139" s="28">
        <f t="shared" si="17"/>
        <v>3297.3</v>
      </c>
      <c r="AI139" s="28">
        <f t="shared" si="18"/>
        <v>501.4</v>
      </c>
      <c r="AJ139" s="28">
        <f t="shared" si="19"/>
        <v>264.60000000000002</v>
      </c>
      <c r="AK139" s="28">
        <f t="shared" si="20"/>
        <v>257.10000000000002</v>
      </c>
      <c r="AL139" s="28">
        <f t="shared" si="21"/>
        <v>1908.5999999999995</v>
      </c>
      <c r="AM139" s="28">
        <f t="shared" si="22"/>
        <v>125.35</v>
      </c>
      <c r="AN139" s="28">
        <f t="shared" si="23"/>
        <v>128.55000000000001</v>
      </c>
      <c r="AO139" s="31">
        <v>136.32857142857139</v>
      </c>
    </row>
    <row r="140" spans="1:41" x14ac:dyDescent="0.3">
      <c r="A140" s="26" t="s">
        <v>0</v>
      </c>
      <c r="B140" s="21">
        <v>2016</v>
      </c>
      <c r="C140" s="21" t="s">
        <v>14</v>
      </c>
      <c r="D140" s="21" t="str">
        <f t="shared" si="16"/>
        <v>Nov-16</v>
      </c>
      <c r="E140" s="32">
        <v>42675</v>
      </c>
      <c r="F140" s="21" t="s">
        <v>84</v>
      </c>
      <c r="G140" s="21">
        <v>132</v>
      </c>
      <c r="H140" s="21">
        <v>137.4</v>
      </c>
      <c r="I140" s="21">
        <v>130.6</v>
      </c>
      <c r="J140" s="21">
        <v>136.19999999999999</v>
      </c>
      <c r="K140" s="21">
        <v>121.1</v>
      </c>
      <c r="L140" s="21">
        <v>136.9</v>
      </c>
      <c r="M140" s="21">
        <v>141.80000000000001</v>
      </c>
      <c r="N140" s="21">
        <v>170</v>
      </c>
      <c r="O140" s="21">
        <v>113.4</v>
      </c>
      <c r="P140" s="21">
        <v>136.80000000000001</v>
      </c>
      <c r="Q140" s="21">
        <v>128.69999999999999</v>
      </c>
      <c r="R140" s="21">
        <v>143.1</v>
      </c>
      <c r="S140" s="21">
        <v>136.6</v>
      </c>
      <c r="T140" s="21">
        <v>141.19999999999999</v>
      </c>
      <c r="U140" s="21">
        <v>139.9</v>
      </c>
      <c r="V140" s="21">
        <v>134.5</v>
      </c>
      <c r="W140" s="21">
        <v>139.19999999999999</v>
      </c>
      <c r="X140" s="28">
        <f>'Handle missing value sheet only'!$C$1</f>
        <v>139.27096774193564</v>
      </c>
      <c r="Y140" s="21">
        <v>130.30000000000001</v>
      </c>
      <c r="Z140" s="21">
        <v>132.1</v>
      </c>
      <c r="AA140" s="21">
        <v>129.1</v>
      </c>
      <c r="AB140" s="21">
        <v>118.2</v>
      </c>
      <c r="AC140" s="21">
        <v>126.9</v>
      </c>
      <c r="AD140" s="21">
        <v>133.69999999999999</v>
      </c>
      <c r="AE140" s="21">
        <v>123.5</v>
      </c>
      <c r="AF140" s="21">
        <v>126.1</v>
      </c>
      <c r="AG140" s="21">
        <v>133.6</v>
      </c>
      <c r="AH140" s="28">
        <f t="shared" si="17"/>
        <v>3339.3709677419356</v>
      </c>
      <c r="AI140" s="28">
        <f t="shared" si="18"/>
        <v>510.19999999999993</v>
      </c>
      <c r="AJ140" s="28">
        <f t="shared" si="19"/>
        <v>274.39999999999998</v>
      </c>
      <c r="AK140" s="28">
        <f t="shared" si="20"/>
        <v>271.3709677419356</v>
      </c>
      <c r="AL140" s="28">
        <f t="shared" si="21"/>
        <v>1905.8</v>
      </c>
      <c r="AM140" s="28">
        <f t="shared" si="22"/>
        <v>127.54999999999998</v>
      </c>
      <c r="AN140" s="28">
        <f t="shared" si="23"/>
        <v>135.6854838709678</v>
      </c>
      <c r="AO140" s="29">
        <v>136.12857142857143</v>
      </c>
    </row>
    <row r="141" spans="1:41" x14ac:dyDescent="0.3">
      <c r="A141" s="27" t="s">
        <v>2</v>
      </c>
      <c r="B141" s="20">
        <v>2016</v>
      </c>
      <c r="C141" s="20" t="s">
        <v>14</v>
      </c>
      <c r="D141" s="21" t="str">
        <f t="shared" si="16"/>
        <v>Nov-16</v>
      </c>
      <c r="E141" s="33">
        <v>42675</v>
      </c>
      <c r="F141" s="20" t="s">
        <v>84</v>
      </c>
      <c r="G141" s="20">
        <v>130.19999999999999</v>
      </c>
      <c r="H141" s="20">
        <v>138.5</v>
      </c>
      <c r="I141" s="20">
        <v>134.1</v>
      </c>
      <c r="J141" s="20">
        <v>132.9</v>
      </c>
      <c r="K141" s="20">
        <v>112.6</v>
      </c>
      <c r="L141" s="20">
        <v>130.80000000000001</v>
      </c>
      <c r="M141" s="20">
        <v>142</v>
      </c>
      <c r="N141" s="20">
        <v>174.9</v>
      </c>
      <c r="O141" s="20">
        <v>115.6</v>
      </c>
      <c r="P141" s="20">
        <v>145.4</v>
      </c>
      <c r="Q141" s="20">
        <v>122.7</v>
      </c>
      <c r="R141" s="20">
        <v>140.30000000000001</v>
      </c>
      <c r="S141" s="20">
        <v>135.19999999999999</v>
      </c>
      <c r="T141" s="20">
        <v>144.30000000000001</v>
      </c>
      <c r="U141" s="20">
        <v>129.6</v>
      </c>
      <c r="V141" s="20">
        <v>122.1</v>
      </c>
      <c r="W141" s="20">
        <v>128.5</v>
      </c>
      <c r="X141" s="20">
        <v>129.1</v>
      </c>
      <c r="Y141" s="20">
        <v>116.2</v>
      </c>
      <c r="Z141" s="20">
        <v>124.7</v>
      </c>
      <c r="AA141" s="20">
        <v>122.1</v>
      </c>
      <c r="AB141" s="20">
        <v>113.4</v>
      </c>
      <c r="AC141" s="20">
        <v>121.7</v>
      </c>
      <c r="AD141" s="20">
        <v>132.1</v>
      </c>
      <c r="AE141" s="20">
        <v>121.3</v>
      </c>
      <c r="AF141" s="20">
        <v>121.3</v>
      </c>
      <c r="AG141" s="20">
        <v>128.5</v>
      </c>
      <c r="AH141" s="28">
        <f t="shared" si="17"/>
        <v>3253.1</v>
      </c>
      <c r="AI141" s="28">
        <f t="shared" si="18"/>
        <v>496.4</v>
      </c>
      <c r="AJ141" s="28">
        <f t="shared" si="19"/>
        <v>251.7</v>
      </c>
      <c r="AK141" s="28">
        <f t="shared" si="20"/>
        <v>253.8</v>
      </c>
      <c r="AL141" s="28">
        <f t="shared" si="21"/>
        <v>1899.5</v>
      </c>
      <c r="AM141" s="28">
        <f t="shared" si="22"/>
        <v>124.1</v>
      </c>
      <c r="AN141" s="28">
        <f t="shared" si="23"/>
        <v>126.9</v>
      </c>
      <c r="AO141" s="31">
        <v>135.67857142857142</v>
      </c>
    </row>
    <row r="142" spans="1:41" x14ac:dyDescent="0.3">
      <c r="A142" s="26" t="s">
        <v>3</v>
      </c>
      <c r="B142" s="21">
        <v>2016</v>
      </c>
      <c r="C142" s="21" t="s">
        <v>14</v>
      </c>
      <c r="D142" s="21" t="str">
        <f t="shared" si="16"/>
        <v>Nov-16</v>
      </c>
      <c r="E142" s="32">
        <v>42675</v>
      </c>
      <c r="F142" s="21" t="s">
        <v>84</v>
      </c>
      <c r="G142" s="21">
        <v>131.4</v>
      </c>
      <c r="H142" s="21">
        <v>137.80000000000001</v>
      </c>
      <c r="I142" s="21">
        <v>132</v>
      </c>
      <c r="J142" s="21">
        <v>135</v>
      </c>
      <c r="K142" s="21">
        <v>118</v>
      </c>
      <c r="L142" s="21">
        <v>134.1</v>
      </c>
      <c r="M142" s="21">
        <v>141.9</v>
      </c>
      <c r="N142" s="21">
        <v>171.7</v>
      </c>
      <c r="O142" s="21">
        <v>114.1</v>
      </c>
      <c r="P142" s="21">
        <v>139.69999999999999</v>
      </c>
      <c r="Q142" s="21">
        <v>126.2</v>
      </c>
      <c r="R142" s="21">
        <v>141.80000000000001</v>
      </c>
      <c r="S142" s="21">
        <v>136.1</v>
      </c>
      <c r="T142" s="21">
        <v>142</v>
      </c>
      <c r="U142" s="21">
        <v>135.80000000000001</v>
      </c>
      <c r="V142" s="21">
        <v>129.30000000000001</v>
      </c>
      <c r="W142" s="21">
        <v>135</v>
      </c>
      <c r="X142" s="21">
        <v>129.1</v>
      </c>
      <c r="Y142" s="21">
        <v>125</v>
      </c>
      <c r="Z142" s="21">
        <v>128.6</v>
      </c>
      <c r="AA142" s="21">
        <v>126.4</v>
      </c>
      <c r="AB142" s="21">
        <v>115.7</v>
      </c>
      <c r="AC142" s="21">
        <v>124</v>
      </c>
      <c r="AD142" s="21">
        <v>132.80000000000001</v>
      </c>
      <c r="AE142" s="21">
        <v>122.6</v>
      </c>
      <c r="AF142" s="21">
        <v>123.8</v>
      </c>
      <c r="AG142" s="21">
        <v>131.19999999999999</v>
      </c>
      <c r="AH142" s="28">
        <f t="shared" si="17"/>
        <v>3294.9</v>
      </c>
      <c r="AI142" s="28">
        <f t="shared" si="18"/>
        <v>503.2</v>
      </c>
      <c r="AJ142" s="28">
        <f t="shared" si="19"/>
        <v>265.10000000000002</v>
      </c>
      <c r="AK142" s="28">
        <f t="shared" si="20"/>
        <v>257.7</v>
      </c>
      <c r="AL142" s="28">
        <f t="shared" si="21"/>
        <v>1901.8</v>
      </c>
      <c r="AM142" s="28">
        <f t="shared" si="22"/>
        <v>125.8</v>
      </c>
      <c r="AN142" s="28">
        <f t="shared" si="23"/>
        <v>128.85</v>
      </c>
      <c r="AO142" s="29">
        <v>135.84285714285713</v>
      </c>
    </row>
    <row r="143" spans="1:41" x14ac:dyDescent="0.3">
      <c r="A143" s="27" t="s">
        <v>0</v>
      </c>
      <c r="B143" s="20">
        <v>2016</v>
      </c>
      <c r="C143" s="20" t="s">
        <v>15</v>
      </c>
      <c r="D143" s="21" t="str">
        <f t="shared" si="16"/>
        <v>Dec-16</v>
      </c>
      <c r="E143" s="33">
        <v>42705</v>
      </c>
      <c r="F143" s="20" t="s">
        <v>84</v>
      </c>
      <c r="G143" s="20">
        <v>132.6</v>
      </c>
      <c r="H143" s="20">
        <v>137.30000000000001</v>
      </c>
      <c r="I143" s="20">
        <v>131.6</v>
      </c>
      <c r="J143" s="20">
        <v>136.30000000000001</v>
      </c>
      <c r="K143" s="20">
        <v>121.6</v>
      </c>
      <c r="L143" s="20">
        <v>135.6</v>
      </c>
      <c r="M143" s="20">
        <v>127.5</v>
      </c>
      <c r="N143" s="20">
        <v>167.9</v>
      </c>
      <c r="O143" s="20">
        <v>113.8</v>
      </c>
      <c r="P143" s="20">
        <v>137.5</v>
      </c>
      <c r="Q143" s="20">
        <v>129.1</v>
      </c>
      <c r="R143" s="20">
        <v>143.6</v>
      </c>
      <c r="S143" s="20">
        <v>134.69999999999999</v>
      </c>
      <c r="T143" s="20">
        <v>142.4</v>
      </c>
      <c r="U143" s="20">
        <v>140.4</v>
      </c>
      <c r="V143" s="20">
        <v>135.19999999999999</v>
      </c>
      <c r="W143" s="20">
        <v>139.69999999999999</v>
      </c>
      <c r="X143" s="30">
        <f>'Handle missing value sheet only'!$C$1</f>
        <v>139.27096774193564</v>
      </c>
      <c r="Y143" s="20">
        <v>132</v>
      </c>
      <c r="Z143" s="20">
        <v>132.9</v>
      </c>
      <c r="AA143" s="20">
        <v>129.69999999999999</v>
      </c>
      <c r="AB143" s="20">
        <v>118.6</v>
      </c>
      <c r="AC143" s="20">
        <v>127.3</v>
      </c>
      <c r="AD143" s="20">
        <v>134.19999999999999</v>
      </c>
      <c r="AE143" s="20">
        <v>121.9</v>
      </c>
      <c r="AF143" s="20">
        <v>126.3</v>
      </c>
      <c r="AG143" s="20">
        <v>132.80000000000001</v>
      </c>
      <c r="AH143" s="28">
        <f t="shared" si="17"/>
        <v>3329.2709677419348</v>
      </c>
      <c r="AI143" s="28">
        <f t="shared" si="18"/>
        <v>509.7</v>
      </c>
      <c r="AJ143" s="28">
        <f t="shared" si="19"/>
        <v>275.60000000000002</v>
      </c>
      <c r="AK143" s="28">
        <f t="shared" si="20"/>
        <v>272.17096774193567</v>
      </c>
      <c r="AL143" s="28">
        <f t="shared" si="21"/>
        <v>1891.5</v>
      </c>
      <c r="AM143" s="28">
        <f t="shared" si="22"/>
        <v>127.425</v>
      </c>
      <c r="AN143" s="28">
        <f t="shared" si="23"/>
        <v>136.08548387096783</v>
      </c>
      <c r="AO143" s="31">
        <v>135.10714285714286</v>
      </c>
    </row>
    <row r="144" spans="1:41" x14ac:dyDescent="0.3">
      <c r="A144" s="26" t="s">
        <v>2</v>
      </c>
      <c r="B144" s="21">
        <v>2016</v>
      </c>
      <c r="C144" s="21" t="s">
        <v>15</v>
      </c>
      <c r="D144" s="21" t="str">
        <f t="shared" si="16"/>
        <v>Dec-16</v>
      </c>
      <c r="E144" s="32">
        <v>42705</v>
      </c>
      <c r="F144" s="21" t="s">
        <v>84</v>
      </c>
      <c r="G144" s="21">
        <v>131.6</v>
      </c>
      <c r="H144" s="21">
        <v>138.19999999999999</v>
      </c>
      <c r="I144" s="21">
        <v>134.9</v>
      </c>
      <c r="J144" s="21">
        <v>133.1</v>
      </c>
      <c r="K144" s="21">
        <v>113.5</v>
      </c>
      <c r="L144" s="21">
        <v>129.30000000000001</v>
      </c>
      <c r="M144" s="21">
        <v>121.1</v>
      </c>
      <c r="N144" s="21">
        <v>170.3</v>
      </c>
      <c r="O144" s="21">
        <v>115.5</v>
      </c>
      <c r="P144" s="21">
        <v>145.5</v>
      </c>
      <c r="Q144" s="21">
        <v>123.1</v>
      </c>
      <c r="R144" s="21">
        <v>140.9</v>
      </c>
      <c r="S144" s="21">
        <v>132.80000000000001</v>
      </c>
      <c r="T144" s="21">
        <v>145</v>
      </c>
      <c r="U144" s="21">
        <v>130</v>
      </c>
      <c r="V144" s="21">
        <v>122.2</v>
      </c>
      <c r="W144" s="21">
        <v>128.80000000000001</v>
      </c>
      <c r="X144" s="21">
        <v>128.5</v>
      </c>
      <c r="Y144" s="21">
        <v>117.8</v>
      </c>
      <c r="Z144" s="21">
        <v>125</v>
      </c>
      <c r="AA144" s="21">
        <v>122.3</v>
      </c>
      <c r="AB144" s="21">
        <v>113.7</v>
      </c>
      <c r="AC144" s="21">
        <v>121.8</v>
      </c>
      <c r="AD144" s="21">
        <v>132.30000000000001</v>
      </c>
      <c r="AE144" s="21">
        <v>119.9</v>
      </c>
      <c r="AF144" s="21">
        <v>121.4</v>
      </c>
      <c r="AG144" s="21">
        <v>127.6</v>
      </c>
      <c r="AH144" s="28">
        <f t="shared" si="17"/>
        <v>3229.7</v>
      </c>
      <c r="AI144" s="28">
        <f t="shared" si="18"/>
        <v>495.40000000000003</v>
      </c>
      <c r="AJ144" s="28">
        <f t="shared" si="19"/>
        <v>252.2</v>
      </c>
      <c r="AK144" s="28">
        <f t="shared" si="20"/>
        <v>253.5</v>
      </c>
      <c r="AL144" s="28">
        <f t="shared" si="21"/>
        <v>1874.8</v>
      </c>
      <c r="AM144" s="28">
        <f t="shared" si="22"/>
        <v>123.85000000000001</v>
      </c>
      <c r="AN144" s="28">
        <f t="shared" si="23"/>
        <v>126.75</v>
      </c>
      <c r="AO144" s="29">
        <v>133.91428571428571</v>
      </c>
    </row>
    <row r="145" spans="1:41" x14ac:dyDescent="0.3">
      <c r="A145" s="27" t="s">
        <v>3</v>
      </c>
      <c r="B145" s="20">
        <v>2016</v>
      </c>
      <c r="C145" s="20" t="s">
        <v>15</v>
      </c>
      <c r="D145" s="21" t="str">
        <f t="shared" si="16"/>
        <v>Dec-16</v>
      </c>
      <c r="E145" s="33">
        <v>42705</v>
      </c>
      <c r="F145" s="20" t="s">
        <v>84</v>
      </c>
      <c r="G145" s="20">
        <v>132.30000000000001</v>
      </c>
      <c r="H145" s="20">
        <v>137.6</v>
      </c>
      <c r="I145" s="20">
        <v>132.9</v>
      </c>
      <c r="J145" s="20">
        <v>135.1</v>
      </c>
      <c r="K145" s="20">
        <v>118.6</v>
      </c>
      <c r="L145" s="20">
        <v>132.69999999999999</v>
      </c>
      <c r="M145" s="20">
        <v>125.3</v>
      </c>
      <c r="N145" s="20">
        <v>168.7</v>
      </c>
      <c r="O145" s="20">
        <v>114.4</v>
      </c>
      <c r="P145" s="20">
        <v>140.19999999999999</v>
      </c>
      <c r="Q145" s="20">
        <v>126.6</v>
      </c>
      <c r="R145" s="20">
        <v>142.30000000000001</v>
      </c>
      <c r="S145" s="20">
        <v>134</v>
      </c>
      <c r="T145" s="20">
        <v>143.1</v>
      </c>
      <c r="U145" s="20">
        <v>136.30000000000001</v>
      </c>
      <c r="V145" s="20">
        <v>129.80000000000001</v>
      </c>
      <c r="W145" s="20">
        <v>135.4</v>
      </c>
      <c r="X145" s="20">
        <v>128.5</v>
      </c>
      <c r="Y145" s="20">
        <v>126.6</v>
      </c>
      <c r="Z145" s="20">
        <v>129.19999999999999</v>
      </c>
      <c r="AA145" s="20">
        <v>126.9</v>
      </c>
      <c r="AB145" s="20">
        <v>116</v>
      </c>
      <c r="AC145" s="20">
        <v>124.2</v>
      </c>
      <c r="AD145" s="20">
        <v>133.1</v>
      </c>
      <c r="AE145" s="20">
        <v>121.1</v>
      </c>
      <c r="AF145" s="20">
        <v>123.9</v>
      </c>
      <c r="AG145" s="20">
        <v>130.4</v>
      </c>
      <c r="AH145" s="28">
        <f t="shared" si="17"/>
        <v>3279.4</v>
      </c>
      <c r="AI145" s="28">
        <f t="shared" si="18"/>
        <v>502.3</v>
      </c>
      <c r="AJ145" s="28">
        <f t="shared" si="19"/>
        <v>266.10000000000002</v>
      </c>
      <c r="AK145" s="28">
        <f t="shared" si="20"/>
        <v>257.7</v>
      </c>
      <c r="AL145" s="28">
        <f t="shared" si="21"/>
        <v>1883.8</v>
      </c>
      <c r="AM145" s="28">
        <f t="shared" si="22"/>
        <v>125.575</v>
      </c>
      <c r="AN145" s="28">
        <f t="shared" si="23"/>
        <v>128.85</v>
      </c>
      <c r="AO145" s="31">
        <v>134.55714285714285</v>
      </c>
    </row>
    <row r="146" spans="1:41" x14ac:dyDescent="0.3">
      <c r="A146" s="26" t="s">
        <v>0</v>
      </c>
      <c r="B146" s="21">
        <v>2017</v>
      </c>
      <c r="C146" s="21" t="s">
        <v>1</v>
      </c>
      <c r="D146" s="21" t="str">
        <f t="shared" si="16"/>
        <v>Jan-17</v>
      </c>
      <c r="E146" s="32">
        <v>42736</v>
      </c>
      <c r="F146" s="21" t="s">
        <v>84</v>
      </c>
      <c r="G146" s="21">
        <v>133.1</v>
      </c>
      <c r="H146" s="21">
        <v>137.80000000000001</v>
      </c>
      <c r="I146" s="21">
        <v>131.9</v>
      </c>
      <c r="J146" s="21">
        <v>136.69999999999999</v>
      </c>
      <c r="K146" s="21">
        <v>122</v>
      </c>
      <c r="L146" s="21">
        <v>136</v>
      </c>
      <c r="M146" s="21">
        <v>119.8</v>
      </c>
      <c r="N146" s="21">
        <v>161.69999999999999</v>
      </c>
      <c r="O146" s="21">
        <v>114.8</v>
      </c>
      <c r="P146" s="21">
        <v>136.9</v>
      </c>
      <c r="Q146" s="21">
        <v>129</v>
      </c>
      <c r="R146" s="21">
        <v>143.9</v>
      </c>
      <c r="S146" s="21">
        <v>133.69999999999999</v>
      </c>
      <c r="T146" s="21">
        <v>143.1</v>
      </c>
      <c r="U146" s="21">
        <v>140.69999999999999</v>
      </c>
      <c r="V146" s="21">
        <v>135.80000000000001</v>
      </c>
      <c r="W146" s="21">
        <v>140</v>
      </c>
      <c r="X146" s="28">
        <f>'Handle missing value sheet only'!$C$1</f>
        <v>139.27096774193564</v>
      </c>
      <c r="Y146" s="21">
        <v>132.1</v>
      </c>
      <c r="Z146" s="21">
        <v>133.19999999999999</v>
      </c>
      <c r="AA146" s="21">
        <v>129.9</v>
      </c>
      <c r="AB146" s="21">
        <v>119.1</v>
      </c>
      <c r="AC146" s="21">
        <v>127</v>
      </c>
      <c r="AD146" s="21">
        <v>134.6</v>
      </c>
      <c r="AE146" s="21">
        <v>122.3</v>
      </c>
      <c r="AF146" s="21">
        <v>126.6</v>
      </c>
      <c r="AG146" s="21">
        <v>132.4</v>
      </c>
      <c r="AH146" s="28">
        <f t="shared" si="17"/>
        <v>3320.9709677419355</v>
      </c>
      <c r="AI146" s="28">
        <f t="shared" si="18"/>
        <v>510.5</v>
      </c>
      <c r="AJ146" s="28">
        <f t="shared" si="19"/>
        <v>276.5</v>
      </c>
      <c r="AK146" s="28">
        <f t="shared" si="20"/>
        <v>272.47096774193562</v>
      </c>
      <c r="AL146" s="28">
        <f t="shared" si="21"/>
        <v>1880.4</v>
      </c>
      <c r="AM146" s="28">
        <f t="shared" si="22"/>
        <v>127.625</v>
      </c>
      <c r="AN146" s="28">
        <f t="shared" si="23"/>
        <v>136.23548387096781</v>
      </c>
      <c r="AO146" s="29">
        <v>134.31428571428572</v>
      </c>
    </row>
    <row r="147" spans="1:41" x14ac:dyDescent="0.3">
      <c r="A147" s="27" t="s">
        <v>2</v>
      </c>
      <c r="B147" s="20">
        <v>2017</v>
      </c>
      <c r="C147" s="20" t="s">
        <v>1</v>
      </c>
      <c r="D147" s="21" t="str">
        <f t="shared" si="16"/>
        <v>Jan-17</v>
      </c>
      <c r="E147" s="33">
        <v>42736</v>
      </c>
      <c r="F147" s="20" t="s">
        <v>84</v>
      </c>
      <c r="G147" s="20">
        <v>132.19999999999999</v>
      </c>
      <c r="H147" s="20">
        <v>138.9</v>
      </c>
      <c r="I147" s="20">
        <v>132.6</v>
      </c>
      <c r="J147" s="20">
        <v>133.1</v>
      </c>
      <c r="K147" s="20">
        <v>114</v>
      </c>
      <c r="L147" s="20">
        <v>129.6</v>
      </c>
      <c r="M147" s="20">
        <v>118.7</v>
      </c>
      <c r="N147" s="20">
        <v>155.1</v>
      </c>
      <c r="O147" s="20">
        <v>117.3</v>
      </c>
      <c r="P147" s="20">
        <v>144.9</v>
      </c>
      <c r="Q147" s="20">
        <v>123.2</v>
      </c>
      <c r="R147" s="20">
        <v>141.6</v>
      </c>
      <c r="S147" s="20">
        <v>132</v>
      </c>
      <c r="T147" s="20">
        <v>145.6</v>
      </c>
      <c r="U147" s="20">
        <v>130.19999999999999</v>
      </c>
      <c r="V147" s="20">
        <v>122.3</v>
      </c>
      <c r="W147" s="20">
        <v>129</v>
      </c>
      <c r="X147" s="20">
        <v>129.6</v>
      </c>
      <c r="Y147" s="20">
        <v>118</v>
      </c>
      <c r="Z147" s="20">
        <v>125.1</v>
      </c>
      <c r="AA147" s="20">
        <v>122.6</v>
      </c>
      <c r="AB147" s="20">
        <v>115.2</v>
      </c>
      <c r="AC147" s="20">
        <v>122</v>
      </c>
      <c r="AD147" s="20">
        <v>132.4</v>
      </c>
      <c r="AE147" s="20">
        <v>120.9</v>
      </c>
      <c r="AF147" s="20">
        <v>122.1</v>
      </c>
      <c r="AG147" s="20">
        <v>127.8</v>
      </c>
      <c r="AH147" s="28">
        <f t="shared" si="17"/>
        <v>3219.2</v>
      </c>
      <c r="AI147" s="28">
        <f t="shared" si="18"/>
        <v>497.4</v>
      </c>
      <c r="AJ147" s="28">
        <f t="shared" si="19"/>
        <v>252.5</v>
      </c>
      <c r="AK147" s="28">
        <f t="shared" si="20"/>
        <v>254.7</v>
      </c>
      <c r="AL147" s="28">
        <f t="shared" si="21"/>
        <v>1858.8</v>
      </c>
      <c r="AM147" s="28">
        <f t="shared" si="22"/>
        <v>124.35</v>
      </c>
      <c r="AN147" s="28">
        <f t="shared" si="23"/>
        <v>127.35</v>
      </c>
      <c r="AO147" s="31">
        <v>132.77142857142857</v>
      </c>
    </row>
    <row r="148" spans="1:41" x14ac:dyDescent="0.3">
      <c r="A148" s="26" t="s">
        <v>3</v>
      </c>
      <c r="B148" s="21">
        <v>2017</v>
      </c>
      <c r="C148" s="21" t="s">
        <v>1</v>
      </c>
      <c r="D148" s="21" t="str">
        <f t="shared" si="16"/>
        <v>Jan-17</v>
      </c>
      <c r="E148" s="32">
        <v>42736</v>
      </c>
      <c r="F148" s="21" t="s">
        <v>84</v>
      </c>
      <c r="G148" s="21">
        <v>132.80000000000001</v>
      </c>
      <c r="H148" s="21">
        <v>138.19999999999999</v>
      </c>
      <c r="I148" s="21">
        <v>132.19999999999999</v>
      </c>
      <c r="J148" s="21">
        <v>135.4</v>
      </c>
      <c r="K148" s="21">
        <v>119.1</v>
      </c>
      <c r="L148" s="21">
        <v>133</v>
      </c>
      <c r="M148" s="21">
        <v>119.4</v>
      </c>
      <c r="N148" s="21">
        <v>159.5</v>
      </c>
      <c r="O148" s="21">
        <v>115.6</v>
      </c>
      <c r="P148" s="21">
        <v>139.6</v>
      </c>
      <c r="Q148" s="21">
        <v>126.6</v>
      </c>
      <c r="R148" s="21">
        <v>142.80000000000001</v>
      </c>
      <c r="S148" s="21">
        <v>133.1</v>
      </c>
      <c r="T148" s="21">
        <v>143.80000000000001</v>
      </c>
      <c r="U148" s="21">
        <v>136.6</v>
      </c>
      <c r="V148" s="21">
        <v>130.19999999999999</v>
      </c>
      <c r="W148" s="21">
        <v>135.6</v>
      </c>
      <c r="X148" s="21">
        <v>129.6</v>
      </c>
      <c r="Y148" s="21">
        <v>126.8</v>
      </c>
      <c r="Z148" s="21">
        <v>129.4</v>
      </c>
      <c r="AA148" s="21">
        <v>127.1</v>
      </c>
      <c r="AB148" s="21">
        <v>117</v>
      </c>
      <c r="AC148" s="21">
        <v>124.2</v>
      </c>
      <c r="AD148" s="21">
        <v>133.30000000000001</v>
      </c>
      <c r="AE148" s="21">
        <v>121.7</v>
      </c>
      <c r="AF148" s="21">
        <v>124.4</v>
      </c>
      <c r="AG148" s="21">
        <v>130.30000000000001</v>
      </c>
      <c r="AH148" s="28">
        <f t="shared" si="17"/>
        <v>3271.4</v>
      </c>
      <c r="AI148" s="28">
        <f t="shared" si="18"/>
        <v>503.6</v>
      </c>
      <c r="AJ148" s="28">
        <f t="shared" si="19"/>
        <v>266.79999999999995</v>
      </c>
      <c r="AK148" s="28">
        <f t="shared" si="20"/>
        <v>259</v>
      </c>
      <c r="AL148" s="28">
        <f t="shared" si="21"/>
        <v>1871.0999999999995</v>
      </c>
      <c r="AM148" s="28">
        <f t="shared" si="22"/>
        <v>125.9</v>
      </c>
      <c r="AN148" s="28">
        <f t="shared" si="23"/>
        <v>129.5</v>
      </c>
      <c r="AO148" s="29">
        <v>133.64999999999995</v>
      </c>
    </row>
    <row r="149" spans="1:41" x14ac:dyDescent="0.3">
      <c r="A149" s="27" t="s">
        <v>0</v>
      </c>
      <c r="B149" s="20">
        <v>2017</v>
      </c>
      <c r="C149" s="20" t="s">
        <v>4</v>
      </c>
      <c r="D149" s="21" t="str">
        <f t="shared" si="16"/>
        <v>Feb-17</v>
      </c>
      <c r="E149" s="33">
        <v>42767</v>
      </c>
      <c r="F149" s="20" t="s">
        <v>84</v>
      </c>
      <c r="G149" s="20">
        <v>133.30000000000001</v>
      </c>
      <c r="H149" s="20">
        <v>138.30000000000001</v>
      </c>
      <c r="I149" s="20">
        <v>129.30000000000001</v>
      </c>
      <c r="J149" s="20">
        <v>137.19999999999999</v>
      </c>
      <c r="K149" s="20">
        <v>122.1</v>
      </c>
      <c r="L149" s="20">
        <v>138.69999999999999</v>
      </c>
      <c r="M149" s="20">
        <v>119.1</v>
      </c>
      <c r="N149" s="20">
        <v>156.9</v>
      </c>
      <c r="O149" s="20">
        <v>116.2</v>
      </c>
      <c r="P149" s="20">
        <v>136</v>
      </c>
      <c r="Q149" s="20">
        <v>129.4</v>
      </c>
      <c r="R149" s="20">
        <v>144.4</v>
      </c>
      <c r="S149" s="20">
        <v>133.6</v>
      </c>
      <c r="T149" s="20">
        <v>143.69999999999999</v>
      </c>
      <c r="U149" s="20">
        <v>140.9</v>
      </c>
      <c r="V149" s="20">
        <v>135.80000000000001</v>
      </c>
      <c r="W149" s="20">
        <v>140.19999999999999</v>
      </c>
      <c r="X149" s="30">
        <f>'Handle missing value sheet only'!$C$1</f>
        <v>139.27096774193564</v>
      </c>
      <c r="Y149" s="20">
        <v>133.19999999999999</v>
      </c>
      <c r="Z149" s="20">
        <v>133.6</v>
      </c>
      <c r="AA149" s="20">
        <v>130.1</v>
      </c>
      <c r="AB149" s="20">
        <v>119.5</v>
      </c>
      <c r="AC149" s="20">
        <v>127.7</v>
      </c>
      <c r="AD149" s="20">
        <v>134.9</v>
      </c>
      <c r="AE149" s="20">
        <v>123.2</v>
      </c>
      <c r="AF149" s="20">
        <v>127</v>
      </c>
      <c r="AG149" s="20">
        <v>132.6</v>
      </c>
      <c r="AH149" s="28">
        <f t="shared" si="17"/>
        <v>3323.3709677419356</v>
      </c>
      <c r="AI149" s="28">
        <f t="shared" si="18"/>
        <v>512.80000000000007</v>
      </c>
      <c r="AJ149" s="28">
        <f t="shared" si="19"/>
        <v>276.70000000000005</v>
      </c>
      <c r="AK149" s="28">
        <f t="shared" si="20"/>
        <v>272.8709677419356</v>
      </c>
      <c r="AL149" s="28">
        <f t="shared" si="21"/>
        <v>1878.2000000000003</v>
      </c>
      <c r="AM149" s="28">
        <f t="shared" si="22"/>
        <v>128.20000000000002</v>
      </c>
      <c r="AN149" s="28">
        <f t="shared" si="23"/>
        <v>136.4354838709678</v>
      </c>
      <c r="AO149" s="31">
        <v>134.15714285714287</v>
      </c>
    </row>
    <row r="150" spans="1:41" x14ac:dyDescent="0.3">
      <c r="A150" s="26" t="s">
        <v>2</v>
      </c>
      <c r="B150" s="21">
        <v>2017</v>
      </c>
      <c r="C150" s="21" t="s">
        <v>4</v>
      </c>
      <c r="D150" s="21" t="str">
        <f t="shared" si="16"/>
        <v>Feb-17</v>
      </c>
      <c r="E150" s="32">
        <v>42767</v>
      </c>
      <c r="F150" s="21" t="s">
        <v>84</v>
      </c>
      <c r="G150" s="21">
        <v>132.80000000000001</v>
      </c>
      <c r="H150" s="21">
        <v>139.80000000000001</v>
      </c>
      <c r="I150" s="21">
        <v>129.30000000000001</v>
      </c>
      <c r="J150" s="21">
        <v>133.5</v>
      </c>
      <c r="K150" s="21">
        <v>114.3</v>
      </c>
      <c r="L150" s="21">
        <v>131.4</v>
      </c>
      <c r="M150" s="21">
        <v>120.2</v>
      </c>
      <c r="N150" s="21">
        <v>143.1</v>
      </c>
      <c r="O150" s="21">
        <v>119.5</v>
      </c>
      <c r="P150" s="21">
        <v>144</v>
      </c>
      <c r="Q150" s="21">
        <v>123.4</v>
      </c>
      <c r="R150" s="21">
        <v>141.9</v>
      </c>
      <c r="S150" s="21">
        <v>132.1</v>
      </c>
      <c r="T150" s="21">
        <v>146.30000000000001</v>
      </c>
      <c r="U150" s="21">
        <v>130.5</v>
      </c>
      <c r="V150" s="21">
        <v>122.5</v>
      </c>
      <c r="W150" s="21">
        <v>129.30000000000001</v>
      </c>
      <c r="X150" s="21">
        <v>130.5</v>
      </c>
      <c r="Y150" s="21">
        <v>119.2</v>
      </c>
      <c r="Z150" s="21">
        <v>125.3</v>
      </c>
      <c r="AA150" s="21">
        <v>122.9</v>
      </c>
      <c r="AB150" s="21">
        <v>115.5</v>
      </c>
      <c r="AC150" s="21">
        <v>122.2</v>
      </c>
      <c r="AD150" s="21">
        <v>132.4</v>
      </c>
      <c r="AE150" s="21">
        <v>121.7</v>
      </c>
      <c r="AF150" s="21">
        <v>122.4</v>
      </c>
      <c r="AG150" s="21">
        <v>128.19999999999999</v>
      </c>
      <c r="AH150" s="28">
        <f t="shared" si="17"/>
        <v>3216.7000000000003</v>
      </c>
      <c r="AI150" s="28">
        <f t="shared" si="18"/>
        <v>498.7</v>
      </c>
      <c r="AJ150" s="28">
        <f t="shared" si="19"/>
        <v>253</v>
      </c>
      <c r="AK150" s="28">
        <f t="shared" si="20"/>
        <v>255.8</v>
      </c>
      <c r="AL150" s="28">
        <f t="shared" si="21"/>
        <v>1851.6000000000001</v>
      </c>
      <c r="AM150" s="28">
        <f t="shared" si="22"/>
        <v>124.675</v>
      </c>
      <c r="AN150" s="28">
        <f t="shared" si="23"/>
        <v>127.9</v>
      </c>
      <c r="AO150" s="29">
        <v>132.25714285714287</v>
      </c>
    </row>
    <row r="151" spans="1:41" x14ac:dyDescent="0.3">
      <c r="A151" s="27" t="s">
        <v>3</v>
      </c>
      <c r="B151" s="20">
        <v>2017</v>
      </c>
      <c r="C151" s="20" t="s">
        <v>4</v>
      </c>
      <c r="D151" s="21" t="str">
        <f t="shared" si="16"/>
        <v>Feb-17</v>
      </c>
      <c r="E151" s="33">
        <v>42767</v>
      </c>
      <c r="F151" s="20" t="s">
        <v>84</v>
      </c>
      <c r="G151" s="20">
        <v>133.1</v>
      </c>
      <c r="H151" s="20">
        <v>138.80000000000001</v>
      </c>
      <c r="I151" s="20">
        <v>129.30000000000001</v>
      </c>
      <c r="J151" s="20">
        <v>135.80000000000001</v>
      </c>
      <c r="K151" s="20">
        <v>119.2</v>
      </c>
      <c r="L151" s="20">
        <v>135.30000000000001</v>
      </c>
      <c r="M151" s="20">
        <v>119.5</v>
      </c>
      <c r="N151" s="20">
        <v>152.19999999999999</v>
      </c>
      <c r="O151" s="20">
        <v>117.3</v>
      </c>
      <c r="P151" s="20">
        <v>138.69999999999999</v>
      </c>
      <c r="Q151" s="20">
        <v>126.9</v>
      </c>
      <c r="R151" s="20">
        <v>143.19999999999999</v>
      </c>
      <c r="S151" s="20">
        <v>133</v>
      </c>
      <c r="T151" s="20">
        <v>144.4</v>
      </c>
      <c r="U151" s="20">
        <v>136.80000000000001</v>
      </c>
      <c r="V151" s="20">
        <v>130.30000000000001</v>
      </c>
      <c r="W151" s="20">
        <v>135.9</v>
      </c>
      <c r="X151" s="20">
        <v>130.5</v>
      </c>
      <c r="Y151" s="20">
        <v>127.9</v>
      </c>
      <c r="Z151" s="20">
        <v>129.69999999999999</v>
      </c>
      <c r="AA151" s="20">
        <v>127.4</v>
      </c>
      <c r="AB151" s="20">
        <v>117.4</v>
      </c>
      <c r="AC151" s="20">
        <v>124.6</v>
      </c>
      <c r="AD151" s="20">
        <v>133.4</v>
      </c>
      <c r="AE151" s="20">
        <v>122.6</v>
      </c>
      <c r="AF151" s="20">
        <v>124.8</v>
      </c>
      <c r="AG151" s="20">
        <v>130.6</v>
      </c>
      <c r="AH151" s="28">
        <f t="shared" si="17"/>
        <v>3272.1</v>
      </c>
      <c r="AI151" s="28">
        <f t="shared" si="18"/>
        <v>505.4</v>
      </c>
      <c r="AJ151" s="28">
        <f t="shared" si="19"/>
        <v>267.10000000000002</v>
      </c>
      <c r="AK151" s="28">
        <f t="shared" si="20"/>
        <v>260.2</v>
      </c>
      <c r="AL151" s="28">
        <f t="shared" si="21"/>
        <v>1866.7000000000003</v>
      </c>
      <c r="AM151" s="28">
        <f t="shared" si="22"/>
        <v>126.35</v>
      </c>
      <c r="AN151" s="28">
        <f t="shared" si="23"/>
        <v>130.1</v>
      </c>
      <c r="AO151" s="31">
        <v>133.33571428571432</v>
      </c>
    </row>
    <row r="152" spans="1:41" x14ac:dyDescent="0.3">
      <c r="A152" s="26" t="s">
        <v>0</v>
      </c>
      <c r="B152" s="21">
        <v>2017</v>
      </c>
      <c r="C152" s="21" t="s">
        <v>5</v>
      </c>
      <c r="D152" s="21" t="str">
        <f t="shared" si="16"/>
        <v>Mar-17</v>
      </c>
      <c r="E152" s="32">
        <v>42795</v>
      </c>
      <c r="F152" s="21" t="s">
        <v>84</v>
      </c>
      <c r="G152" s="21">
        <v>133.6</v>
      </c>
      <c r="H152" s="21">
        <v>138.80000000000001</v>
      </c>
      <c r="I152" s="21">
        <v>128.80000000000001</v>
      </c>
      <c r="J152" s="21">
        <v>137.19999999999999</v>
      </c>
      <c r="K152" s="21">
        <v>121.6</v>
      </c>
      <c r="L152" s="21">
        <v>139.69999999999999</v>
      </c>
      <c r="M152" s="21">
        <v>119.7</v>
      </c>
      <c r="N152" s="21">
        <v>148</v>
      </c>
      <c r="O152" s="21">
        <v>116.9</v>
      </c>
      <c r="P152" s="21">
        <v>135.6</v>
      </c>
      <c r="Q152" s="21">
        <v>129.80000000000001</v>
      </c>
      <c r="R152" s="21">
        <v>145.4</v>
      </c>
      <c r="S152" s="21">
        <v>133.4</v>
      </c>
      <c r="T152" s="21">
        <v>144.19999999999999</v>
      </c>
      <c r="U152" s="21">
        <v>141.6</v>
      </c>
      <c r="V152" s="21">
        <v>136.19999999999999</v>
      </c>
      <c r="W152" s="21">
        <v>140.80000000000001</v>
      </c>
      <c r="X152" s="28">
        <f>'Handle missing value sheet only'!$C$1</f>
        <v>139.27096774193564</v>
      </c>
      <c r="Y152" s="21">
        <v>134.19999999999999</v>
      </c>
      <c r="Z152" s="21">
        <v>134.1</v>
      </c>
      <c r="AA152" s="21">
        <v>130.6</v>
      </c>
      <c r="AB152" s="21">
        <v>119.8</v>
      </c>
      <c r="AC152" s="21">
        <v>128.30000000000001</v>
      </c>
      <c r="AD152" s="21">
        <v>135.19999999999999</v>
      </c>
      <c r="AE152" s="21">
        <v>123.3</v>
      </c>
      <c r="AF152" s="21">
        <v>127.4</v>
      </c>
      <c r="AG152" s="21">
        <v>132.80000000000001</v>
      </c>
      <c r="AH152" s="28">
        <f t="shared" si="17"/>
        <v>3322.6709677419353</v>
      </c>
      <c r="AI152" s="28">
        <f t="shared" si="18"/>
        <v>514.20000000000005</v>
      </c>
      <c r="AJ152" s="28">
        <f t="shared" si="19"/>
        <v>277.79999999999995</v>
      </c>
      <c r="AK152" s="28">
        <f t="shared" si="20"/>
        <v>273.3709677419356</v>
      </c>
      <c r="AL152" s="28">
        <f t="shared" si="21"/>
        <v>1872.7000000000003</v>
      </c>
      <c r="AM152" s="28">
        <f t="shared" si="22"/>
        <v>128.55000000000001</v>
      </c>
      <c r="AN152" s="28">
        <f t="shared" si="23"/>
        <v>136.6854838709678</v>
      </c>
      <c r="AO152" s="29">
        <v>133.76428571428573</v>
      </c>
    </row>
    <row r="153" spans="1:41" x14ac:dyDescent="0.3">
      <c r="A153" s="27" t="s">
        <v>2</v>
      </c>
      <c r="B153" s="20">
        <v>2017</v>
      </c>
      <c r="C153" s="20" t="s">
        <v>5</v>
      </c>
      <c r="D153" s="21" t="str">
        <f t="shared" si="16"/>
        <v>Mar-17</v>
      </c>
      <c r="E153" s="33">
        <v>42795</v>
      </c>
      <c r="F153" s="20" t="s">
        <v>84</v>
      </c>
      <c r="G153" s="20">
        <v>132.69999999999999</v>
      </c>
      <c r="H153" s="20">
        <v>139.4</v>
      </c>
      <c r="I153" s="20">
        <v>128.4</v>
      </c>
      <c r="J153" s="20">
        <v>134.9</v>
      </c>
      <c r="K153" s="20">
        <v>114</v>
      </c>
      <c r="L153" s="20">
        <v>136.80000000000001</v>
      </c>
      <c r="M153" s="20">
        <v>122.2</v>
      </c>
      <c r="N153" s="20">
        <v>135.80000000000001</v>
      </c>
      <c r="O153" s="20">
        <v>120.3</v>
      </c>
      <c r="P153" s="20">
        <v>142.6</v>
      </c>
      <c r="Q153" s="20">
        <v>123.6</v>
      </c>
      <c r="R153" s="20">
        <v>142.4</v>
      </c>
      <c r="S153" s="20">
        <v>132.6</v>
      </c>
      <c r="T153" s="20">
        <v>147.5</v>
      </c>
      <c r="U153" s="20">
        <v>130.80000000000001</v>
      </c>
      <c r="V153" s="20">
        <v>122.8</v>
      </c>
      <c r="W153" s="20">
        <v>129.6</v>
      </c>
      <c r="X153" s="20">
        <v>131.1</v>
      </c>
      <c r="Y153" s="20">
        <v>120.8</v>
      </c>
      <c r="Z153" s="20">
        <v>125.6</v>
      </c>
      <c r="AA153" s="20">
        <v>123.1</v>
      </c>
      <c r="AB153" s="20">
        <v>115.6</v>
      </c>
      <c r="AC153" s="20">
        <v>122.4</v>
      </c>
      <c r="AD153" s="20">
        <v>132.80000000000001</v>
      </c>
      <c r="AE153" s="20">
        <v>121.7</v>
      </c>
      <c r="AF153" s="20">
        <v>122.6</v>
      </c>
      <c r="AG153" s="20">
        <v>128.69999999999999</v>
      </c>
      <c r="AH153" s="28">
        <f t="shared" si="17"/>
        <v>3222.5000000000009</v>
      </c>
      <c r="AI153" s="28">
        <f t="shared" si="18"/>
        <v>499.5</v>
      </c>
      <c r="AJ153" s="28">
        <f t="shared" si="19"/>
        <v>253.60000000000002</v>
      </c>
      <c r="AK153" s="28">
        <f t="shared" si="20"/>
        <v>256.7</v>
      </c>
      <c r="AL153" s="28">
        <f t="shared" si="21"/>
        <v>1853.1999999999998</v>
      </c>
      <c r="AM153" s="28">
        <f t="shared" si="22"/>
        <v>124.875</v>
      </c>
      <c r="AN153" s="28">
        <f t="shared" si="23"/>
        <v>128.35</v>
      </c>
      <c r="AO153" s="31">
        <v>132.37142857142857</v>
      </c>
    </row>
    <row r="154" spans="1:41" x14ac:dyDescent="0.3">
      <c r="A154" s="26" t="s">
        <v>3</v>
      </c>
      <c r="B154" s="21">
        <v>2017</v>
      </c>
      <c r="C154" s="21" t="s">
        <v>5</v>
      </c>
      <c r="D154" s="21" t="str">
        <f t="shared" si="16"/>
        <v>Mar-17</v>
      </c>
      <c r="E154" s="32">
        <v>42795</v>
      </c>
      <c r="F154" s="21" t="s">
        <v>84</v>
      </c>
      <c r="G154" s="21">
        <v>133.30000000000001</v>
      </c>
      <c r="H154" s="21">
        <v>139</v>
      </c>
      <c r="I154" s="21">
        <v>128.6</v>
      </c>
      <c r="J154" s="21">
        <v>136.30000000000001</v>
      </c>
      <c r="K154" s="21">
        <v>118.8</v>
      </c>
      <c r="L154" s="21">
        <v>138.30000000000001</v>
      </c>
      <c r="M154" s="21">
        <v>120.5</v>
      </c>
      <c r="N154" s="21">
        <v>143.9</v>
      </c>
      <c r="O154" s="21">
        <v>118</v>
      </c>
      <c r="P154" s="21">
        <v>137.9</v>
      </c>
      <c r="Q154" s="21">
        <v>127.2</v>
      </c>
      <c r="R154" s="21">
        <v>144</v>
      </c>
      <c r="S154" s="21">
        <v>133.1</v>
      </c>
      <c r="T154" s="21">
        <v>145.1</v>
      </c>
      <c r="U154" s="21">
        <v>137.30000000000001</v>
      </c>
      <c r="V154" s="21">
        <v>130.6</v>
      </c>
      <c r="W154" s="21">
        <v>136.4</v>
      </c>
      <c r="X154" s="21">
        <v>131.1</v>
      </c>
      <c r="Y154" s="21">
        <v>129.1</v>
      </c>
      <c r="Z154" s="21">
        <v>130.1</v>
      </c>
      <c r="AA154" s="21">
        <v>127.8</v>
      </c>
      <c r="AB154" s="21">
        <v>117.6</v>
      </c>
      <c r="AC154" s="21">
        <v>125</v>
      </c>
      <c r="AD154" s="21">
        <v>133.80000000000001</v>
      </c>
      <c r="AE154" s="21">
        <v>122.6</v>
      </c>
      <c r="AF154" s="21">
        <v>125.1</v>
      </c>
      <c r="AG154" s="21">
        <v>130.9</v>
      </c>
      <c r="AH154" s="28">
        <f t="shared" si="17"/>
        <v>3274.1</v>
      </c>
      <c r="AI154" s="28">
        <f t="shared" si="18"/>
        <v>506.5</v>
      </c>
      <c r="AJ154" s="28">
        <f t="shared" si="19"/>
        <v>267.89999999999998</v>
      </c>
      <c r="AK154" s="28">
        <f t="shared" si="20"/>
        <v>261.2</v>
      </c>
      <c r="AL154" s="28">
        <f t="shared" si="21"/>
        <v>1864</v>
      </c>
      <c r="AM154" s="28">
        <f t="shared" si="22"/>
        <v>126.625</v>
      </c>
      <c r="AN154" s="28">
        <f t="shared" si="23"/>
        <v>130.6</v>
      </c>
      <c r="AO154" s="29">
        <v>133.14285714285714</v>
      </c>
    </row>
    <row r="155" spans="1:41" x14ac:dyDescent="0.3">
      <c r="A155" s="27" t="s">
        <v>0</v>
      </c>
      <c r="B155" s="20">
        <v>2017</v>
      </c>
      <c r="C155" s="20" t="s">
        <v>6</v>
      </c>
      <c r="D155" s="21" t="str">
        <f t="shared" si="16"/>
        <v>Apr-17</v>
      </c>
      <c r="E155" s="33">
        <v>42826</v>
      </c>
      <c r="F155" s="20" t="s">
        <v>84</v>
      </c>
      <c r="G155" s="20">
        <v>133.19999999999999</v>
      </c>
      <c r="H155" s="20">
        <v>138.69999999999999</v>
      </c>
      <c r="I155" s="20">
        <v>127.1</v>
      </c>
      <c r="J155" s="20">
        <v>137.69999999999999</v>
      </c>
      <c r="K155" s="20">
        <v>121.3</v>
      </c>
      <c r="L155" s="20">
        <v>141.80000000000001</v>
      </c>
      <c r="M155" s="20">
        <v>121.5</v>
      </c>
      <c r="N155" s="20">
        <v>144.5</v>
      </c>
      <c r="O155" s="20">
        <v>117.4</v>
      </c>
      <c r="P155" s="20">
        <v>134.1</v>
      </c>
      <c r="Q155" s="20">
        <v>130</v>
      </c>
      <c r="R155" s="20">
        <v>145.5</v>
      </c>
      <c r="S155" s="20">
        <v>133.5</v>
      </c>
      <c r="T155" s="20">
        <v>144.4</v>
      </c>
      <c r="U155" s="20">
        <v>142.4</v>
      </c>
      <c r="V155" s="20">
        <v>136.80000000000001</v>
      </c>
      <c r="W155" s="20">
        <v>141.6</v>
      </c>
      <c r="X155" s="30">
        <f>'Handle missing value sheet only'!$C$1</f>
        <v>139.27096774193564</v>
      </c>
      <c r="Y155" s="20">
        <v>135</v>
      </c>
      <c r="Z155" s="20">
        <v>134.30000000000001</v>
      </c>
      <c r="AA155" s="20">
        <v>131</v>
      </c>
      <c r="AB155" s="20">
        <v>119.2</v>
      </c>
      <c r="AC155" s="20">
        <v>128.30000000000001</v>
      </c>
      <c r="AD155" s="20">
        <v>135.69999999999999</v>
      </c>
      <c r="AE155" s="20">
        <v>123.7</v>
      </c>
      <c r="AF155" s="20">
        <v>127.5</v>
      </c>
      <c r="AG155" s="20">
        <v>132.9</v>
      </c>
      <c r="AH155" s="28">
        <f t="shared" si="17"/>
        <v>3323.8709677419361</v>
      </c>
      <c r="AI155" s="28">
        <f t="shared" si="18"/>
        <v>515.20000000000005</v>
      </c>
      <c r="AJ155" s="28">
        <f t="shared" si="19"/>
        <v>279.20000000000005</v>
      </c>
      <c r="AK155" s="28">
        <f t="shared" si="20"/>
        <v>273.57096774193565</v>
      </c>
      <c r="AL155" s="28">
        <f t="shared" si="21"/>
        <v>1870.7</v>
      </c>
      <c r="AM155" s="28">
        <f t="shared" si="22"/>
        <v>128.80000000000001</v>
      </c>
      <c r="AN155" s="28">
        <f t="shared" si="23"/>
        <v>136.78548387096782</v>
      </c>
      <c r="AO155" s="31">
        <v>133.62142857142857</v>
      </c>
    </row>
    <row r="156" spans="1:41" x14ac:dyDescent="0.3">
      <c r="A156" s="26" t="s">
        <v>2</v>
      </c>
      <c r="B156" s="21">
        <v>2017</v>
      </c>
      <c r="C156" s="21" t="s">
        <v>6</v>
      </c>
      <c r="D156" s="21" t="str">
        <f t="shared" si="16"/>
        <v>Apr-17</v>
      </c>
      <c r="E156" s="32">
        <v>42826</v>
      </c>
      <c r="F156" s="21" t="s">
        <v>84</v>
      </c>
      <c r="G156" s="21">
        <v>132.69999999999999</v>
      </c>
      <c r="H156" s="21">
        <v>140.6</v>
      </c>
      <c r="I156" s="21">
        <v>124.5</v>
      </c>
      <c r="J156" s="21">
        <v>136.30000000000001</v>
      </c>
      <c r="K156" s="21">
        <v>113.5</v>
      </c>
      <c r="L156" s="21">
        <v>137.69999999999999</v>
      </c>
      <c r="M156" s="21">
        <v>127.1</v>
      </c>
      <c r="N156" s="21">
        <v>133.80000000000001</v>
      </c>
      <c r="O156" s="21">
        <v>120.8</v>
      </c>
      <c r="P156" s="21">
        <v>141.30000000000001</v>
      </c>
      <c r="Q156" s="21">
        <v>123.8</v>
      </c>
      <c r="R156" s="21">
        <v>142.6</v>
      </c>
      <c r="S156" s="21">
        <v>133.4</v>
      </c>
      <c r="T156" s="21">
        <v>148</v>
      </c>
      <c r="U156" s="21">
        <v>131.19999999999999</v>
      </c>
      <c r="V156" s="21">
        <v>123</v>
      </c>
      <c r="W156" s="21">
        <v>130</v>
      </c>
      <c r="X156" s="21">
        <v>131.69999999999999</v>
      </c>
      <c r="Y156" s="21">
        <v>121.4</v>
      </c>
      <c r="Z156" s="21">
        <v>126</v>
      </c>
      <c r="AA156" s="21">
        <v>123.4</v>
      </c>
      <c r="AB156" s="21">
        <v>114.3</v>
      </c>
      <c r="AC156" s="21">
        <v>122.6</v>
      </c>
      <c r="AD156" s="21">
        <v>133.6</v>
      </c>
      <c r="AE156" s="21">
        <v>122.2</v>
      </c>
      <c r="AF156" s="21">
        <v>122.5</v>
      </c>
      <c r="AG156" s="21">
        <v>129.1</v>
      </c>
      <c r="AH156" s="28">
        <f t="shared" si="17"/>
        <v>3228.0000000000005</v>
      </c>
      <c r="AI156" s="28">
        <f t="shared" si="18"/>
        <v>500.9</v>
      </c>
      <c r="AJ156" s="28">
        <f t="shared" si="19"/>
        <v>254.2</v>
      </c>
      <c r="AK156" s="28">
        <f t="shared" si="20"/>
        <v>257.7</v>
      </c>
      <c r="AL156" s="28">
        <f t="shared" si="21"/>
        <v>1856.1</v>
      </c>
      <c r="AM156" s="28">
        <f t="shared" si="22"/>
        <v>125.22499999999999</v>
      </c>
      <c r="AN156" s="28">
        <f t="shared" si="23"/>
        <v>128.85</v>
      </c>
      <c r="AO156" s="29">
        <v>132.57857142857142</v>
      </c>
    </row>
    <row r="157" spans="1:41" x14ac:dyDescent="0.3">
      <c r="A157" s="27" t="s">
        <v>3</v>
      </c>
      <c r="B157" s="20">
        <v>2017</v>
      </c>
      <c r="C157" s="20" t="s">
        <v>6</v>
      </c>
      <c r="D157" s="21" t="str">
        <f t="shared" si="16"/>
        <v>Apr-17</v>
      </c>
      <c r="E157" s="33">
        <v>42826</v>
      </c>
      <c r="F157" s="20" t="s">
        <v>84</v>
      </c>
      <c r="G157" s="20">
        <v>133</v>
      </c>
      <c r="H157" s="20">
        <v>139.4</v>
      </c>
      <c r="I157" s="20">
        <v>126.1</v>
      </c>
      <c r="J157" s="20">
        <v>137.19999999999999</v>
      </c>
      <c r="K157" s="20">
        <v>118.4</v>
      </c>
      <c r="L157" s="20">
        <v>139.9</v>
      </c>
      <c r="M157" s="20">
        <v>123.4</v>
      </c>
      <c r="N157" s="20">
        <v>140.9</v>
      </c>
      <c r="O157" s="20">
        <v>118.5</v>
      </c>
      <c r="P157" s="20">
        <v>136.5</v>
      </c>
      <c r="Q157" s="20">
        <v>127.4</v>
      </c>
      <c r="R157" s="20">
        <v>144.19999999999999</v>
      </c>
      <c r="S157" s="20">
        <v>133.5</v>
      </c>
      <c r="T157" s="20">
        <v>145.4</v>
      </c>
      <c r="U157" s="20">
        <v>138</v>
      </c>
      <c r="V157" s="20">
        <v>131.1</v>
      </c>
      <c r="W157" s="20">
        <v>137</v>
      </c>
      <c r="X157" s="20">
        <v>131.69999999999999</v>
      </c>
      <c r="Y157" s="20">
        <v>129.80000000000001</v>
      </c>
      <c r="Z157" s="20">
        <v>130.4</v>
      </c>
      <c r="AA157" s="20">
        <v>128.1</v>
      </c>
      <c r="AB157" s="20">
        <v>116.6</v>
      </c>
      <c r="AC157" s="20">
        <v>125.1</v>
      </c>
      <c r="AD157" s="20">
        <v>134.5</v>
      </c>
      <c r="AE157" s="20">
        <v>123.1</v>
      </c>
      <c r="AF157" s="20">
        <v>125.1</v>
      </c>
      <c r="AG157" s="20">
        <v>131.1</v>
      </c>
      <c r="AH157" s="28">
        <f t="shared" si="17"/>
        <v>3277.3</v>
      </c>
      <c r="AI157" s="28">
        <f t="shared" si="18"/>
        <v>507.79999999999995</v>
      </c>
      <c r="AJ157" s="28">
        <f t="shared" si="19"/>
        <v>269.10000000000002</v>
      </c>
      <c r="AK157" s="28">
        <f t="shared" si="20"/>
        <v>262.10000000000002</v>
      </c>
      <c r="AL157" s="28">
        <f t="shared" si="21"/>
        <v>1863.8000000000002</v>
      </c>
      <c r="AM157" s="28">
        <f t="shared" si="22"/>
        <v>126.94999999999999</v>
      </c>
      <c r="AN157" s="28">
        <f t="shared" si="23"/>
        <v>131.05000000000001</v>
      </c>
      <c r="AO157" s="31">
        <v>133.12857142857143</v>
      </c>
    </row>
    <row r="158" spans="1:41" x14ac:dyDescent="0.3">
      <c r="A158" s="26" t="s">
        <v>0</v>
      </c>
      <c r="B158" s="21">
        <v>2017</v>
      </c>
      <c r="C158" s="21" t="s">
        <v>7</v>
      </c>
      <c r="D158" s="21" t="str">
        <f t="shared" si="16"/>
        <v>May-17</v>
      </c>
      <c r="E158" s="32">
        <v>42856</v>
      </c>
      <c r="F158" s="21" t="s">
        <v>84</v>
      </c>
      <c r="G158" s="21">
        <v>133.1</v>
      </c>
      <c r="H158" s="21">
        <v>140.30000000000001</v>
      </c>
      <c r="I158" s="21">
        <v>126.8</v>
      </c>
      <c r="J158" s="21">
        <v>138.19999999999999</v>
      </c>
      <c r="K158" s="21">
        <v>120.8</v>
      </c>
      <c r="L158" s="21">
        <v>140.19999999999999</v>
      </c>
      <c r="M158" s="21">
        <v>123.8</v>
      </c>
      <c r="N158" s="21">
        <v>141.80000000000001</v>
      </c>
      <c r="O158" s="21">
        <v>118.6</v>
      </c>
      <c r="P158" s="21">
        <v>134</v>
      </c>
      <c r="Q158" s="21">
        <v>130.30000000000001</v>
      </c>
      <c r="R158" s="21">
        <v>145.80000000000001</v>
      </c>
      <c r="S158" s="21">
        <v>133.80000000000001</v>
      </c>
      <c r="T158" s="21">
        <v>145.5</v>
      </c>
      <c r="U158" s="21">
        <v>142.5</v>
      </c>
      <c r="V158" s="21">
        <v>137.30000000000001</v>
      </c>
      <c r="W158" s="21">
        <v>141.80000000000001</v>
      </c>
      <c r="X158" s="28">
        <f>'Handle missing value sheet only'!$C$1</f>
        <v>139.27096774193564</v>
      </c>
      <c r="Y158" s="21">
        <v>135</v>
      </c>
      <c r="Z158" s="21">
        <v>134.9</v>
      </c>
      <c r="AA158" s="21">
        <v>131.4</v>
      </c>
      <c r="AB158" s="21">
        <v>119.4</v>
      </c>
      <c r="AC158" s="21">
        <v>129.4</v>
      </c>
      <c r="AD158" s="21">
        <v>136.30000000000001</v>
      </c>
      <c r="AE158" s="21">
        <v>123.7</v>
      </c>
      <c r="AF158" s="21">
        <v>127.9</v>
      </c>
      <c r="AG158" s="21">
        <v>133.30000000000001</v>
      </c>
      <c r="AH158" s="28">
        <f t="shared" si="17"/>
        <v>3330.0709677419363</v>
      </c>
      <c r="AI158" s="28">
        <f t="shared" si="18"/>
        <v>517.30000000000007</v>
      </c>
      <c r="AJ158" s="28">
        <f t="shared" si="19"/>
        <v>279.8</v>
      </c>
      <c r="AK158" s="28">
        <f t="shared" si="20"/>
        <v>274.17096774193567</v>
      </c>
      <c r="AL158" s="28">
        <f t="shared" si="21"/>
        <v>1872.9999999999995</v>
      </c>
      <c r="AM158" s="28">
        <f t="shared" si="22"/>
        <v>129.32500000000002</v>
      </c>
      <c r="AN158" s="28">
        <f t="shared" si="23"/>
        <v>137.08548387096783</v>
      </c>
      <c r="AO158" s="29">
        <v>133.78571428571425</v>
      </c>
    </row>
    <row r="159" spans="1:41" x14ac:dyDescent="0.3">
      <c r="A159" s="27" t="s">
        <v>2</v>
      </c>
      <c r="B159" s="20">
        <v>2017</v>
      </c>
      <c r="C159" s="20" t="s">
        <v>7</v>
      </c>
      <c r="D159" s="21" t="str">
        <f t="shared" si="16"/>
        <v>May-17</v>
      </c>
      <c r="E159" s="33">
        <v>42856</v>
      </c>
      <c r="F159" s="20" t="s">
        <v>84</v>
      </c>
      <c r="G159" s="20">
        <v>132.6</v>
      </c>
      <c r="H159" s="20">
        <v>144.1</v>
      </c>
      <c r="I159" s="20">
        <v>125.6</v>
      </c>
      <c r="J159" s="20">
        <v>136.80000000000001</v>
      </c>
      <c r="K159" s="20">
        <v>113.4</v>
      </c>
      <c r="L159" s="20">
        <v>135.19999999999999</v>
      </c>
      <c r="M159" s="20">
        <v>129.19999999999999</v>
      </c>
      <c r="N159" s="20">
        <v>131.5</v>
      </c>
      <c r="O159" s="20">
        <v>121</v>
      </c>
      <c r="P159" s="20">
        <v>139.9</v>
      </c>
      <c r="Q159" s="20">
        <v>123.8</v>
      </c>
      <c r="R159" s="20">
        <v>142.9</v>
      </c>
      <c r="S159" s="20">
        <v>133.6</v>
      </c>
      <c r="T159" s="20">
        <v>148.30000000000001</v>
      </c>
      <c r="U159" s="20">
        <v>131.5</v>
      </c>
      <c r="V159" s="20">
        <v>123.2</v>
      </c>
      <c r="W159" s="20">
        <v>130.19999999999999</v>
      </c>
      <c r="X159" s="20">
        <v>132.1</v>
      </c>
      <c r="Y159" s="20">
        <v>120.1</v>
      </c>
      <c r="Z159" s="20">
        <v>126.5</v>
      </c>
      <c r="AA159" s="20">
        <v>123.6</v>
      </c>
      <c r="AB159" s="20">
        <v>114.3</v>
      </c>
      <c r="AC159" s="20">
        <v>122.8</v>
      </c>
      <c r="AD159" s="20">
        <v>133.80000000000001</v>
      </c>
      <c r="AE159" s="20">
        <v>122</v>
      </c>
      <c r="AF159" s="20">
        <v>122.6</v>
      </c>
      <c r="AG159" s="20">
        <v>129.30000000000001</v>
      </c>
      <c r="AH159" s="28">
        <f t="shared" si="17"/>
        <v>3230.4</v>
      </c>
      <c r="AI159" s="28">
        <f t="shared" si="18"/>
        <v>501.2</v>
      </c>
      <c r="AJ159" s="28">
        <f t="shared" si="19"/>
        <v>254.7</v>
      </c>
      <c r="AK159" s="28">
        <f t="shared" si="20"/>
        <v>258.60000000000002</v>
      </c>
      <c r="AL159" s="28">
        <f t="shared" si="21"/>
        <v>1857.8999999999999</v>
      </c>
      <c r="AM159" s="28">
        <f t="shared" si="22"/>
        <v>125.3</v>
      </c>
      <c r="AN159" s="28">
        <f t="shared" si="23"/>
        <v>129.30000000000001</v>
      </c>
      <c r="AO159" s="31">
        <v>132.70714285714286</v>
      </c>
    </row>
    <row r="160" spans="1:41" x14ac:dyDescent="0.3">
      <c r="A160" s="26" t="s">
        <v>3</v>
      </c>
      <c r="B160" s="21">
        <v>2017</v>
      </c>
      <c r="C160" s="21" t="s">
        <v>7</v>
      </c>
      <c r="D160" s="21" t="str">
        <f t="shared" si="16"/>
        <v>May-17</v>
      </c>
      <c r="E160" s="32">
        <v>42856</v>
      </c>
      <c r="F160" s="21" t="s">
        <v>84</v>
      </c>
      <c r="G160" s="21">
        <v>132.9</v>
      </c>
      <c r="H160" s="21">
        <v>141.6</v>
      </c>
      <c r="I160" s="21">
        <v>126.3</v>
      </c>
      <c r="J160" s="21">
        <v>137.69999999999999</v>
      </c>
      <c r="K160" s="21">
        <v>118.1</v>
      </c>
      <c r="L160" s="21">
        <v>137.9</v>
      </c>
      <c r="M160" s="21">
        <v>125.6</v>
      </c>
      <c r="N160" s="21">
        <v>138.30000000000001</v>
      </c>
      <c r="O160" s="21">
        <v>119.4</v>
      </c>
      <c r="P160" s="21">
        <v>136</v>
      </c>
      <c r="Q160" s="21">
        <v>127.6</v>
      </c>
      <c r="R160" s="21">
        <v>144.5</v>
      </c>
      <c r="S160" s="21">
        <v>133.69999999999999</v>
      </c>
      <c r="T160" s="21">
        <v>146.19999999999999</v>
      </c>
      <c r="U160" s="21">
        <v>138.19999999999999</v>
      </c>
      <c r="V160" s="21">
        <v>131.4</v>
      </c>
      <c r="W160" s="21">
        <v>137.19999999999999</v>
      </c>
      <c r="X160" s="21">
        <v>132.1</v>
      </c>
      <c r="Y160" s="21">
        <v>129.4</v>
      </c>
      <c r="Z160" s="21">
        <v>130.9</v>
      </c>
      <c r="AA160" s="21">
        <v>128.4</v>
      </c>
      <c r="AB160" s="21">
        <v>116.7</v>
      </c>
      <c r="AC160" s="21">
        <v>125.7</v>
      </c>
      <c r="AD160" s="21">
        <v>134.80000000000001</v>
      </c>
      <c r="AE160" s="21">
        <v>123</v>
      </c>
      <c r="AF160" s="21">
        <v>125.3</v>
      </c>
      <c r="AG160" s="21">
        <v>131.4</v>
      </c>
      <c r="AH160" s="28">
        <f t="shared" si="17"/>
        <v>3281.7</v>
      </c>
      <c r="AI160" s="28">
        <f t="shared" si="18"/>
        <v>508.8</v>
      </c>
      <c r="AJ160" s="28">
        <f t="shared" si="19"/>
        <v>269.60000000000002</v>
      </c>
      <c r="AK160" s="28">
        <f t="shared" si="20"/>
        <v>263</v>
      </c>
      <c r="AL160" s="28">
        <f t="shared" si="21"/>
        <v>1865.8000000000002</v>
      </c>
      <c r="AM160" s="28">
        <f t="shared" si="22"/>
        <v>127.2</v>
      </c>
      <c r="AN160" s="28">
        <f t="shared" si="23"/>
        <v>131.5</v>
      </c>
      <c r="AO160" s="29">
        <v>133.27142857142857</v>
      </c>
    </row>
    <row r="161" spans="1:41" x14ac:dyDescent="0.3">
      <c r="A161" s="27" t="s">
        <v>0</v>
      </c>
      <c r="B161" s="20">
        <v>2017</v>
      </c>
      <c r="C161" s="20" t="s">
        <v>8</v>
      </c>
      <c r="D161" s="21" t="str">
        <f t="shared" si="16"/>
        <v>Jun-17</v>
      </c>
      <c r="E161" s="33">
        <v>42887</v>
      </c>
      <c r="F161" s="20" t="s">
        <v>84</v>
      </c>
      <c r="G161" s="20">
        <v>133.5</v>
      </c>
      <c r="H161" s="20">
        <v>143.69999999999999</v>
      </c>
      <c r="I161" s="20">
        <v>128</v>
      </c>
      <c r="J161" s="20">
        <v>138.6</v>
      </c>
      <c r="K161" s="20">
        <v>120.9</v>
      </c>
      <c r="L161" s="20">
        <v>140.9</v>
      </c>
      <c r="M161" s="20">
        <v>128.80000000000001</v>
      </c>
      <c r="N161" s="20">
        <v>140.19999999999999</v>
      </c>
      <c r="O161" s="20">
        <v>118.9</v>
      </c>
      <c r="P161" s="20">
        <v>133.5</v>
      </c>
      <c r="Q161" s="20">
        <v>130.4</v>
      </c>
      <c r="R161" s="20">
        <v>146.5</v>
      </c>
      <c r="S161" s="20">
        <v>134.9</v>
      </c>
      <c r="T161" s="20">
        <v>145.80000000000001</v>
      </c>
      <c r="U161" s="20">
        <v>143.1</v>
      </c>
      <c r="V161" s="20">
        <v>137.69999999999999</v>
      </c>
      <c r="W161" s="20">
        <v>142.30000000000001</v>
      </c>
      <c r="X161" s="30">
        <f>'Handle missing value sheet only'!$C$1</f>
        <v>139.27096774193564</v>
      </c>
      <c r="Y161" s="20">
        <v>134.80000000000001</v>
      </c>
      <c r="Z161" s="20">
        <v>135.19999999999999</v>
      </c>
      <c r="AA161" s="20">
        <v>131.30000000000001</v>
      </c>
      <c r="AB161" s="20">
        <v>119.4</v>
      </c>
      <c r="AC161" s="20">
        <v>129.80000000000001</v>
      </c>
      <c r="AD161" s="20">
        <v>136.9</v>
      </c>
      <c r="AE161" s="20">
        <v>124.1</v>
      </c>
      <c r="AF161" s="20">
        <v>128.1</v>
      </c>
      <c r="AG161" s="20">
        <v>133.9</v>
      </c>
      <c r="AH161" s="28">
        <f t="shared" si="17"/>
        <v>3344.2709677419357</v>
      </c>
      <c r="AI161" s="28">
        <f t="shared" si="18"/>
        <v>518.90000000000009</v>
      </c>
      <c r="AJ161" s="28">
        <f t="shared" si="19"/>
        <v>280.79999999999995</v>
      </c>
      <c r="AK161" s="28">
        <f t="shared" si="20"/>
        <v>274.47096774193562</v>
      </c>
      <c r="AL161" s="28">
        <f t="shared" si="21"/>
        <v>1884.6000000000001</v>
      </c>
      <c r="AM161" s="28">
        <f t="shared" si="22"/>
        <v>129.72500000000002</v>
      </c>
      <c r="AN161" s="28">
        <f t="shared" si="23"/>
        <v>137.23548387096781</v>
      </c>
      <c r="AO161" s="31">
        <v>134.61428571428573</v>
      </c>
    </row>
    <row r="162" spans="1:41" x14ac:dyDescent="0.3">
      <c r="A162" s="26" t="s">
        <v>2</v>
      </c>
      <c r="B162" s="21">
        <v>2017</v>
      </c>
      <c r="C162" s="21" t="s">
        <v>8</v>
      </c>
      <c r="D162" s="21" t="str">
        <f t="shared" si="16"/>
        <v>Jun-17</v>
      </c>
      <c r="E162" s="32">
        <v>42887</v>
      </c>
      <c r="F162" s="21" t="s">
        <v>84</v>
      </c>
      <c r="G162" s="21">
        <v>132.9</v>
      </c>
      <c r="H162" s="21">
        <v>148.69999999999999</v>
      </c>
      <c r="I162" s="21">
        <v>128.30000000000001</v>
      </c>
      <c r="J162" s="21">
        <v>137.30000000000001</v>
      </c>
      <c r="K162" s="21">
        <v>113.5</v>
      </c>
      <c r="L162" s="21">
        <v>137.19999999999999</v>
      </c>
      <c r="M162" s="21">
        <v>142.19999999999999</v>
      </c>
      <c r="N162" s="21">
        <v>128.19999999999999</v>
      </c>
      <c r="O162" s="21">
        <v>120.9</v>
      </c>
      <c r="P162" s="21">
        <v>138.80000000000001</v>
      </c>
      <c r="Q162" s="21">
        <v>124.2</v>
      </c>
      <c r="R162" s="21">
        <v>143.1</v>
      </c>
      <c r="S162" s="21">
        <v>135.69999999999999</v>
      </c>
      <c r="T162" s="21">
        <v>148.6</v>
      </c>
      <c r="U162" s="21">
        <v>131.5</v>
      </c>
      <c r="V162" s="21">
        <v>123.2</v>
      </c>
      <c r="W162" s="21">
        <v>130.19999999999999</v>
      </c>
      <c r="X162" s="21">
        <v>131.4</v>
      </c>
      <c r="Y162" s="21">
        <v>119</v>
      </c>
      <c r="Z162" s="21">
        <v>126.8</v>
      </c>
      <c r="AA162" s="21">
        <v>123.8</v>
      </c>
      <c r="AB162" s="21">
        <v>113.9</v>
      </c>
      <c r="AC162" s="21">
        <v>122.9</v>
      </c>
      <c r="AD162" s="21">
        <v>134.30000000000001</v>
      </c>
      <c r="AE162" s="21">
        <v>122.5</v>
      </c>
      <c r="AF162" s="21">
        <v>122.7</v>
      </c>
      <c r="AG162" s="21">
        <v>129.9</v>
      </c>
      <c r="AH162" s="28">
        <f t="shared" si="17"/>
        <v>3251.5999999999995</v>
      </c>
      <c r="AI162" s="28">
        <f t="shared" si="18"/>
        <v>502.4</v>
      </c>
      <c r="AJ162" s="28">
        <f t="shared" si="19"/>
        <v>254.7</v>
      </c>
      <c r="AK162" s="28">
        <f t="shared" si="20"/>
        <v>258.2</v>
      </c>
      <c r="AL162" s="28">
        <f t="shared" si="21"/>
        <v>1879.6000000000001</v>
      </c>
      <c r="AM162" s="28">
        <f t="shared" si="22"/>
        <v>125.6</v>
      </c>
      <c r="AN162" s="28">
        <f t="shared" si="23"/>
        <v>129.1</v>
      </c>
      <c r="AO162" s="29">
        <v>134.25714285714287</v>
      </c>
    </row>
    <row r="163" spans="1:41" x14ac:dyDescent="0.3">
      <c r="A163" s="27" t="s">
        <v>3</v>
      </c>
      <c r="B163" s="20">
        <v>2017</v>
      </c>
      <c r="C163" s="20" t="s">
        <v>8</v>
      </c>
      <c r="D163" s="21" t="str">
        <f t="shared" si="16"/>
        <v>Jun-17</v>
      </c>
      <c r="E163" s="33">
        <v>42887</v>
      </c>
      <c r="F163" s="20" t="s">
        <v>84</v>
      </c>
      <c r="G163" s="20">
        <v>133.30000000000001</v>
      </c>
      <c r="H163" s="20">
        <v>145.5</v>
      </c>
      <c r="I163" s="20">
        <v>128.1</v>
      </c>
      <c r="J163" s="20">
        <v>138.1</v>
      </c>
      <c r="K163" s="20">
        <v>118.2</v>
      </c>
      <c r="L163" s="20">
        <v>139.19999999999999</v>
      </c>
      <c r="M163" s="20">
        <v>133.30000000000001</v>
      </c>
      <c r="N163" s="20">
        <v>136.19999999999999</v>
      </c>
      <c r="O163" s="20">
        <v>119.6</v>
      </c>
      <c r="P163" s="20">
        <v>135.30000000000001</v>
      </c>
      <c r="Q163" s="20">
        <v>127.8</v>
      </c>
      <c r="R163" s="20">
        <v>144.9</v>
      </c>
      <c r="S163" s="20">
        <v>135.19999999999999</v>
      </c>
      <c r="T163" s="20">
        <v>146.5</v>
      </c>
      <c r="U163" s="20">
        <v>138.5</v>
      </c>
      <c r="V163" s="20">
        <v>131.69999999999999</v>
      </c>
      <c r="W163" s="20">
        <v>137.5</v>
      </c>
      <c r="X163" s="20">
        <v>131.4</v>
      </c>
      <c r="Y163" s="20">
        <v>128.80000000000001</v>
      </c>
      <c r="Z163" s="20">
        <v>131.19999999999999</v>
      </c>
      <c r="AA163" s="20">
        <v>128.5</v>
      </c>
      <c r="AB163" s="20">
        <v>116.5</v>
      </c>
      <c r="AC163" s="20">
        <v>125.9</v>
      </c>
      <c r="AD163" s="20">
        <v>135.4</v>
      </c>
      <c r="AE163" s="20">
        <v>123.4</v>
      </c>
      <c r="AF163" s="20">
        <v>125.5</v>
      </c>
      <c r="AG163" s="20">
        <v>132</v>
      </c>
      <c r="AH163" s="28">
        <f t="shared" si="17"/>
        <v>3297.9999999999995</v>
      </c>
      <c r="AI163" s="28">
        <f t="shared" si="18"/>
        <v>510.20000000000005</v>
      </c>
      <c r="AJ163" s="28">
        <f t="shared" si="19"/>
        <v>270.2</v>
      </c>
      <c r="AK163" s="28">
        <f t="shared" si="20"/>
        <v>262.60000000000002</v>
      </c>
      <c r="AL163" s="28">
        <f t="shared" si="21"/>
        <v>1881.2</v>
      </c>
      <c r="AM163" s="28">
        <f t="shared" si="22"/>
        <v>127.55000000000001</v>
      </c>
      <c r="AN163" s="28">
        <f t="shared" si="23"/>
        <v>131.30000000000001</v>
      </c>
      <c r="AO163" s="31">
        <v>134.37142857142857</v>
      </c>
    </row>
    <row r="164" spans="1:41" x14ac:dyDescent="0.3">
      <c r="A164" s="26" t="s">
        <v>0</v>
      </c>
      <c r="B164" s="21">
        <v>2017</v>
      </c>
      <c r="C164" s="21" t="s">
        <v>9</v>
      </c>
      <c r="D164" s="21" t="str">
        <f t="shared" si="16"/>
        <v>Jul-17</v>
      </c>
      <c r="E164" s="32">
        <v>42917</v>
      </c>
      <c r="F164" s="21" t="s">
        <v>84</v>
      </c>
      <c r="G164" s="21">
        <v>134</v>
      </c>
      <c r="H164" s="21">
        <v>144.19999999999999</v>
      </c>
      <c r="I164" s="21">
        <v>129.80000000000001</v>
      </c>
      <c r="J164" s="21">
        <v>139</v>
      </c>
      <c r="K164" s="21">
        <v>120.9</v>
      </c>
      <c r="L164" s="21">
        <v>143.9</v>
      </c>
      <c r="M164" s="21">
        <v>151.5</v>
      </c>
      <c r="N164" s="21">
        <v>138.1</v>
      </c>
      <c r="O164" s="21">
        <v>120</v>
      </c>
      <c r="P164" s="21">
        <v>133.9</v>
      </c>
      <c r="Q164" s="21">
        <v>131.4</v>
      </c>
      <c r="R164" s="21">
        <v>147.69999999999999</v>
      </c>
      <c r="S164" s="21">
        <v>138.5</v>
      </c>
      <c r="T164" s="21">
        <v>147.4</v>
      </c>
      <c r="U164" s="21">
        <v>144.30000000000001</v>
      </c>
      <c r="V164" s="21">
        <v>138.1</v>
      </c>
      <c r="W164" s="21">
        <v>143.5</v>
      </c>
      <c r="X164" s="28">
        <f>'Handle missing value sheet only'!$C$1</f>
        <v>139.27096774193564</v>
      </c>
      <c r="Y164" s="21">
        <v>135.30000000000001</v>
      </c>
      <c r="Z164" s="21">
        <v>136.1</v>
      </c>
      <c r="AA164" s="21">
        <v>132.1</v>
      </c>
      <c r="AB164" s="21">
        <v>119.1</v>
      </c>
      <c r="AC164" s="21">
        <v>130.6</v>
      </c>
      <c r="AD164" s="21">
        <v>138.6</v>
      </c>
      <c r="AE164" s="21">
        <v>124.4</v>
      </c>
      <c r="AF164" s="21">
        <v>128.6</v>
      </c>
      <c r="AG164" s="21">
        <v>136.19999999999999</v>
      </c>
      <c r="AH164" s="28">
        <f t="shared" si="17"/>
        <v>3386.7709677419357</v>
      </c>
      <c r="AI164" s="28">
        <f t="shared" si="18"/>
        <v>522.20000000000005</v>
      </c>
      <c r="AJ164" s="28">
        <f t="shared" si="19"/>
        <v>282.39999999999998</v>
      </c>
      <c r="AK164" s="28">
        <f t="shared" si="20"/>
        <v>275.3709677419356</v>
      </c>
      <c r="AL164" s="28">
        <f t="shared" si="21"/>
        <v>1920.3000000000002</v>
      </c>
      <c r="AM164" s="28">
        <f t="shared" si="22"/>
        <v>130.55000000000001</v>
      </c>
      <c r="AN164" s="28">
        <f t="shared" si="23"/>
        <v>137.6854838709678</v>
      </c>
      <c r="AO164" s="29">
        <v>137.16428571428574</v>
      </c>
    </row>
    <row r="165" spans="1:41" x14ac:dyDescent="0.3">
      <c r="A165" s="27" t="s">
        <v>2</v>
      </c>
      <c r="B165" s="20">
        <v>2017</v>
      </c>
      <c r="C165" s="20" t="s">
        <v>9</v>
      </c>
      <c r="D165" s="21" t="str">
        <f t="shared" si="16"/>
        <v>Jul-17</v>
      </c>
      <c r="E165" s="33">
        <v>42917</v>
      </c>
      <c r="F165" s="20" t="s">
        <v>84</v>
      </c>
      <c r="G165" s="20">
        <v>132.80000000000001</v>
      </c>
      <c r="H165" s="20">
        <v>148.4</v>
      </c>
      <c r="I165" s="20">
        <v>129.4</v>
      </c>
      <c r="J165" s="20">
        <v>137.69999999999999</v>
      </c>
      <c r="K165" s="20">
        <v>113.4</v>
      </c>
      <c r="L165" s="20">
        <v>139.4</v>
      </c>
      <c r="M165" s="20">
        <v>175.1</v>
      </c>
      <c r="N165" s="20">
        <v>124.7</v>
      </c>
      <c r="O165" s="20">
        <v>121.5</v>
      </c>
      <c r="P165" s="20">
        <v>137.80000000000001</v>
      </c>
      <c r="Q165" s="20">
        <v>124.4</v>
      </c>
      <c r="R165" s="20">
        <v>143.69999999999999</v>
      </c>
      <c r="S165" s="20">
        <v>139.80000000000001</v>
      </c>
      <c r="T165" s="20">
        <v>150.5</v>
      </c>
      <c r="U165" s="20">
        <v>131.6</v>
      </c>
      <c r="V165" s="20">
        <v>123.7</v>
      </c>
      <c r="W165" s="20">
        <v>130.4</v>
      </c>
      <c r="X165" s="20">
        <v>132.6</v>
      </c>
      <c r="Y165" s="20">
        <v>119.7</v>
      </c>
      <c r="Z165" s="20">
        <v>127.2</v>
      </c>
      <c r="AA165" s="20">
        <v>125</v>
      </c>
      <c r="AB165" s="20">
        <v>113.2</v>
      </c>
      <c r="AC165" s="20">
        <v>123.5</v>
      </c>
      <c r="AD165" s="20">
        <v>135.5</v>
      </c>
      <c r="AE165" s="20">
        <v>122.4</v>
      </c>
      <c r="AF165" s="20">
        <v>123</v>
      </c>
      <c r="AG165" s="20">
        <v>131.80000000000001</v>
      </c>
      <c r="AH165" s="28">
        <f t="shared" si="17"/>
        <v>3296</v>
      </c>
      <c r="AI165" s="28">
        <f t="shared" si="18"/>
        <v>504.4</v>
      </c>
      <c r="AJ165" s="28">
        <f t="shared" si="19"/>
        <v>255.3</v>
      </c>
      <c r="AK165" s="28">
        <f t="shared" si="20"/>
        <v>259.8</v>
      </c>
      <c r="AL165" s="28">
        <f t="shared" si="21"/>
        <v>1918.6</v>
      </c>
      <c r="AM165" s="28">
        <f t="shared" si="22"/>
        <v>126.1</v>
      </c>
      <c r="AN165" s="28">
        <f t="shared" si="23"/>
        <v>129.9</v>
      </c>
      <c r="AO165" s="31">
        <v>137.04285714285714</v>
      </c>
    </row>
    <row r="166" spans="1:41" x14ac:dyDescent="0.3">
      <c r="A166" s="26" t="s">
        <v>3</v>
      </c>
      <c r="B166" s="21">
        <v>2017</v>
      </c>
      <c r="C166" s="21" t="s">
        <v>9</v>
      </c>
      <c r="D166" s="21" t="str">
        <f t="shared" si="16"/>
        <v>Jul-17</v>
      </c>
      <c r="E166" s="32">
        <v>42917</v>
      </c>
      <c r="F166" s="21" t="s">
        <v>84</v>
      </c>
      <c r="G166" s="21">
        <v>133.6</v>
      </c>
      <c r="H166" s="21">
        <v>145.69999999999999</v>
      </c>
      <c r="I166" s="21">
        <v>129.6</v>
      </c>
      <c r="J166" s="21">
        <v>138.5</v>
      </c>
      <c r="K166" s="21">
        <v>118.1</v>
      </c>
      <c r="L166" s="21">
        <v>141.80000000000001</v>
      </c>
      <c r="M166" s="21">
        <v>159.5</v>
      </c>
      <c r="N166" s="21">
        <v>133.6</v>
      </c>
      <c r="O166" s="21">
        <v>120.5</v>
      </c>
      <c r="P166" s="21">
        <v>135.19999999999999</v>
      </c>
      <c r="Q166" s="21">
        <v>128.5</v>
      </c>
      <c r="R166" s="21">
        <v>145.80000000000001</v>
      </c>
      <c r="S166" s="21">
        <v>139</v>
      </c>
      <c r="T166" s="21">
        <v>148.19999999999999</v>
      </c>
      <c r="U166" s="21">
        <v>139.30000000000001</v>
      </c>
      <c r="V166" s="21">
        <v>132.1</v>
      </c>
      <c r="W166" s="21">
        <v>138.30000000000001</v>
      </c>
      <c r="X166" s="21">
        <v>132.6</v>
      </c>
      <c r="Y166" s="21">
        <v>129.4</v>
      </c>
      <c r="Z166" s="21">
        <v>131.9</v>
      </c>
      <c r="AA166" s="21">
        <v>129.4</v>
      </c>
      <c r="AB166" s="21">
        <v>116</v>
      </c>
      <c r="AC166" s="21">
        <v>126.6</v>
      </c>
      <c r="AD166" s="21">
        <v>136.80000000000001</v>
      </c>
      <c r="AE166" s="21">
        <v>123.6</v>
      </c>
      <c r="AF166" s="21">
        <v>125.9</v>
      </c>
      <c r="AG166" s="21">
        <v>134.19999999999999</v>
      </c>
      <c r="AH166" s="28">
        <f t="shared" si="17"/>
        <v>3341.2</v>
      </c>
      <c r="AI166" s="28">
        <f t="shared" si="18"/>
        <v>512.9</v>
      </c>
      <c r="AJ166" s="28">
        <f t="shared" si="19"/>
        <v>271.39999999999998</v>
      </c>
      <c r="AK166" s="28">
        <f t="shared" si="20"/>
        <v>264.5</v>
      </c>
      <c r="AL166" s="28">
        <f t="shared" si="21"/>
        <v>1917.6</v>
      </c>
      <c r="AM166" s="28">
        <f t="shared" si="22"/>
        <v>128.22499999999999</v>
      </c>
      <c r="AN166" s="28">
        <f t="shared" si="23"/>
        <v>132.25</v>
      </c>
      <c r="AO166" s="29">
        <v>136.97142857142856</v>
      </c>
    </row>
    <row r="167" spans="1:41" x14ac:dyDescent="0.3">
      <c r="A167" s="27" t="s">
        <v>0</v>
      </c>
      <c r="B167" s="20">
        <v>2017</v>
      </c>
      <c r="C167" s="20" t="s">
        <v>10</v>
      </c>
      <c r="D167" s="21" t="str">
        <f t="shared" si="16"/>
        <v>Aug-17</v>
      </c>
      <c r="E167" s="33">
        <v>42948</v>
      </c>
      <c r="F167" s="20" t="s">
        <v>84</v>
      </c>
      <c r="G167" s="20">
        <v>134.80000000000001</v>
      </c>
      <c r="H167" s="20">
        <v>143.1</v>
      </c>
      <c r="I167" s="20">
        <v>130</v>
      </c>
      <c r="J167" s="20">
        <v>139.4</v>
      </c>
      <c r="K167" s="20">
        <v>120.5</v>
      </c>
      <c r="L167" s="20">
        <v>148</v>
      </c>
      <c r="M167" s="20">
        <v>162.9</v>
      </c>
      <c r="N167" s="20">
        <v>137.4</v>
      </c>
      <c r="O167" s="20">
        <v>120.8</v>
      </c>
      <c r="P167" s="20">
        <v>134.69999999999999</v>
      </c>
      <c r="Q167" s="20">
        <v>131.6</v>
      </c>
      <c r="R167" s="20">
        <v>148.69999999999999</v>
      </c>
      <c r="S167" s="20">
        <v>140.6</v>
      </c>
      <c r="T167" s="20">
        <v>149</v>
      </c>
      <c r="U167" s="20">
        <v>145.30000000000001</v>
      </c>
      <c r="V167" s="20">
        <v>139.19999999999999</v>
      </c>
      <c r="W167" s="20">
        <v>144.5</v>
      </c>
      <c r="X167" s="30">
        <f>'Handle missing value sheet only'!$C$1</f>
        <v>139.27096774193564</v>
      </c>
      <c r="Y167" s="20">
        <v>136.4</v>
      </c>
      <c r="Z167" s="20">
        <v>137.30000000000001</v>
      </c>
      <c r="AA167" s="20">
        <v>133</v>
      </c>
      <c r="AB167" s="20">
        <v>120.3</v>
      </c>
      <c r="AC167" s="20">
        <v>131.5</v>
      </c>
      <c r="AD167" s="20">
        <v>140.19999999999999</v>
      </c>
      <c r="AE167" s="20">
        <v>125.4</v>
      </c>
      <c r="AF167" s="20">
        <v>129.69999999999999</v>
      </c>
      <c r="AG167" s="20">
        <v>137.80000000000001</v>
      </c>
      <c r="AH167" s="28">
        <f t="shared" si="17"/>
        <v>3419.0709677419354</v>
      </c>
      <c r="AI167" s="28">
        <f t="shared" si="18"/>
        <v>526.79999999999995</v>
      </c>
      <c r="AJ167" s="28">
        <f t="shared" si="19"/>
        <v>284.5</v>
      </c>
      <c r="AK167" s="28">
        <f t="shared" si="20"/>
        <v>276.57096774193565</v>
      </c>
      <c r="AL167" s="28">
        <f t="shared" si="21"/>
        <v>1941.4999999999998</v>
      </c>
      <c r="AM167" s="28">
        <f t="shared" si="22"/>
        <v>131.69999999999999</v>
      </c>
      <c r="AN167" s="28">
        <f t="shared" si="23"/>
        <v>138.28548387096782</v>
      </c>
      <c r="AO167" s="31">
        <v>138.67857142857142</v>
      </c>
    </row>
    <row r="168" spans="1:41" x14ac:dyDescent="0.3">
      <c r="A168" s="26" t="s">
        <v>2</v>
      </c>
      <c r="B168" s="21">
        <v>2017</v>
      </c>
      <c r="C168" s="21" t="s">
        <v>10</v>
      </c>
      <c r="D168" s="21" t="str">
        <f t="shared" si="16"/>
        <v>Aug-17</v>
      </c>
      <c r="E168" s="32">
        <v>42948</v>
      </c>
      <c r="F168" s="21" t="s">
        <v>84</v>
      </c>
      <c r="G168" s="21">
        <v>133.19999999999999</v>
      </c>
      <c r="H168" s="21">
        <v>143.9</v>
      </c>
      <c r="I168" s="21">
        <v>128.30000000000001</v>
      </c>
      <c r="J168" s="21">
        <v>138.30000000000001</v>
      </c>
      <c r="K168" s="21">
        <v>114.1</v>
      </c>
      <c r="L168" s="21">
        <v>142.69999999999999</v>
      </c>
      <c r="M168" s="21">
        <v>179.8</v>
      </c>
      <c r="N168" s="21">
        <v>123.5</v>
      </c>
      <c r="O168" s="21">
        <v>122.1</v>
      </c>
      <c r="P168" s="21">
        <v>137.5</v>
      </c>
      <c r="Q168" s="21">
        <v>124.6</v>
      </c>
      <c r="R168" s="21">
        <v>144.5</v>
      </c>
      <c r="S168" s="21">
        <v>140.5</v>
      </c>
      <c r="T168" s="21">
        <v>152.1</v>
      </c>
      <c r="U168" s="21">
        <v>132.69999999999999</v>
      </c>
      <c r="V168" s="21">
        <v>124.3</v>
      </c>
      <c r="W168" s="21">
        <v>131.4</v>
      </c>
      <c r="X168" s="21">
        <v>134.4</v>
      </c>
      <c r="Y168" s="21">
        <v>118.9</v>
      </c>
      <c r="Z168" s="21">
        <v>127.7</v>
      </c>
      <c r="AA168" s="21">
        <v>125.7</v>
      </c>
      <c r="AB168" s="21">
        <v>114.6</v>
      </c>
      <c r="AC168" s="21">
        <v>124.1</v>
      </c>
      <c r="AD168" s="21">
        <v>135.69999999999999</v>
      </c>
      <c r="AE168" s="21">
        <v>123.3</v>
      </c>
      <c r="AF168" s="21">
        <v>123.8</v>
      </c>
      <c r="AG168" s="21">
        <v>132.69999999999999</v>
      </c>
      <c r="AH168" s="28">
        <f t="shared" si="17"/>
        <v>3310.2999999999997</v>
      </c>
      <c r="AI168" s="28">
        <f t="shared" si="18"/>
        <v>506.9</v>
      </c>
      <c r="AJ168" s="28">
        <f t="shared" si="19"/>
        <v>257</v>
      </c>
      <c r="AK168" s="28">
        <f t="shared" si="20"/>
        <v>262.10000000000002</v>
      </c>
      <c r="AL168" s="28">
        <f t="shared" si="21"/>
        <v>1925.0999999999997</v>
      </c>
      <c r="AM168" s="28">
        <f t="shared" si="22"/>
        <v>126.72499999999999</v>
      </c>
      <c r="AN168" s="28">
        <f t="shared" si="23"/>
        <v>131.05000000000001</v>
      </c>
      <c r="AO168" s="29">
        <v>137.50714285714284</v>
      </c>
    </row>
    <row r="169" spans="1:41" x14ac:dyDescent="0.3">
      <c r="A169" s="27" t="s">
        <v>3</v>
      </c>
      <c r="B169" s="20">
        <v>2017</v>
      </c>
      <c r="C169" s="20" t="s">
        <v>10</v>
      </c>
      <c r="D169" s="21" t="str">
        <f t="shared" si="16"/>
        <v>Aug-17</v>
      </c>
      <c r="E169" s="33">
        <v>42948</v>
      </c>
      <c r="F169" s="20" t="s">
        <v>84</v>
      </c>
      <c r="G169" s="20">
        <v>134.30000000000001</v>
      </c>
      <c r="H169" s="20">
        <v>143.4</v>
      </c>
      <c r="I169" s="20">
        <v>129.30000000000001</v>
      </c>
      <c r="J169" s="20">
        <v>139</v>
      </c>
      <c r="K169" s="20">
        <v>118.1</v>
      </c>
      <c r="L169" s="20">
        <v>145.5</v>
      </c>
      <c r="M169" s="20">
        <v>168.6</v>
      </c>
      <c r="N169" s="20">
        <v>132.69999999999999</v>
      </c>
      <c r="O169" s="20">
        <v>121.2</v>
      </c>
      <c r="P169" s="20">
        <v>135.6</v>
      </c>
      <c r="Q169" s="20">
        <v>128.69999999999999</v>
      </c>
      <c r="R169" s="20">
        <v>146.80000000000001</v>
      </c>
      <c r="S169" s="20">
        <v>140.6</v>
      </c>
      <c r="T169" s="20">
        <v>149.80000000000001</v>
      </c>
      <c r="U169" s="20">
        <v>140.30000000000001</v>
      </c>
      <c r="V169" s="20">
        <v>133</v>
      </c>
      <c r="W169" s="20">
        <v>139.30000000000001</v>
      </c>
      <c r="X169" s="20">
        <v>134.4</v>
      </c>
      <c r="Y169" s="20">
        <v>129.80000000000001</v>
      </c>
      <c r="Z169" s="20">
        <v>132.80000000000001</v>
      </c>
      <c r="AA169" s="20">
        <v>130.19999999999999</v>
      </c>
      <c r="AB169" s="20">
        <v>117.3</v>
      </c>
      <c r="AC169" s="20">
        <v>127.3</v>
      </c>
      <c r="AD169" s="20">
        <v>137.6</v>
      </c>
      <c r="AE169" s="20">
        <v>124.5</v>
      </c>
      <c r="AF169" s="20">
        <v>126.8</v>
      </c>
      <c r="AG169" s="20">
        <v>135.4</v>
      </c>
      <c r="AH169" s="28">
        <f t="shared" si="17"/>
        <v>3367.6</v>
      </c>
      <c r="AI169" s="28">
        <f t="shared" si="18"/>
        <v>516.19999999999993</v>
      </c>
      <c r="AJ169" s="28">
        <f t="shared" si="19"/>
        <v>273.3</v>
      </c>
      <c r="AK169" s="28">
        <f t="shared" si="20"/>
        <v>267.20000000000005</v>
      </c>
      <c r="AL169" s="28">
        <f t="shared" si="21"/>
        <v>1933.6</v>
      </c>
      <c r="AM169" s="28">
        <f t="shared" si="22"/>
        <v>129.04999999999998</v>
      </c>
      <c r="AN169" s="28">
        <f t="shared" si="23"/>
        <v>133.60000000000002</v>
      </c>
      <c r="AO169" s="31">
        <v>138.1142857142857</v>
      </c>
    </row>
    <row r="170" spans="1:41" x14ac:dyDescent="0.3">
      <c r="A170" s="26" t="s">
        <v>0</v>
      </c>
      <c r="B170" s="21">
        <v>2017</v>
      </c>
      <c r="C170" s="21" t="s">
        <v>11</v>
      </c>
      <c r="D170" s="21" t="str">
        <f t="shared" si="16"/>
        <v>Sep-17</v>
      </c>
      <c r="E170" s="32">
        <v>42979</v>
      </c>
      <c r="F170" s="21" t="s">
        <v>84</v>
      </c>
      <c r="G170" s="21">
        <v>135.19999999999999</v>
      </c>
      <c r="H170" s="21">
        <v>142</v>
      </c>
      <c r="I170" s="21">
        <v>130.5</v>
      </c>
      <c r="J170" s="21">
        <v>140.19999999999999</v>
      </c>
      <c r="K170" s="21">
        <v>120.7</v>
      </c>
      <c r="L170" s="21">
        <v>147.80000000000001</v>
      </c>
      <c r="M170" s="21">
        <v>154.5</v>
      </c>
      <c r="N170" s="21">
        <v>137.1</v>
      </c>
      <c r="O170" s="21">
        <v>121</v>
      </c>
      <c r="P170" s="21">
        <v>134.69999999999999</v>
      </c>
      <c r="Q170" s="21">
        <v>131.69999999999999</v>
      </c>
      <c r="R170" s="21">
        <v>149.30000000000001</v>
      </c>
      <c r="S170" s="21">
        <v>139.6</v>
      </c>
      <c r="T170" s="21">
        <v>149.80000000000001</v>
      </c>
      <c r="U170" s="21">
        <v>146.1</v>
      </c>
      <c r="V170" s="21">
        <v>139.69999999999999</v>
      </c>
      <c r="W170" s="21">
        <v>145.19999999999999</v>
      </c>
      <c r="X170" s="28">
        <f>'Handle missing value sheet only'!$C$1</f>
        <v>139.27096774193564</v>
      </c>
      <c r="Y170" s="21">
        <v>137.4</v>
      </c>
      <c r="Z170" s="21">
        <v>137.9</v>
      </c>
      <c r="AA170" s="21">
        <v>133.4</v>
      </c>
      <c r="AB170" s="21">
        <v>121.2</v>
      </c>
      <c r="AC170" s="21">
        <v>132.30000000000001</v>
      </c>
      <c r="AD170" s="21">
        <v>139.6</v>
      </c>
      <c r="AE170" s="21">
        <v>126.7</v>
      </c>
      <c r="AF170" s="21">
        <v>130.30000000000001</v>
      </c>
      <c r="AG170" s="21">
        <v>137.6</v>
      </c>
      <c r="AH170" s="28">
        <f t="shared" si="17"/>
        <v>3417.9709677419355</v>
      </c>
      <c r="AI170" s="28">
        <f t="shared" si="18"/>
        <v>528.90000000000009</v>
      </c>
      <c r="AJ170" s="28">
        <f t="shared" si="19"/>
        <v>285.79999999999995</v>
      </c>
      <c r="AK170" s="28">
        <f t="shared" si="20"/>
        <v>277.17096774193567</v>
      </c>
      <c r="AL170" s="28">
        <f t="shared" si="21"/>
        <v>1934.1</v>
      </c>
      <c r="AM170" s="28">
        <f t="shared" si="22"/>
        <v>132.22500000000002</v>
      </c>
      <c r="AN170" s="28">
        <f t="shared" si="23"/>
        <v>138.58548387096783</v>
      </c>
      <c r="AO170" s="29">
        <v>138.15</v>
      </c>
    </row>
    <row r="171" spans="1:41" x14ac:dyDescent="0.3">
      <c r="A171" s="27" t="s">
        <v>2</v>
      </c>
      <c r="B171" s="20">
        <v>2017</v>
      </c>
      <c r="C171" s="20" t="s">
        <v>11</v>
      </c>
      <c r="D171" s="21" t="str">
        <f t="shared" si="16"/>
        <v>Sep-17</v>
      </c>
      <c r="E171" s="33">
        <v>42979</v>
      </c>
      <c r="F171" s="20" t="s">
        <v>84</v>
      </c>
      <c r="G171" s="20">
        <v>133.6</v>
      </c>
      <c r="H171" s="20">
        <v>143</v>
      </c>
      <c r="I171" s="20">
        <v>129.69999999999999</v>
      </c>
      <c r="J171" s="20">
        <v>138.69999999999999</v>
      </c>
      <c r="K171" s="20">
        <v>114.5</v>
      </c>
      <c r="L171" s="20">
        <v>137.5</v>
      </c>
      <c r="M171" s="20">
        <v>160.69999999999999</v>
      </c>
      <c r="N171" s="20">
        <v>124.5</v>
      </c>
      <c r="O171" s="20">
        <v>122.4</v>
      </c>
      <c r="P171" s="20">
        <v>137.30000000000001</v>
      </c>
      <c r="Q171" s="20">
        <v>124.8</v>
      </c>
      <c r="R171" s="20">
        <v>145</v>
      </c>
      <c r="S171" s="20">
        <v>138</v>
      </c>
      <c r="T171" s="20">
        <v>153.6</v>
      </c>
      <c r="U171" s="20">
        <v>133.30000000000001</v>
      </c>
      <c r="V171" s="20">
        <v>124.6</v>
      </c>
      <c r="W171" s="20">
        <v>132</v>
      </c>
      <c r="X171" s="20">
        <v>135.69999999999999</v>
      </c>
      <c r="Y171" s="20">
        <v>120.6</v>
      </c>
      <c r="Z171" s="20">
        <v>128.1</v>
      </c>
      <c r="AA171" s="20">
        <v>126.1</v>
      </c>
      <c r="AB171" s="20">
        <v>115.7</v>
      </c>
      <c r="AC171" s="20">
        <v>124.5</v>
      </c>
      <c r="AD171" s="20">
        <v>135.9</v>
      </c>
      <c r="AE171" s="20">
        <v>124.4</v>
      </c>
      <c r="AF171" s="20">
        <v>124.5</v>
      </c>
      <c r="AG171" s="20">
        <v>132.4</v>
      </c>
      <c r="AH171" s="28">
        <f t="shared" si="17"/>
        <v>3296.7000000000003</v>
      </c>
      <c r="AI171" s="28">
        <f t="shared" si="18"/>
        <v>509.3</v>
      </c>
      <c r="AJ171" s="28">
        <f t="shared" si="19"/>
        <v>257.89999999999998</v>
      </c>
      <c r="AK171" s="28">
        <f t="shared" si="20"/>
        <v>263.79999999999995</v>
      </c>
      <c r="AL171" s="28">
        <f t="shared" si="21"/>
        <v>1903.3</v>
      </c>
      <c r="AM171" s="28">
        <f t="shared" si="22"/>
        <v>127.325</v>
      </c>
      <c r="AN171" s="28">
        <f t="shared" si="23"/>
        <v>131.89999999999998</v>
      </c>
      <c r="AO171" s="31">
        <v>135.94999999999999</v>
      </c>
    </row>
    <row r="172" spans="1:41" x14ac:dyDescent="0.3">
      <c r="A172" s="26" t="s">
        <v>3</v>
      </c>
      <c r="B172" s="21">
        <v>2017</v>
      </c>
      <c r="C172" s="21" t="s">
        <v>11</v>
      </c>
      <c r="D172" s="21" t="str">
        <f t="shared" si="16"/>
        <v>Sep-17</v>
      </c>
      <c r="E172" s="32">
        <v>42979</v>
      </c>
      <c r="F172" s="21" t="s">
        <v>84</v>
      </c>
      <c r="G172" s="21">
        <v>134.69999999999999</v>
      </c>
      <c r="H172" s="21">
        <v>142.4</v>
      </c>
      <c r="I172" s="21">
        <v>130.19999999999999</v>
      </c>
      <c r="J172" s="21">
        <v>139.6</v>
      </c>
      <c r="K172" s="21">
        <v>118.4</v>
      </c>
      <c r="L172" s="21">
        <v>143</v>
      </c>
      <c r="M172" s="21">
        <v>156.6</v>
      </c>
      <c r="N172" s="21">
        <v>132.9</v>
      </c>
      <c r="O172" s="21">
        <v>121.5</v>
      </c>
      <c r="P172" s="21">
        <v>135.6</v>
      </c>
      <c r="Q172" s="21">
        <v>128.80000000000001</v>
      </c>
      <c r="R172" s="21">
        <v>147.30000000000001</v>
      </c>
      <c r="S172" s="21">
        <v>139</v>
      </c>
      <c r="T172" s="21">
        <v>150.80000000000001</v>
      </c>
      <c r="U172" s="21">
        <v>141.1</v>
      </c>
      <c r="V172" s="21">
        <v>133.4</v>
      </c>
      <c r="W172" s="21">
        <v>140</v>
      </c>
      <c r="X172" s="21">
        <v>135.69999999999999</v>
      </c>
      <c r="Y172" s="21">
        <v>131</v>
      </c>
      <c r="Z172" s="21">
        <v>133.30000000000001</v>
      </c>
      <c r="AA172" s="21">
        <v>130.6</v>
      </c>
      <c r="AB172" s="21">
        <v>118.3</v>
      </c>
      <c r="AC172" s="21">
        <v>127.9</v>
      </c>
      <c r="AD172" s="21">
        <v>137.4</v>
      </c>
      <c r="AE172" s="21">
        <v>125.7</v>
      </c>
      <c r="AF172" s="21">
        <v>127.5</v>
      </c>
      <c r="AG172" s="21">
        <v>135.19999999999999</v>
      </c>
      <c r="AH172" s="28">
        <f t="shared" si="17"/>
        <v>3362.7000000000007</v>
      </c>
      <c r="AI172" s="28">
        <f t="shared" si="18"/>
        <v>518.5</v>
      </c>
      <c r="AJ172" s="28">
        <f t="shared" si="19"/>
        <v>274.5</v>
      </c>
      <c r="AK172" s="28">
        <f t="shared" si="20"/>
        <v>269</v>
      </c>
      <c r="AL172" s="28">
        <f t="shared" si="21"/>
        <v>1920.7999999999997</v>
      </c>
      <c r="AM172" s="28">
        <f t="shared" si="22"/>
        <v>129.625</v>
      </c>
      <c r="AN172" s="28">
        <f t="shared" si="23"/>
        <v>134.5</v>
      </c>
      <c r="AO172" s="29">
        <v>137.19999999999999</v>
      </c>
    </row>
    <row r="173" spans="1:41" x14ac:dyDescent="0.3">
      <c r="A173" s="27" t="s">
        <v>0</v>
      </c>
      <c r="B173" s="20">
        <v>2017</v>
      </c>
      <c r="C173" s="20" t="s">
        <v>12</v>
      </c>
      <c r="D173" s="21" t="str">
        <f t="shared" si="16"/>
        <v>Oct-17</v>
      </c>
      <c r="E173" s="33">
        <v>43009</v>
      </c>
      <c r="F173" s="20" t="s">
        <v>84</v>
      </c>
      <c r="G173" s="20">
        <v>135.9</v>
      </c>
      <c r="H173" s="20">
        <v>141.9</v>
      </c>
      <c r="I173" s="20">
        <v>131</v>
      </c>
      <c r="J173" s="20">
        <v>141.5</v>
      </c>
      <c r="K173" s="20">
        <v>121.4</v>
      </c>
      <c r="L173" s="20">
        <v>146.69999999999999</v>
      </c>
      <c r="M173" s="20">
        <v>157.1</v>
      </c>
      <c r="N173" s="20">
        <v>136.4</v>
      </c>
      <c r="O173" s="20">
        <v>121.4</v>
      </c>
      <c r="P173" s="20">
        <v>135.6</v>
      </c>
      <c r="Q173" s="20">
        <v>131.30000000000001</v>
      </c>
      <c r="R173" s="20">
        <v>150.30000000000001</v>
      </c>
      <c r="S173" s="20">
        <v>140.4</v>
      </c>
      <c r="T173" s="20">
        <v>150.5</v>
      </c>
      <c r="U173" s="20">
        <v>147.19999999999999</v>
      </c>
      <c r="V173" s="20">
        <v>140.6</v>
      </c>
      <c r="W173" s="20">
        <v>146.19999999999999</v>
      </c>
      <c r="X173" s="30">
        <f>'Handle missing value sheet only'!$C$1</f>
        <v>139.27096774193564</v>
      </c>
      <c r="Y173" s="20">
        <v>138.1</v>
      </c>
      <c r="Z173" s="20">
        <v>138.4</v>
      </c>
      <c r="AA173" s="20">
        <v>134.19999999999999</v>
      </c>
      <c r="AB173" s="20">
        <v>121</v>
      </c>
      <c r="AC173" s="20">
        <v>133</v>
      </c>
      <c r="AD173" s="20">
        <v>140.1</v>
      </c>
      <c r="AE173" s="20">
        <v>127.4</v>
      </c>
      <c r="AF173" s="20">
        <v>130.69999999999999</v>
      </c>
      <c r="AG173" s="20">
        <v>138.30000000000001</v>
      </c>
      <c r="AH173" s="28">
        <f t="shared" si="17"/>
        <v>3431.3709677419361</v>
      </c>
      <c r="AI173" s="28">
        <f t="shared" si="18"/>
        <v>531.20000000000005</v>
      </c>
      <c r="AJ173" s="28">
        <f t="shared" si="19"/>
        <v>287.79999999999995</v>
      </c>
      <c r="AK173" s="28">
        <f t="shared" si="20"/>
        <v>277.67096774193567</v>
      </c>
      <c r="AL173" s="28">
        <f t="shared" si="21"/>
        <v>1941.3999999999999</v>
      </c>
      <c r="AM173" s="28">
        <f t="shared" si="22"/>
        <v>132.80000000000001</v>
      </c>
      <c r="AN173" s="28">
        <f t="shared" si="23"/>
        <v>138.83548387096783</v>
      </c>
      <c r="AO173" s="31">
        <v>138.67142857142855</v>
      </c>
    </row>
    <row r="174" spans="1:41" x14ac:dyDescent="0.3">
      <c r="A174" s="26" t="s">
        <v>2</v>
      </c>
      <c r="B174" s="21">
        <v>2017</v>
      </c>
      <c r="C174" s="21" t="s">
        <v>12</v>
      </c>
      <c r="D174" s="21" t="str">
        <f t="shared" si="16"/>
        <v>Oct-17</v>
      </c>
      <c r="E174" s="32">
        <v>43009</v>
      </c>
      <c r="F174" s="21" t="s">
        <v>84</v>
      </c>
      <c r="G174" s="21">
        <v>133.9</v>
      </c>
      <c r="H174" s="21">
        <v>142.80000000000001</v>
      </c>
      <c r="I174" s="21">
        <v>131.4</v>
      </c>
      <c r="J174" s="21">
        <v>139.1</v>
      </c>
      <c r="K174" s="21">
        <v>114.9</v>
      </c>
      <c r="L174" s="21">
        <v>135.6</v>
      </c>
      <c r="M174" s="21">
        <v>173.2</v>
      </c>
      <c r="N174" s="21">
        <v>124.1</v>
      </c>
      <c r="O174" s="21">
        <v>122.6</v>
      </c>
      <c r="P174" s="21">
        <v>137.80000000000001</v>
      </c>
      <c r="Q174" s="21">
        <v>125.1</v>
      </c>
      <c r="R174" s="21">
        <v>145.5</v>
      </c>
      <c r="S174" s="21">
        <v>139.69999999999999</v>
      </c>
      <c r="T174" s="21">
        <v>154.6</v>
      </c>
      <c r="U174" s="21">
        <v>134</v>
      </c>
      <c r="V174" s="21">
        <v>124.9</v>
      </c>
      <c r="W174" s="21">
        <v>132.6</v>
      </c>
      <c r="X174" s="21">
        <v>137.30000000000001</v>
      </c>
      <c r="Y174" s="21">
        <v>122.6</v>
      </c>
      <c r="Z174" s="21">
        <v>128.30000000000001</v>
      </c>
      <c r="AA174" s="21">
        <v>126.6</v>
      </c>
      <c r="AB174" s="21">
        <v>115</v>
      </c>
      <c r="AC174" s="21">
        <v>124.8</v>
      </c>
      <c r="AD174" s="21">
        <v>136.30000000000001</v>
      </c>
      <c r="AE174" s="21">
        <v>124.6</v>
      </c>
      <c r="AF174" s="21">
        <v>124.5</v>
      </c>
      <c r="AG174" s="21">
        <v>133.5</v>
      </c>
      <c r="AH174" s="28">
        <f t="shared" si="17"/>
        <v>3319.2</v>
      </c>
      <c r="AI174" s="28">
        <f t="shared" si="18"/>
        <v>510.2</v>
      </c>
      <c r="AJ174" s="28">
        <f t="shared" si="19"/>
        <v>258.89999999999998</v>
      </c>
      <c r="AK174" s="28">
        <f t="shared" si="20"/>
        <v>265.60000000000002</v>
      </c>
      <c r="AL174" s="28">
        <f t="shared" si="21"/>
        <v>1920.2999999999997</v>
      </c>
      <c r="AM174" s="28">
        <f t="shared" si="22"/>
        <v>127.55</v>
      </c>
      <c r="AN174" s="28">
        <f t="shared" si="23"/>
        <v>132.80000000000001</v>
      </c>
      <c r="AO174" s="29">
        <v>137.16428571428568</v>
      </c>
    </row>
    <row r="175" spans="1:41" x14ac:dyDescent="0.3">
      <c r="A175" s="27" t="s">
        <v>3</v>
      </c>
      <c r="B175" s="20">
        <v>2017</v>
      </c>
      <c r="C175" s="20" t="s">
        <v>12</v>
      </c>
      <c r="D175" s="21" t="str">
        <f t="shared" si="16"/>
        <v>Oct-17</v>
      </c>
      <c r="E175" s="33">
        <v>43009</v>
      </c>
      <c r="F175" s="20" t="s">
        <v>84</v>
      </c>
      <c r="G175" s="20">
        <v>135.30000000000001</v>
      </c>
      <c r="H175" s="20">
        <v>142.19999999999999</v>
      </c>
      <c r="I175" s="20">
        <v>131.19999999999999</v>
      </c>
      <c r="J175" s="20">
        <v>140.6</v>
      </c>
      <c r="K175" s="20">
        <v>119</v>
      </c>
      <c r="L175" s="20">
        <v>141.5</v>
      </c>
      <c r="M175" s="20">
        <v>162.6</v>
      </c>
      <c r="N175" s="20">
        <v>132.30000000000001</v>
      </c>
      <c r="O175" s="20">
        <v>121.8</v>
      </c>
      <c r="P175" s="20">
        <v>136.30000000000001</v>
      </c>
      <c r="Q175" s="20">
        <v>128.69999999999999</v>
      </c>
      <c r="R175" s="20">
        <v>148.1</v>
      </c>
      <c r="S175" s="20">
        <v>140.1</v>
      </c>
      <c r="T175" s="20">
        <v>151.6</v>
      </c>
      <c r="U175" s="20">
        <v>142</v>
      </c>
      <c r="V175" s="20">
        <v>134.1</v>
      </c>
      <c r="W175" s="20">
        <v>140.80000000000001</v>
      </c>
      <c r="X175" s="20">
        <v>137.30000000000001</v>
      </c>
      <c r="Y175" s="20">
        <v>132.19999999999999</v>
      </c>
      <c r="Z175" s="20">
        <v>133.6</v>
      </c>
      <c r="AA175" s="20">
        <v>131.30000000000001</v>
      </c>
      <c r="AB175" s="20">
        <v>117.8</v>
      </c>
      <c r="AC175" s="20">
        <v>128.4</v>
      </c>
      <c r="AD175" s="20">
        <v>137.9</v>
      </c>
      <c r="AE175" s="20">
        <v>126.2</v>
      </c>
      <c r="AF175" s="20">
        <v>127.7</v>
      </c>
      <c r="AG175" s="20">
        <v>136.1</v>
      </c>
      <c r="AH175" s="28">
        <f t="shared" si="17"/>
        <v>3379.8</v>
      </c>
      <c r="AI175" s="28">
        <f t="shared" si="18"/>
        <v>520.20000000000005</v>
      </c>
      <c r="AJ175" s="28">
        <f t="shared" si="19"/>
        <v>276.10000000000002</v>
      </c>
      <c r="AK175" s="28">
        <f t="shared" si="20"/>
        <v>270.89999999999998</v>
      </c>
      <c r="AL175" s="28">
        <f t="shared" si="21"/>
        <v>1931.2999999999997</v>
      </c>
      <c r="AM175" s="28">
        <f t="shared" si="22"/>
        <v>130.05000000000001</v>
      </c>
      <c r="AN175" s="28">
        <f t="shared" si="23"/>
        <v>135.44999999999999</v>
      </c>
      <c r="AO175" s="31">
        <v>137.94999999999999</v>
      </c>
    </row>
    <row r="176" spans="1:41" x14ac:dyDescent="0.3">
      <c r="A176" s="26" t="s">
        <v>0</v>
      </c>
      <c r="B176" s="21">
        <v>2017</v>
      </c>
      <c r="C176" s="21" t="s">
        <v>14</v>
      </c>
      <c r="D176" s="21" t="str">
        <f t="shared" si="16"/>
        <v>Nov-17</v>
      </c>
      <c r="E176" s="32">
        <v>43040</v>
      </c>
      <c r="F176" s="21" t="s">
        <v>84</v>
      </c>
      <c r="G176" s="21">
        <v>136.30000000000001</v>
      </c>
      <c r="H176" s="21">
        <v>142.5</v>
      </c>
      <c r="I176" s="21">
        <v>140.5</v>
      </c>
      <c r="J176" s="21">
        <v>141.5</v>
      </c>
      <c r="K176" s="21">
        <v>121.6</v>
      </c>
      <c r="L176" s="21">
        <v>147.30000000000001</v>
      </c>
      <c r="M176" s="21">
        <v>168</v>
      </c>
      <c r="N176" s="21">
        <v>135.80000000000001</v>
      </c>
      <c r="O176" s="21">
        <v>122.5</v>
      </c>
      <c r="P176" s="21">
        <v>136</v>
      </c>
      <c r="Q176" s="21">
        <v>131.9</v>
      </c>
      <c r="R176" s="21">
        <v>151.4</v>
      </c>
      <c r="S176" s="21">
        <v>142.4</v>
      </c>
      <c r="T176" s="21">
        <v>152.1</v>
      </c>
      <c r="U176" s="21">
        <v>148.19999999999999</v>
      </c>
      <c r="V176" s="21">
        <v>141.5</v>
      </c>
      <c r="W176" s="21">
        <v>147.30000000000001</v>
      </c>
      <c r="X176" s="28">
        <f>'Handle missing value sheet only'!$C$1</f>
        <v>139.27096774193564</v>
      </c>
      <c r="Y176" s="21">
        <v>141.1</v>
      </c>
      <c r="Z176" s="21">
        <v>139.4</v>
      </c>
      <c r="AA176" s="21">
        <v>135.80000000000001</v>
      </c>
      <c r="AB176" s="21">
        <v>121.6</v>
      </c>
      <c r="AC176" s="21">
        <v>133.69999999999999</v>
      </c>
      <c r="AD176" s="21">
        <v>141.5</v>
      </c>
      <c r="AE176" s="21">
        <v>128.1</v>
      </c>
      <c r="AF176" s="21">
        <v>131.69999999999999</v>
      </c>
      <c r="AG176" s="21">
        <v>140</v>
      </c>
      <c r="AH176" s="28">
        <f t="shared" si="17"/>
        <v>3471.6709677419358</v>
      </c>
      <c r="AI176" s="28">
        <f t="shared" si="18"/>
        <v>535</v>
      </c>
      <c r="AJ176" s="28">
        <f t="shared" si="19"/>
        <v>289.7</v>
      </c>
      <c r="AK176" s="28">
        <f t="shared" si="20"/>
        <v>278.67096774193567</v>
      </c>
      <c r="AL176" s="28">
        <f t="shared" si="21"/>
        <v>1969.8000000000002</v>
      </c>
      <c r="AM176" s="28">
        <f t="shared" si="22"/>
        <v>133.75</v>
      </c>
      <c r="AN176" s="28">
        <f t="shared" si="23"/>
        <v>139.33548387096783</v>
      </c>
      <c r="AO176" s="29">
        <v>140.70000000000002</v>
      </c>
    </row>
    <row r="177" spans="1:41" x14ac:dyDescent="0.3">
      <c r="A177" s="27" t="s">
        <v>2</v>
      </c>
      <c r="B177" s="20">
        <v>2017</v>
      </c>
      <c r="C177" s="20" t="s">
        <v>14</v>
      </c>
      <c r="D177" s="21" t="str">
        <f t="shared" si="16"/>
        <v>Nov-17</v>
      </c>
      <c r="E177" s="33">
        <v>43040</v>
      </c>
      <c r="F177" s="20" t="s">
        <v>84</v>
      </c>
      <c r="G177" s="20">
        <v>134.30000000000001</v>
      </c>
      <c r="H177" s="20">
        <v>142.1</v>
      </c>
      <c r="I177" s="20">
        <v>146.69999999999999</v>
      </c>
      <c r="J177" s="20">
        <v>139.5</v>
      </c>
      <c r="K177" s="20">
        <v>115.2</v>
      </c>
      <c r="L177" s="20">
        <v>136.4</v>
      </c>
      <c r="M177" s="20">
        <v>185.2</v>
      </c>
      <c r="N177" s="20">
        <v>122.2</v>
      </c>
      <c r="O177" s="20">
        <v>123.9</v>
      </c>
      <c r="P177" s="20">
        <v>138.30000000000001</v>
      </c>
      <c r="Q177" s="20">
        <v>125.4</v>
      </c>
      <c r="R177" s="20">
        <v>146</v>
      </c>
      <c r="S177" s="20">
        <v>141.5</v>
      </c>
      <c r="T177" s="20">
        <v>156.19999999999999</v>
      </c>
      <c r="U177" s="20">
        <v>135</v>
      </c>
      <c r="V177" s="20">
        <v>125.4</v>
      </c>
      <c r="W177" s="20">
        <v>133.5</v>
      </c>
      <c r="X177" s="20">
        <v>138.6</v>
      </c>
      <c r="Y177" s="20">
        <v>125.7</v>
      </c>
      <c r="Z177" s="20">
        <v>128.80000000000001</v>
      </c>
      <c r="AA177" s="20">
        <v>127.4</v>
      </c>
      <c r="AB177" s="20">
        <v>115.3</v>
      </c>
      <c r="AC177" s="20">
        <v>125.1</v>
      </c>
      <c r="AD177" s="20">
        <v>136.6</v>
      </c>
      <c r="AE177" s="20">
        <v>124.9</v>
      </c>
      <c r="AF177" s="20">
        <v>124.9</v>
      </c>
      <c r="AG177" s="20">
        <v>134.80000000000001</v>
      </c>
      <c r="AH177" s="28">
        <f t="shared" si="17"/>
        <v>3360.6</v>
      </c>
      <c r="AI177" s="28">
        <f t="shared" si="18"/>
        <v>511.5</v>
      </c>
      <c r="AJ177" s="28">
        <f t="shared" si="19"/>
        <v>260.39999999999998</v>
      </c>
      <c r="AK177" s="28">
        <f t="shared" si="20"/>
        <v>267.39999999999998</v>
      </c>
      <c r="AL177" s="28">
        <f t="shared" si="21"/>
        <v>1952.9</v>
      </c>
      <c r="AM177" s="28">
        <f t="shared" si="22"/>
        <v>127.875</v>
      </c>
      <c r="AN177" s="28">
        <f t="shared" si="23"/>
        <v>133.69999999999999</v>
      </c>
      <c r="AO177" s="31">
        <v>139.49285714285716</v>
      </c>
    </row>
    <row r="178" spans="1:41" x14ac:dyDescent="0.3">
      <c r="A178" s="26" t="s">
        <v>3</v>
      </c>
      <c r="B178" s="21">
        <v>2017</v>
      </c>
      <c r="C178" s="21" t="s">
        <v>14</v>
      </c>
      <c r="D178" s="21" t="str">
        <f t="shared" si="16"/>
        <v>Nov-17</v>
      </c>
      <c r="E178" s="32">
        <v>43040</v>
      </c>
      <c r="F178" s="21" t="s">
        <v>84</v>
      </c>
      <c r="G178" s="21">
        <v>135.69999999999999</v>
      </c>
      <c r="H178" s="21">
        <v>142.4</v>
      </c>
      <c r="I178" s="21">
        <v>142.9</v>
      </c>
      <c r="J178" s="21">
        <v>140.80000000000001</v>
      </c>
      <c r="K178" s="21">
        <v>119.2</v>
      </c>
      <c r="L178" s="21">
        <v>142.19999999999999</v>
      </c>
      <c r="M178" s="21">
        <v>173.8</v>
      </c>
      <c r="N178" s="21">
        <v>131.19999999999999</v>
      </c>
      <c r="O178" s="21">
        <v>123</v>
      </c>
      <c r="P178" s="21">
        <v>136.80000000000001</v>
      </c>
      <c r="Q178" s="21">
        <v>129.19999999999999</v>
      </c>
      <c r="R178" s="21">
        <v>148.9</v>
      </c>
      <c r="S178" s="21">
        <v>142.1</v>
      </c>
      <c r="T178" s="21">
        <v>153.19999999999999</v>
      </c>
      <c r="U178" s="21">
        <v>143</v>
      </c>
      <c r="V178" s="21">
        <v>134.80000000000001</v>
      </c>
      <c r="W178" s="21">
        <v>141.80000000000001</v>
      </c>
      <c r="X178" s="21">
        <v>138.6</v>
      </c>
      <c r="Y178" s="21">
        <v>135.30000000000001</v>
      </c>
      <c r="Z178" s="21">
        <v>134.4</v>
      </c>
      <c r="AA178" s="21">
        <v>132.6</v>
      </c>
      <c r="AB178" s="21">
        <v>118.3</v>
      </c>
      <c r="AC178" s="21">
        <v>128.9</v>
      </c>
      <c r="AD178" s="21">
        <v>138.6</v>
      </c>
      <c r="AE178" s="21">
        <v>126.8</v>
      </c>
      <c r="AF178" s="21">
        <v>128.4</v>
      </c>
      <c r="AG178" s="21">
        <v>137.6</v>
      </c>
      <c r="AH178" s="28">
        <f t="shared" si="17"/>
        <v>3421.1000000000004</v>
      </c>
      <c r="AI178" s="28">
        <f t="shared" si="18"/>
        <v>522.69999999999993</v>
      </c>
      <c r="AJ178" s="28">
        <f t="shared" si="19"/>
        <v>277.8</v>
      </c>
      <c r="AK178" s="28">
        <f t="shared" si="20"/>
        <v>273</v>
      </c>
      <c r="AL178" s="28">
        <f t="shared" si="21"/>
        <v>1961.4</v>
      </c>
      <c r="AM178" s="28">
        <f t="shared" si="22"/>
        <v>130.67499999999998</v>
      </c>
      <c r="AN178" s="28">
        <f t="shared" si="23"/>
        <v>136.5</v>
      </c>
      <c r="AO178" s="29">
        <v>140.1</v>
      </c>
    </row>
    <row r="179" spans="1:41" x14ac:dyDescent="0.3">
      <c r="A179" s="27" t="s">
        <v>0</v>
      </c>
      <c r="B179" s="20">
        <v>2017</v>
      </c>
      <c r="C179" s="20" t="s">
        <v>15</v>
      </c>
      <c r="D179" s="21" t="str">
        <f t="shared" si="16"/>
        <v>Dec-17</v>
      </c>
      <c r="E179" s="33">
        <v>43070</v>
      </c>
      <c r="F179" s="20" t="s">
        <v>84</v>
      </c>
      <c r="G179" s="20">
        <v>136.4</v>
      </c>
      <c r="H179" s="20">
        <v>143.69999999999999</v>
      </c>
      <c r="I179" s="20">
        <v>144.80000000000001</v>
      </c>
      <c r="J179" s="20">
        <v>141.9</v>
      </c>
      <c r="K179" s="20">
        <v>123.1</v>
      </c>
      <c r="L179" s="20">
        <v>147.19999999999999</v>
      </c>
      <c r="M179" s="20">
        <v>161</v>
      </c>
      <c r="N179" s="20">
        <v>133.80000000000001</v>
      </c>
      <c r="O179" s="20">
        <v>121.9</v>
      </c>
      <c r="P179" s="20">
        <v>135.80000000000001</v>
      </c>
      <c r="Q179" s="20">
        <v>131.1</v>
      </c>
      <c r="R179" s="20">
        <v>151.4</v>
      </c>
      <c r="S179" s="20">
        <v>141.5</v>
      </c>
      <c r="T179" s="20">
        <v>153.19999999999999</v>
      </c>
      <c r="U179" s="20">
        <v>148</v>
      </c>
      <c r="V179" s="20">
        <v>141.9</v>
      </c>
      <c r="W179" s="20">
        <v>147.19999999999999</v>
      </c>
      <c r="X179" s="30">
        <f>'Handle missing value sheet only'!$C$1</f>
        <v>139.27096774193564</v>
      </c>
      <c r="Y179" s="20">
        <v>142.6</v>
      </c>
      <c r="Z179" s="20">
        <v>139.5</v>
      </c>
      <c r="AA179" s="20">
        <v>136.1</v>
      </c>
      <c r="AB179" s="20">
        <v>122</v>
      </c>
      <c r="AC179" s="20">
        <v>133.4</v>
      </c>
      <c r="AD179" s="20">
        <v>141.1</v>
      </c>
      <c r="AE179" s="20">
        <v>127.8</v>
      </c>
      <c r="AF179" s="20">
        <v>131.9</v>
      </c>
      <c r="AG179" s="20">
        <v>139.80000000000001</v>
      </c>
      <c r="AH179" s="28">
        <f t="shared" si="17"/>
        <v>3470.3709677419361</v>
      </c>
      <c r="AI179" s="28">
        <f t="shared" si="18"/>
        <v>534.19999999999993</v>
      </c>
      <c r="AJ179" s="28">
        <f t="shared" si="19"/>
        <v>289.89999999999998</v>
      </c>
      <c r="AK179" s="28">
        <f t="shared" si="20"/>
        <v>278.77096774193564</v>
      </c>
      <c r="AL179" s="28">
        <f t="shared" si="21"/>
        <v>1966.8000000000002</v>
      </c>
      <c r="AM179" s="28">
        <f t="shared" si="22"/>
        <v>133.54999999999998</v>
      </c>
      <c r="AN179" s="28">
        <f t="shared" si="23"/>
        <v>139.38548387096782</v>
      </c>
      <c r="AO179" s="31">
        <v>140.48571428571429</v>
      </c>
    </row>
    <row r="180" spans="1:41" x14ac:dyDescent="0.3">
      <c r="A180" s="26" t="s">
        <v>2</v>
      </c>
      <c r="B180" s="21">
        <v>2017</v>
      </c>
      <c r="C180" s="21" t="s">
        <v>15</v>
      </c>
      <c r="D180" s="21" t="str">
        <f t="shared" si="16"/>
        <v>Dec-17</v>
      </c>
      <c r="E180" s="32">
        <v>43070</v>
      </c>
      <c r="F180" s="21" t="s">
        <v>84</v>
      </c>
      <c r="G180" s="21">
        <v>134.4</v>
      </c>
      <c r="H180" s="21">
        <v>142.6</v>
      </c>
      <c r="I180" s="21">
        <v>145.9</v>
      </c>
      <c r="J180" s="21">
        <v>139.5</v>
      </c>
      <c r="K180" s="21">
        <v>115.9</v>
      </c>
      <c r="L180" s="21">
        <v>135</v>
      </c>
      <c r="M180" s="21">
        <v>163.19999999999999</v>
      </c>
      <c r="N180" s="21">
        <v>119.8</v>
      </c>
      <c r="O180" s="21">
        <v>120.7</v>
      </c>
      <c r="P180" s="21">
        <v>139.69999999999999</v>
      </c>
      <c r="Q180" s="21">
        <v>125.7</v>
      </c>
      <c r="R180" s="21">
        <v>146.30000000000001</v>
      </c>
      <c r="S180" s="21">
        <v>138.80000000000001</v>
      </c>
      <c r="T180" s="21">
        <v>157</v>
      </c>
      <c r="U180" s="21">
        <v>135.6</v>
      </c>
      <c r="V180" s="21">
        <v>125.6</v>
      </c>
      <c r="W180" s="21">
        <v>134</v>
      </c>
      <c r="X180" s="21">
        <v>139.1</v>
      </c>
      <c r="Y180" s="21">
        <v>126.8</v>
      </c>
      <c r="Z180" s="21">
        <v>129.30000000000001</v>
      </c>
      <c r="AA180" s="21">
        <v>128.19999999999999</v>
      </c>
      <c r="AB180" s="21">
        <v>115.3</v>
      </c>
      <c r="AC180" s="21">
        <v>125.6</v>
      </c>
      <c r="AD180" s="21">
        <v>136.69999999999999</v>
      </c>
      <c r="AE180" s="21">
        <v>124.6</v>
      </c>
      <c r="AF180" s="21">
        <v>125.1</v>
      </c>
      <c r="AG180" s="21">
        <v>134.1</v>
      </c>
      <c r="AH180" s="28">
        <f t="shared" si="17"/>
        <v>3336.3999999999996</v>
      </c>
      <c r="AI180" s="28">
        <f t="shared" si="18"/>
        <v>512</v>
      </c>
      <c r="AJ180" s="28">
        <f t="shared" si="19"/>
        <v>261.2</v>
      </c>
      <c r="AK180" s="28">
        <f t="shared" si="20"/>
        <v>268.39999999999998</v>
      </c>
      <c r="AL180" s="28">
        <f t="shared" si="21"/>
        <v>1924.5</v>
      </c>
      <c r="AM180" s="28">
        <f t="shared" si="22"/>
        <v>128</v>
      </c>
      <c r="AN180" s="28">
        <f t="shared" si="23"/>
        <v>134.19999999999999</v>
      </c>
      <c r="AO180" s="29">
        <v>137.46428571428572</v>
      </c>
    </row>
    <row r="181" spans="1:41" x14ac:dyDescent="0.3">
      <c r="A181" s="27" t="s">
        <v>3</v>
      </c>
      <c r="B181" s="20">
        <v>2017</v>
      </c>
      <c r="C181" s="20" t="s">
        <v>15</v>
      </c>
      <c r="D181" s="21" t="str">
        <f t="shared" si="16"/>
        <v>Dec-17</v>
      </c>
      <c r="E181" s="33">
        <v>43070</v>
      </c>
      <c r="F181" s="20" t="s">
        <v>84</v>
      </c>
      <c r="G181" s="20">
        <v>135.80000000000001</v>
      </c>
      <c r="H181" s="20">
        <v>143.30000000000001</v>
      </c>
      <c r="I181" s="20">
        <v>145.19999999999999</v>
      </c>
      <c r="J181" s="20">
        <v>141</v>
      </c>
      <c r="K181" s="20">
        <v>120.5</v>
      </c>
      <c r="L181" s="20">
        <v>141.5</v>
      </c>
      <c r="M181" s="20">
        <v>161.69999999999999</v>
      </c>
      <c r="N181" s="20">
        <v>129.1</v>
      </c>
      <c r="O181" s="20">
        <v>121.5</v>
      </c>
      <c r="P181" s="20">
        <v>137.1</v>
      </c>
      <c r="Q181" s="20">
        <v>128.80000000000001</v>
      </c>
      <c r="R181" s="20">
        <v>149</v>
      </c>
      <c r="S181" s="20">
        <v>140.5</v>
      </c>
      <c r="T181" s="20">
        <v>154.19999999999999</v>
      </c>
      <c r="U181" s="20">
        <v>143.1</v>
      </c>
      <c r="V181" s="20">
        <v>135.1</v>
      </c>
      <c r="W181" s="20">
        <v>142</v>
      </c>
      <c r="X181" s="20">
        <v>139.1</v>
      </c>
      <c r="Y181" s="20">
        <v>136.6</v>
      </c>
      <c r="Z181" s="20">
        <v>134.69999999999999</v>
      </c>
      <c r="AA181" s="20">
        <v>133.1</v>
      </c>
      <c r="AB181" s="20">
        <v>118.5</v>
      </c>
      <c r="AC181" s="20">
        <v>129</v>
      </c>
      <c r="AD181" s="20">
        <v>138.5</v>
      </c>
      <c r="AE181" s="20">
        <v>126.5</v>
      </c>
      <c r="AF181" s="20">
        <v>128.6</v>
      </c>
      <c r="AG181" s="20">
        <v>137.19999999999999</v>
      </c>
      <c r="AH181" s="28">
        <f t="shared" si="17"/>
        <v>3411.9999999999995</v>
      </c>
      <c r="AI181" s="28">
        <f t="shared" si="18"/>
        <v>522.6</v>
      </c>
      <c r="AJ181" s="28">
        <f t="shared" si="19"/>
        <v>278.2</v>
      </c>
      <c r="AK181" s="28">
        <f t="shared" si="20"/>
        <v>273.79999999999995</v>
      </c>
      <c r="AL181" s="28">
        <f t="shared" si="21"/>
        <v>1949.1999999999998</v>
      </c>
      <c r="AM181" s="28">
        <f t="shared" si="22"/>
        <v>130.65</v>
      </c>
      <c r="AN181" s="28">
        <f t="shared" si="23"/>
        <v>136.89999999999998</v>
      </c>
      <c r="AO181" s="31">
        <v>139.22857142857143</v>
      </c>
    </row>
    <row r="182" spans="1:41" x14ac:dyDescent="0.3">
      <c r="A182" s="26" t="s">
        <v>0</v>
      </c>
      <c r="B182" s="21">
        <v>2018</v>
      </c>
      <c r="C182" s="21" t="s">
        <v>1</v>
      </c>
      <c r="D182" s="21" t="str">
        <f t="shared" si="16"/>
        <v>Jan-18</v>
      </c>
      <c r="E182" s="32">
        <v>43101</v>
      </c>
      <c r="F182" s="21" t="s">
        <v>84</v>
      </c>
      <c r="G182" s="21">
        <v>136.6</v>
      </c>
      <c r="H182" s="21">
        <v>144.4</v>
      </c>
      <c r="I182" s="21">
        <v>143.80000000000001</v>
      </c>
      <c r="J182" s="21">
        <v>142</v>
      </c>
      <c r="K182" s="21">
        <v>123.2</v>
      </c>
      <c r="L182" s="21">
        <v>147.9</v>
      </c>
      <c r="M182" s="21">
        <v>152.1</v>
      </c>
      <c r="N182" s="21">
        <v>131.80000000000001</v>
      </c>
      <c r="O182" s="21">
        <v>119.5</v>
      </c>
      <c r="P182" s="21">
        <v>136</v>
      </c>
      <c r="Q182" s="21">
        <v>131.19999999999999</v>
      </c>
      <c r="R182" s="21">
        <v>151.80000000000001</v>
      </c>
      <c r="S182" s="21">
        <v>140.4</v>
      </c>
      <c r="T182" s="21">
        <v>153.6</v>
      </c>
      <c r="U182" s="21">
        <v>148.30000000000001</v>
      </c>
      <c r="V182" s="21">
        <v>142.30000000000001</v>
      </c>
      <c r="W182" s="21">
        <v>147.5</v>
      </c>
      <c r="X182" s="28">
        <f>'Handle missing value sheet only'!$C$1</f>
        <v>139.27096774193564</v>
      </c>
      <c r="Y182" s="21">
        <v>142.30000000000001</v>
      </c>
      <c r="Z182" s="21">
        <v>139.80000000000001</v>
      </c>
      <c r="AA182" s="21">
        <v>136</v>
      </c>
      <c r="AB182" s="21">
        <v>122.7</v>
      </c>
      <c r="AC182" s="21">
        <v>134.30000000000001</v>
      </c>
      <c r="AD182" s="21">
        <v>141.6</v>
      </c>
      <c r="AE182" s="21">
        <v>128.6</v>
      </c>
      <c r="AF182" s="21">
        <v>132.30000000000001</v>
      </c>
      <c r="AG182" s="21">
        <v>139.30000000000001</v>
      </c>
      <c r="AH182" s="28">
        <f t="shared" si="17"/>
        <v>3461.7709677419361</v>
      </c>
      <c r="AI182" s="28">
        <f t="shared" si="18"/>
        <v>536.79999999999995</v>
      </c>
      <c r="AJ182" s="28">
        <f t="shared" si="19"/>
        <v>290.60000000000002</v>
      </c>
      <c r="AK182" s="28">
        <f t="shared" si="20"/>
        <v>279.07096774193565</v>
      </c>
      <c r="AL182" s="28">
        <f t="shared" si="21"/>
        <v>1954.3</v>
      </c>
      <c r="AM182" s="28">
        <f t="shared" si="22"/>
        <v>134.19999999999999</v>
      </c>
      <c r="AN182" s="28">
        <f t="shared" si="23"/>
        <v>139.53548387096782</v>
      </c>
      <c r="AO182" s="29">
        <v>139.59285714285713</v>
      </c>
    </row>
    <row r="183" spans="1:41" x14ac:dyDescent="0.3">
      <c r="A183" s="27" t="s">
        <v>2</v>
      </c>
      <c r="B183" s="20">
        <v>2018</v>
      </c>
      <c r="C183" s="20" t="s">
        <v>1</v>
      </c>
      <c r="D183" s="21" t="str">
        <f t="shared" si="16"/>
        <v>Jan-18</v>
      </c>
      <c r="E183" s="33">
        <v>43101</v>
      </c>
      <c r="F183" s="20" t="s">
        <v>84</v>
      </c>
      <c r="G183" s="20">
        <v>134.6</v>
      </c>
      <c r="H183" s="20">
        <v>143.69999999999999</v>
      </c>
      <c r="I183" s="20">
        <v>143.6</v>
      </c>
      <c r="J183" s="20">
        <v>139.6</v>
      </c>
      <c r="K183" s="20">
        <v>116.4</v>
      </c>
      <c r="L183" s="20">
        <v>133.80000000000001</v>
      </c>
      <c r="M183" s="20">
        <v>150.5</v>
      </c>
      <c r="N183" s="20">
        <v>118.4</v>
      </c>
      <c r="O183" s="20">
        <v>117.3</v>
      </c>
      <c r="P183" s="20">
        <v>140.5</v>
      </c>
      <c r="Q183" s="20">
        <v>125.9</v>
      </c>
      <c r="R183" s="20">
        <v>146.80000000000001</v>
      </c>
      <c r="S183" s="20">
        <v>137.19999999999999</v>
      </c>
      <c r="T183" s="20">
        <v>157.69999999999999</v>
      </c>
      <c r="U183" s="20">
        <v>136</v>
      </c>
      <c r="V183" s="20">
        <v>125.9</v>
      </c>
      <c r="W183" s="20">
        <v>134.4</v>
      </c>
      <c r="X183" s="20">
        <v>140.4</v>
      </c>
      <c r="Y183" s="20">
        <v>127.3</v>
      </c>
      <c r="Z183" s="20">
        <v>129.5</v>
      </c>
      <c r="AA183" s="20">
        <v>129</v>
      </c>
      <c r="AB183" s="20">
        <v>116.3</v>
      </c>
      <c r="AC183" s="20">
        <v>126.2</v>
      </c>
      <c r="AD183" s="20">
        <v>137.1</v>
      </c>
      <c r="AE183" s="20">
        <v>125.5</v>
      </c>
      <c r="AF183" s="20">
        <v>125.8</v>
      </c>
      <c r="AG183" s="20">
        <v>134.1</v>
      </c>
      <c r="AH183" s="28">
        <f t="shared" si="17"/>
        <v>3325.0000000000005</v>
      </c>
      <c r="AI183" s="28">
        <f t="shared" si="18"/>
        <v>514.6</v>
      </c>
      <c r="AJ183" s="28">
        <f t="shared" si="19"/>
        <v>261.89999999999998</v>
      </c>
      <c r="AK183" s="28">
        <f t="shared" si="20"/>
        <v>269.89999999999998</v>
      </c>
      <c r="AL183" s="28">
        <f t="shared" si="21"/>
        <v>1906.0000000000002</v>
      </c>
      <c r="AM183" s="28">
        <f t="shared" si="22"/>
        <v>128.65</v>
      </c>
      <c r="AN183" s="28">
        <f t="shared" si="23"/>
        <v>134.94999999999999</v>
      </c>
      <c r="AO183" s="31">
        <v>136.14285714285717</v>
      </c>
    </row>
    <row r="184" spans="1:41" x14ac:dyDescent="0.3">
      <c r="A184" s="26" t="s">
        <v>3</v>
      </c>
      <c r="B184" s="21">
        <v>2018</v>
      </c>
      <c r="C184" s="21" t="s">
        <v>1</v>
      </c>
      <c r="D184" s="21" t="str">
        <f t="shared" si="16"/>
        <v>Jan-18</v>
      </c>
      <c r="E184" s="32">
        <v>43101</v>
      </c>
      <c r="F184" s="21" t="s">
        <v>84</v>
      </c>
      <c r="G184" s="21">
        <v>136</v>
      </c>
      <c r="H184" s="21">
        <v>144.19999999999999</v>
      </c>
      <c r="I184" s="21">
        <v>143.69999999999999</v>
      </c>
      <c r="J184" s="21">
        <v>141.1</v>
      </c>
      <c r="K184" s="21">
        <v>120.7</v>
      </c>
      <c r="L184" s="21">
        <v>141.30000000000001</v>
      </c>
      <c r="M184" s="21">
        <v>151.6</v>
      </c>
      <c r="N184" s="21">
        <v>127.3</v>
      </c>
      <c r="O184" s="21">
        <v>118.8</v>
      </c>
      <c r="P184" s="21">
        <v>137.5</v>
      </c>
      <c r="Q184" s="21">
        <v>129</v>
      </c>
      <c r="R184" s="21">
        <v>149.5</v>
      </c>
      <c r="S184" s="21">
        <v>139.19999999999999</v>
      </c>
      <c r="T184" s="21">
        <v>154.69999999999999</v>
      </c>
      <c r="U184" s="21">
        <v>143.5</v>
      </c>
      <c r="V184" s="21">
        <v>135.5</v>
      </c>
      <c r="W184" s="21">
        <v>142.30000000000001</v>
      </c>
      <c r="X184" s="21">
        <v>140.4</v>
      </c>
      <c r="Y184" s="21">
        <v>136.6</v>
      </c>
      <c r="Z184" s="21">
        <v>134.9</v>
      </c>
      <c r="AA184" s="21">
        <v>133.30000000000001</v>
      </c>
      <c r="AB184" s="21">
        <v>119.3</v>
      </c>
      <c r="AC184" s="21">
        <v>129.69999999999999</v>
      </c>
      <c r="AD184" s="21">
        <v>139</v>
      </c>
      <c r="AE184" s="21">
        <v>127.3</v>
      </c>
      <c r="AF184" s="21">
        <v>129.1</v>
      </c>
      <c r="AG184" s="21">
        <v>136.9</v>
      </c>
      <c r="AH184" s="28">
        <f t="shared" si="17"/>
        <v>3403.2</v>
      </c>
      <c r="AI184" s="28">
        <f t="shared" si="18"/>
        <v>525.09999999999991</v>
      </c>
      <c r="AJ184" s="28">
        <f t="shared" si="19"/>
        <v>279</v>
      </c>
      <c r="AK184" s="28">
        <f t="shared" si="20"/>
        <v>275.3</v>
      </c>
      <c r="AL184" s="28">
        <f t="shared" si="21"/>
        <v>1934.6000000000001</v>
      </c>
      <c r="AM184" s="28">
        <f t="shared" si="22"/>
        <v>131.27499999999998</v>
      </c>
      <c r="AN184" s="28">
        <f t="shared" si="23"/>
        <v>137.65</v>
      </c>
      <c r="AO184" s="29">
        <v>138.18571428571428</v>
      </c>
    </row>
    <row r="185" spans="1:41" x14ac:dyDescent="0.3">
      <c r="A185" s="27" t="s">
        <v>0</v>
      </c>
      <c r="B185" s="20">
        <v>2018</v>
      </c>
      <c r="C185" s="20" t="s">
        <v>4</v>
      </c>
      <c r="D185" s="21" t="str">
        <f t="shared" si="16"/>
        <v>Feb-18</v>
      </c>
      <c r="E185" s="33">
        <v>43132</v>
      </c>
      <c r="F185" s="20" t="s">
        <v>84</v>
      </c>
      <c r="G185" s="20">
        <v>136.4</v>
      </c>
      <c r="H185" s="20">
        <v>143.69999999999999</v>
      </c>
      <c r="I185" s="20">
        <v>140.6</v>
      </c>
      <c r="J185" s="20">
        <v>141.5</v>
      </c>
      <c r="K185" s="20">
        <v>122.9</v>
      </c>
      <c r="L185" s="20">
        <v>149.4</v>
      </c>
      <c r="M185" s="20">
        <v>142.4</v>
      </c>
      <c r="N185" s="20">
        <v>130.19999999999999</v>
      </c>
      <c r="O185" s="20">
        <v>117.9</v>
      </c>
      <c r="P185" s="20">
        <v>135.6</v>
      </c>
      <c r="Q185" s="20">
        <v>130.5</v>
      </c>
      <c r="R185" s="20">
        <v>151.69999999999999</v>
      </c>
      <c r="S185" s="20">
        <v>138.69999999999999</v>
      </c>
      <c r="T185" s="20">
        <v>153.30000000000001</v>
      </c>
      <c r="U185" s="20">
        <v>148.69999999999999</v>
      </c>
      <c r="V185" s="20">
        <v>142.4</v>
      </c>
      <c r="W185" s="20">
        <v>147.80000000000001</v>
      </c>
      <c r="X185" s="30">
        <f>'Handle missing value sheet only'!$C$1</f>
        <v>139.27096774193564</v>
      </c>
      <c r="Y185" s="20">
        <v>142.4</v>
      </c>
      <c r="Z185" s="20">
        <v>139.9</v>
      </c>
      <c r="AA185" s="20">
        <v>136.19999999999999</v>
      </c>
      <c r="AB185" s="20">
        <v>123.3</v>
      </c>
      <c r="AC185" s="20">
        <v>134.30000000000001</v>
      </c>
      <c r="AD185" s="20">
        <v>141.5</v>
      </c>
      <c r="AE185" s="20">
        <v>128.80000000000001</v>
      </c>
      <c r="AF185" s="20">
        <v>132.5</v>
      </c>
      <c r="AG185" s="20">
        <v>138.5</v>
      </c>
      <c r="AH185" s="28">
        <f t="shared" si="17"/>
        <v>3444.0709677419354</v>
      </c>
      <c r="AI185" s="28">
        <f t="shared" si="18"/>
        <v>537.1</v>
      </c>
      <c r="AJ185" s="28">
        <f t="shared" si="19"/>
        <v>291.10000000000002</v>
      </c>
      <c r="AK185" s="28">
        <f t="shared" si="20"/>
        <v>279.17096774193567</v>
      </c>
      <c r="AL185" s="28">
        <f t="shared" si="21"/>
        <v>1934.8</v>
      </c>
      <c r="AM185" s="28">
        <f t="shared" si="22"/>
        <v>134.27500000000001</v>
      </c>
      <c r="AN185" s="28">
        <f t="shared" si="23"/>
        <v>139.58548387096783</v>
      </c>
      <c r="AO185" s="31">
        <v>138.19999999999999</v>
      </c>
    </row>
    <row r="186" spans="1:41" x14ac:dyDescent="0.3">
      <c r="A186" s="26" t="s">
        <v>2</v>
      </c>
      <c r="B186" s="21">
        <v>2018</v>
      </c>
      <c r="C186" s="21" t="s">
        <v>4</v>
      </c>
      <c r="D186" s="21" t="str">
        <f t="shared" si="16"/>
        <v>Feb-18</v>
      </c>
      <c r="E186" s="32">
        <v>43132</v>
      </c>
      <c r="F186" s="21" t="s">
        <v>84</v>
      </c>
      <c r="G186" s="21">
        <v>134.80000000000001</v>
      </c>
      <c r="H186" s="21">
        <v>143</v>
      </c>
      <c r="I186" s="21">
        <v>139.9</v>
      </c>
      <c r="J186" s="21">
        <v>139.9</v>
      </c>
      <c r="K186" s="21">
        <v>116.2</v>
      </c>
      <c r="L186" s="21">
        <v>135.5</v>
      </c>
      <c r="M186" s="21">
        <v>136.9</v>
      </c>
      <c r="N186" s="21">
        <v>117</v>
      </c>
      <c r="O186" s="21">
        <v>115.4</v>
      </c>
      <c r="P186" s="21">
        <v>140.69999999999999</v>
      </c>
      <c r="Q186" s="21">
        <v>125.9</v>
      </c>
      <c r="R186" s="21">
        <v>147.1</v>
      </c>
      <c r="S186" s="21">
        <v>135.6</v>
      </c>
      <c r="T186" s="21">
        <v>159.30000000000001</v>
      </c>
      <c r="U186" s="21">
        <v>136.30000000000001</v>
      </c>
      <c r="V186" s="21">
        <v>126.1</v>
      </c>
      <c r="W186" s="21">
        <v>134.69999999999999</v>
      </c>
      <c r="X186" s="21">
        <v>141.30000000000001</v>
      </c>
      <c r="Y186" s="21">
        <v>127.3</v>
      </c>
      <c r="Z186" s="21">
        <v>129.9</v>
      </c>
      <c r="AA186" s="21">
        <v>129.80000000000001</v>
      </c>
      <c r="AB186" s="21">
        <v>117.4</v>
      </c>
      <c r="AC186" s="21">
        <v>126.5</v>
      </c>
      <c r="AD186" s="21">
        <v>137.19999999999999</v>
      </c>
      <c r="AE186" s="21">
        <v>126.2</v>
      </c>
      <c r="AF186" s="21">
        <v>126.5</v>
      </c>
      <c r="AG186" s="21">
        <v>134</v>
      </c>
      <c r="AH186" s="28">
        <f t="shared" si="17"/>
        <v>3311.7000000000003</v>
      </c>
      <c r="AI186" s="28">
        <f t="shared" si="18"/>
        <v>516.4</v>
      </c>
      <c r="AJ186" s="28">
        <f t="shared" si="19"/>
        <v>262.39999999999998</v>
      </c>
      <c r="AK186" s="28">
        <f t="shared" si="20"/>
        <v>271.20000000000005</v>
      </c>
      <c r="AL186" s="28">
        <f t="shared" si="21"/>
        <v>1887.2</v>
      </c>
      <c r="AM186" s="28">
        <f t="shared" si="22"/>
        <v>129.1</v>
      </c>
      <c r="AN186" s="28">
        <f t="shared" si="23"/>
        <v>135.60000000000002</v>
      </c>
      <c r="AO186" s="29">
        <v>134.80000000000001</v>
      </c>
    </row>
    <row r="187" spans="1:41" x14ac:dyDescent="0.3">
      <c r="A187" s="27" t="s">
        <v>3</v>
      </c>
      <c r="B187" s="20">
        <v>2018</v>
      </c>
      <c r="C187" s="20" t="s">
        <v>4</v>
      </c>
      <c r="D187" s="21" t="str">
        <f t="shared" si="16"/>
        <v>Feb-18</v>
      </c>
      <c r="E187" s="33">
        <v>43132</v>
      </c>
      <c r="F187" s="20" t="s">
        <v>84</v>
      </c>
      <c r="G187" s="20">
        <v>135.9</v>
      </c>
      <c r="H187" s="20">
        <v>143.5</v>
      </c>
      <c r="I187" s="20">
        <v>140.30000000000001</v>
      </c>
      <c r="J187" s="20">
        <v>140.9</v>
      </c>
      <c r="K187" s="20">
        <v>120.4</v>
      </c>
      <c r="L187" s="20">
        <v>142.9</v>
      </c>
      <c r="M187" s="20">
        <v>140.5</v>
      </c>
      <c r="N187" s="20">
        <v>125.8</v>
      </c>
      <c r="O187" s="20">
        <v>117.1</v>
      </c>
      <c r="P187" s="20">
        <v>137.30000000000001</v>
      </c>
      <c r="Q187" s="20">
        <v>128.6</v>
      </c>
      <c r="R187" s="20">
        <v>149.6</v>
      </c>
      <c r="S187" s="20">
        <v>137.6</v>
      </c>
      <c r="T187" s="20">
        <v>154.9</v>
      </c>
      <c r="U187" s="20">
        <v>143.80000000000001</v>
      </c>
      <c r="V187" s="20">
        <v>135.6</v>
      </c>
      <c r="W187" s="20">
        <v>142.6</v>
      </c>
      <c r="X187" s="20">
        <v>141.30000000000001</v>
      </c>
      <c r="Y187" s="20">
        <v>136.69999999999999</v>
      </c>
      <c r="Z187" s="20">
        <v>135.19999999999999</v>
      </c>
      <c r="AA187" s="20">
        <v>133.80000000000001</v>
      </c>
      <c r="AB187" s="20">
        <v>120.2</v>
      </c>
      <c r="AC187" s="20">
        <v>129.9</v>
      </c>
      <c r="AD187" s="20">
        <v>139</v>
      </c>
      <c r="AE187" s="20">
        <v>127.7</v>
      </c>
      <c r="AF187" s="20">
        <v>129.6</v>
      </c>
      <c r="AG187" s="20">
        <v>136.4</v>
      </c>
      <c r="AH187" s="28">
        <f t="shared" si="17"/>
        <v>3388.1000000000004</v>
      </c>
      <c r="AI187" s="28">
        <f t="shared" si="18"/>
        <v>526.20000000000005</v>
      </c>
      <c r="AJ187" s="28">
        <f t="shared" si="19"/>
        <v>279.39999999999998</v>
      </c>
      <c r="AK187" s="28">
        <f t="shared" si="20"/>
        <v>276.5</v>
      </c>
      <c r="AL187" s="28">
        <f t="shared" si="21"/>
        <v>1915.2999999999997</v>
      </c>
      <c r="AM187" s="28">
        <f t="shared" si="22"/>
        <v>131.55000000000001</v>
      </c>
      <c r="AN187" s="28">
        <f t="shared" si="23"/>
        <v>138.25</v>
      </c>
      <c r="AO187" s="31">
        <v>136.80714285714285</v>
      </c>
    </row>
    <row r="188" spans="1:41" x14ac:dyDescent="0.3">
      <c r="A188" s="26" t="s">
        <v>0</v>
      </c>
      <c r="B188" s="21">
        <v>2018</v>
      </c>
      <c r="C188" s="21" t="s">
        <v>5</v>
      </c>
      <c r="D188" s="21" t="str">
        <f t="shared" si="16"/>
        <v>Mar-18</v>
      </c>
      <c r="E188" s="32">
        <v>43160</v>
      </c>
      <c r="F188" s="21" t="s">
        <v>84</v>
      </c>
      <c r="G188" s="21">
        <v>136.80000000000001</v>
      </c>
      <c r="H188" s="21">
        <v>143.80000000000001</v>
      </c>
      <c r="I188" s="21">
        <v>140</v>
      </c>
      <c r="J188" s="21">
        <v>142</v>
      </c>
      <c r="K188" s="21">
        <v>123.2</v>
      </c>
      <c r="L188" s="21">
        <v>152.9</v>
      </c>
      <c r="M188" s="21">
        <v>138</v>
      </c>
      <c r="N188" s="21">
        <v>129.30000000000001</v>
      </c>
      <c r="O188" s="21">
        <v>117.1</v>
      </c>
      <c r="P188" s="21">
        <v>136.30000000000001</v>
      </c>
      <c r="Q188" s="21">
        <v>131.19999999999999</v>
      </c>
      <c r="R188" s="21">
        <v>152.80000000000001</v>
      </c>
      <c r="S188" s="21">
        <v>138.6</v>
      </c>
      <c r="T188" s="21">
        <v>155.1</v>
      </c>
      <c r="U188" s="21">
        <v>149.19999999999999</v>
      </c>
      <c r="V188" s="21">
        <v>143</v>
      </c>
      <c r="W188" s="21">
        <v>148.30000000000001</v>
      </c>
      <c r="X188" s="28">
        <f>'Handle missing value sheet only'!$C$1</f>
        <v>139.27096774193564</v>
      </c>
      <c r="Y188" s="21">
        <v>142.6</v>
      </c>
      <c r="Z188" s="21">
        <v>139.9</v>
      </c>
      <c r="AA188" s="21">
        <v>136.69999999999999</v>
      </c>
      <c r="AB188" s="21">
        <v>124.6</v>
      </c>
      <c r="AC188" s="21">
        <v>135.1</v>
      </c>
      <c r="AD188" s="21">
        <v>142.69999999999999</v>
      </c>
      <c r="AE188" s="21">
        <v>129.30000000000001</v>
      </c>
      <c r="AF188" s="21">
        <v>133.30000000000001</v>
      </c>
      <c r="AG188" s="21">
        <v>138.69999999999999</v>
      </c>
      <c r="AH188" s="28">
        <f t="shared" si="17"/>
        <v>3452.7709677419352</v>
      </c>
      <c r="AI188" s="28">
        <f t="shared" si="18"/>
        <v>540.4</v>
      </c>
      <c r="AJ188" s="28">
        <f t="shared" si="19"/>
        <v>292.2</v>
      </c>
      <c r="AK188" s="28">
        <f t="shared" si="20"/>
        <v>279.17096774193567</v>
      </c>
      <c r="AL188" s="28">
        <f t="shared" si="21"/>
        <v>1937.0999999999997</v>
      </c>
      <c r="AM188" s="28">
        <f t="shared" si="22"/>
        <v>135.1</v>
      </c>
      <c r="AN188" s="28">
        <f t="shared" si="23"/>
        <v>139.58548387096783</v>
      </c>
      <c r="AO188" s="29">
        <v>138.3642857142857</v>
      </c>
    </row>
    <row r="189" spans="1:41" x14ac:dyDescent="0.3">
      <c r="A189" s="27" t="s">
        <v>2</v>
      </c>
      <c r="B189" s="20">
        <v>2018</v>
      </c>
      <c r="C189" s="20" t="s">
        <v>5</v>
      </c>
      <c r="D189" s="21" t="str">
        <f t="shared" si="16"/>
        <v>Mar-18</v>
      </c>
      <c r="E189" s="33">
        <v>43160</v>
      </c>
      <c r="F189" s="20" t="s">
        <v>84</v>
      </c>
      <c r="G189" s="20">
        <v>135</v>
      </c>
      <c r="H189" s="20">
        <v>143.1</v>
      </c>
      <c r="I189" s="20">
        <v>135.5</v>
      </c>
      <c r="J189" s="20">
        <v>139.9</v>
      </c>
      <c r="K189" s="20">
        <v>116.5</v>
      </c>
      <c r="L189" s="20">
        <v>138.5</v>
      </c>
      <c r="M189" s="20">
        <v>128</v>
      </c>
      <c r="N189" s="20">
        <v>115.5</v>
      </c>
      <c r="O189" s="20">
        <v>114.2</v>
      </c>
      <c r="P189" s="20">
        <v>140.69999999999999</v>
      </c>
      <c r="Q189" s="20">
        <v>126.2</v>
      </c>
      <c r="R189" s="20">
        <v>147.6</v>
      </c>
      <c r="S189" s="20">
        <v>134.80000000000001</v>
      </c>
      <c r="T189" s="20">
        <v>159.69999999999999</v>
      </c>
      <c r="U189" s="20">
        <v>136.69999999999999</v>
      </c>
      <c r="V189" s="20">
        <v>126.7</v>
      </c>
      <c r="W189" s="20">
        <v>135.19999999999999</v>
      </c>
      <c r="X189" s="20">
        <v>142</v>
      </c>
      <c r="Y189" s="20">
        <v>126.4</v>
      </c>
      <c r="Z189" s="20">
        <v>130.80000000000001</v>
      </c>
      <c r="AA189" s="20">
        <v>130.5</v>
      </c>
      <c r="AB189" s="20">
        <v>117.8</v>
      </c>
      <c r="AC189" s="20">
        <v>126.8</v>
      </c>
      <c r="AD189" s="20">
        <v>137.80000000000001</v>
      </c>
      <c r="AE189" s="20">
        <v>126.7</v>
      </c>
      <c r="AF189" s="20">
        <v>127.1</v>
      </c>
      <c r="AG189" s="20">
        <v>134</v>
      </c>
      <c r="AH189" s="28">
        <f t="shared" si="17"/>
        <v>3304.4999999999986</v>
      </c>
      <c r="AI189" s="28">
        <f t="shared" si="18"/>
        <v>518.4</v>
      </c>
      <c r="AJ189" s="28">
        <f t="shared" si="19"/>
        <v>263.39999999999998</v>
      </c>
      <c r="AK189" s="28">
        <f t="shared" si="20"/>
        <v>272.8</v>
      </c>
      <c r="AL189" s="28">
        <f t="shared" si="21"/>
        <v>1875.2</v>
      </c>
      <c r="AM189" s="28">
        <f t="shared" si="22"/>
        <v>129.6</v>
      </c>
      <c r="AN189" s="28">
        <f t="shared" si="23"/>
        <v>136.4</v>
      </c>
      <c r="AO189" s="31">
        <v>133.94285714285715</v>
      </c>
    </row>
    <row r="190" spans="1:41" x14ac:dyDescent="0.3">
      <c r="A190" s="26" t="s">
        <v>3</v>
      </c>
      <c r="B190" s="21">
        <v>2018</v>
      </c>
      <c r="C190" s="21" t="s">
        <v>5</v>
      </c>
      <c r="D190" s="21" t="str">
        <f t="shared" si="16"/>
        <v>Mar-18</v>
      </c>
      <c r="E190" s="32">
        <v>43160</v>
      </c>
      <c r="F190" s="21" t="s">
        <v>84</v>
      </c>
      <c r="G190" s="21">
        <v>136.19999999999999</v>
      </c>
      <c r="H190" s="21">
        <v>143.6</v>
      </c>
      <c r="I190" s="21">
        <v>138.30000000000001</v>
      </c>
      <c r="J190" s="21">
        <v>141.19999999999999</v>
      </c>
      <c r="K190" s="21">
        <v>120.7</v>
      </c>
      <c r="L190" s="21">
        <v>146.19999999999999</v>
      </c>
      <c r="M190" s="21">
        <v>134.6</v>
      </c>
      <c r="N190" s="21">
        <v>124.6</v>
      </c>
      <c r="O190" s="21">
        <v>116.1</v>
      </c>
      <c r="P190" s="21">
        <v>137.80000000000001</v>
      </c>
      <c r="Q190" s="21">
        <v>129.1</v>
      </c>
      <c r="R190" s="21">
        <v>150.4</v>
      </c>
      <c r="S190" s="21">
        <v>137.19999999999999</v>
      </c>
      <c r="T190" s="21">
        <v>156.30000000000001</v>
      </c>
      <c r="U190" s="21">
        <v>144.30000000000001</v>
      </c>
      <c r="V190" s="21">
        <v>136.19999999999999</v>
      </c>
      <c r="W190" s="21">
        <v>143.1</v>
      </c>
      <c r="X190" s="21">
        <v>142</v>
      </c>
      <c r="Y190" s="21">
        <v>136.5</v>
      </c>
      <c r="Z190" s="21">
        <v>135.6</v>
      </c>
      <c r="AA190" s="21">
        <v>134.30000000000001</v>
      </c>
      <c r="AB190" s="21">
        <v>121</v>
      </c>
      <c r="AC190" s="21">
        <v>130.4</v>
      </c>
      <c r="AD190" s="21">
        <v>139.80000000000001</v>
      </c>
      <c r="AE190" s="21">
        <v>128.19999999999999</v>
      </c>
      <c r="AF190" s="21">
        <v>130.30000000000001</v>
      </c>
      <c r="AG190" s="21">
        <v>136.5</v>
      </c>
      <c r="AH190" s="28">
        <f t="shared" si="17"/>
        <v>3390.9</v>
      </c>
      <c r="AI190" s="28">
        <f t="shared" si="18"/>
        <v>528.70000000000005</v>
      </c>
      <c r="AJ190" s="28">
        <f t="shared" si="19"/>
        <v>280.5</v>
      </c>
      <c r="AK190" s="28">
        <f t="shared" si="20"/>
        <v>277.60000000000002</v>
      </c>
      <c r="AL190" s="28">
        <f t="shared" si="21"/>
        <v>1912.3</v>
      </c>
      <c r="AM190" s="28">
        <f t="shared" si="22"/>
        <v>132.17500000000001</v>
      </c>
      <c r="AN190" s="28">
        <f t="shared" si="23"/>
        <v>138.80000000000001</v>
      </c>
      <c r="AO190" s="29">
        <v>136.59285714285713</v>
      </c>
    </row>
    <row r="191" spans="1:41" x14ac:dyDescent="0.3">
      <c r="A191" s="27" t="s">
        <v>0</v>
      </c>
      <c r="B191" s="20">
        <v>2018</v>
      </c>
      <c r="C191" s="20" t="s">
        <v>6</v>
      </c>
      <c r="D191" s="21" t="str">
        <f t="shared" si="16"/>
        <v>Apr-18</v>
      </c>
      <c r="E191" s="33">
        <v>43191</v>
      </c>
      <c r="F191" s="20" t="s">
        <v>84</v>
      </c>
      <c r="G191" s="20">
        <v>137.1</v>
      </c>
      <c r="H191" s="20">
        <v>144.5</v>
      </c>
      <c r="I191" s="20">
        <v>135.9</v>
      </c>
      <c r="J191" s="20">
        <v>142.4</v>
      </c>
      <c r="K191" s="20">
        <v>123.5</v>
      </c>
      <c r="L191" s="20">
        <v>156.4</v>
      </c>
      <c r="M191" s="20">
        <v>135.1</v>
      </c>
      <c r="N191" s="20">
        <v>128.4</v>
      </c>
      <c r="O191" s="20">
        <v>115.2</v>
      </c>
      <c r="P191" s="20">
        <v>137.19999999999999</v>
      </c>
      <c r="Q191" s="20">
        <v>131.9</v>
      </c>
      <c r="R191" s="20">
        <v>153.80000000000001</v>
      </c>
      <c r="S191" s="20">
        <v>138.6</v>
      </c>
      <c r="T191" s="20">
        <v>156.1</v>
      </c>
      <c r="U191" s="20">
        <v>150.1</v>
      </c>
      <c r="V191" s="20">
        <v>143.30000000000001</v>
      </c>
      <c r="W191" s="20">
        <v>149.1</v>
      </c>
      <c r="X191" s="30">
        <f>'Handle missing value sheet only'!$C$1</f>
        <v>139.27096774193564</v>
      </c>
      <c r="Y191" s="20">
        <v>143.80000000000001</v>
      </c>
      <c r="Z191" s="20">
        <v>140.9</v>
      </c>
      <c r="AA191" s="20">
        <v>137.6</v>
      </c>
      <c r="AB191" s="20">
        <v>125.3</v>
      </c>
      <c r="AC191" s="20">
        <v>136</v>
      </c>
      <c r="AD191" s="20">
        <v>143.69999999999999</v>
      </c>
      <c r="AE191" s="20">
        <v>130.4</v>
      </c>
      <c r="AF191" s="20">
        <v>134.19999999999999</v>
      </c>
      <c r="AG191" s="20">
        <v>139.1</v>
      </c>
      <c r="AH191" s="28">
        <f t="shared" si="17"/>
        <v>3460.6709677419358</v>
      </c>
      <c r="AI191" s="28">
        <f t="shared" si="18"/>
        <v>544.29999999999995</v>
      </c>
      <c r="AJ191" s="28">
        <f t="shared" si="19"/>
        <v>293.39999999999998</v>
      </c>
      <c r="AK191" s="28">
        <f t="shared" si="20"/>
        <v>280.17096774193567</v>
      </c>
      <c r="AL191" s="28">
        <f t="shared" si="21"/>
        <v>1936.1</v>
      </c>
      <c r="AM191" s="28">
        <f t="shared" si="22"/>
        <v>136.07499999999999</v>
      </c>
      <c r="AN191" s="28">
        <f t="shared" si="23"/>
        <v>140.08548387096783</v>
      </c>
      <c r="AO191" s="31">
        <v>138.29285714285714</v>
      </c>
    </row>
    <row r="192" spans="1:41" x14ac:dyDescent="0.3">
      <c r="A192" s="26" t="s">
        <v>2</v>
      </c>
      <c r="B192" s="21">
        <v>2018</v>
      </c>
      <c r="C192" s="21" t="s">
        <v>6</v>
      </c>
      <c r="D192" s="21" t="str">
        <f t="shared" si="16"/>
        <v>Apr-18</v>
      </c>
      <c r="E192" s="32">
        <v>43191</v>
      </c>
      <c r="F192" s="21" t="s">
        <v>84</v>
      </c>
      <c r="G192" s="21">
        <v>135</v>
      </c>
      <c r="H192" s="21">
        <v>144.30000000000001</v>
      </c>
      <c r="I192" s="21">
        <v>130.80000000000001</v>
      </c>
      <c r="J192" s="21">
        <v>140.30000000000001</v>
      </c>
      <c r="K192" s="21">
        <v>116.6</v>
      </c>
      <c r="L192" s="21">
        <v>150.1</v>
      </c>
      <c r="M192" s="21">
        <v>127.6</v>
      </c>
      <c r="N192" s="21">
        <v>114</v>
      </c>
      <c r="O192" s="21">
        <v>110.6</v>
      </c>
      <c r="P192" s="21">
        <v>140.19999999999999</v>
      </c>
      <c r="Q192" s="21">
        <v>126.5</v>
      </c>
      <c r="R192" s="21">
        <v>148.30000000000001</v>
      </c>
      <c r="S192" s="21">
        <v>135.69999999999999</v>
      </c>
      <c r="T192" s="21">
        <v>159.19999999999999</v>
      </c>
      <c r="U192" s="21">
        <v>137.80000000000001</v>
      </c>
      <c r="V192" s="21">
        <v>127.4</v>
      </c>
      <c r="W192" s="21">
        <v>136.19999999999999</v>
      </c>
      <c r="X192" s="21">
        <v>142.9</v>
      </c>
      <c r="Y192" s="21">
        <v>124.6</v>
      </c>
      <c r="Z192" s="21">
        <v>131.80000000000001</v>
      </c>
      <c r="AA192" s="21">
        <v>131.30000000000001</v>
      </c>
      <c r="AB192" s="21">
        <v>118.9</v>
      </c>
      <c r="AC192" s="21">
        <v>127.6</v>
      </c>
      <c r="AD192" s="21">
        <v>139.69999999999999</v>
      </c>
      <c r="AE192" s="21">
        <v>127.6</v>
      </c>
      <c r="AF192" s="21">
        <v>128.19999999999999</v>
      </c>
      <c r="AG192" s="21">
        <v>134.80000000000001</v>
      </c>
      <c r="AH192" s="28">
        <f t="shared" si="17"/>
        <v>3316.9999999999995</v>
      </c>
      <c r="AI192" s="28">
        <f t="shared" si="18"/>
        <v>523.1</v>
      </c>
      <c r="AJ192" s="28">
        <f t="shared" si="19"/>
        <v>265.20000000000005</v>
      </c>
      <c r="AK192" s="28">
        <f t="shared" si="20"/>
        <v>274.70000000000005</v>
      </c>
      <c r="AL192" s="28">
        <f t="shared" si="21"/>
        <v>1879.2000000000003</v>
      </c>
      <c r="AM192" s="28">
        <f t="shared" si="22"/>
        <v>130.77500000000001</v>
      </c>
      <c r="AN192" s="28">
        <f t="shared" si="23"/>
        <v>137.35000000000002</v>
      </c>
      <c r="AO192" s="29">
        <v>134.22857142857146</v>
      </c>
    </row>
    <row r="193" spans="1:41" x14ac:dyDescent="0.3">
      <c r="A193" s="27" t="s">
        <v>3</v>
      </c>
      <c r="B193" s="20">
        <v>2018</v>
      </c>
      <c r="C193" s="20" t="s">
        <v>6</v>
      </c>
      <c r="D193" s="21" t="str">
        <f t="shared" si="16"/>
        <v>Apr-18</v>
      </c>
      <c r="E193" s="33">
        <v>43191</v>
      </c>
      <c r="F193" s="20" t="s">
        <v>84</v>
      </c>
      <c r="G193" s="20">
        <v>136.4</v>
      </c>
      <c r="H193" s="20">
        <v>144.4</v>
      </c>
      <c r="I193" s="20">
        <v>133.9</v>
      </c>
      <c r="J193" s="20">
        <v>141.6</v>
      </c>
      <c r="K193" s="20">
        <v>121</v>
      </c>
      <c r="L193" s="20">
        <v>153.5</v>
      </c>
      <c r="M193" s="20">
        <v>132.6</v>
      </c>
      <c r="N193" s="20">
        <v>123.5</v>
      </c>
      <c r="O193" s="20">
        <v>113.7</v>
      </c>
      <c r="P193" s="20">
        <v>138.19999999999999</v>
      </c>
      <c r="Q193" s="20">
        <v>129.6</v>
      </c>
      <c r="R193" s="20">
        <v>151.19999999999999</v>
      </c>
      <c r="S193" s="20">
        <v>137.5</v>
      </c>
      <c r="T193" s="20">
        <v>156.9</v>
      </c>
      <c r="U193" s="20">
        <v>145.30000000000001</v>
      </c>
      <c r="V193" s="20">
        <v>136.69999999999999</v>
      </c>
      <c r="W193" s="20">
        <v>144</v>
      </c>
      <c r="X193" s="20">
        <v>142.9</v>
      </c>
      <c r="Y193" s="20">
        <v>136.5</v>
      </c>
      <c r="Z193" s="20">
        <v>136.6</v>
      </c>
      <c r="AA193" s="20">
        <v>135.19999999999999</v>
      </c>
      <c r="AB193" s="20">
        <v>121.9</v>
      </c>
      <c r="AC193" s="20">
        <v>131.30000000000001</v>
      </c>
      <c r="AD193" s="20">
        <v>141.4</v>
      </c>
      <c r="AE193" s="20">
        <v>129.19999999999999</v>
      </c>
      <c r="AF193" s="20">
        <v>131.30000000000001</v>
      </c>
      <c r="AG193" s="20">
        <v>137.1</v>
      </c>
      <c r="AH193" s="28">
        <f t="shared" si="17"/>
        <v>3402.2999999999997</v>
      </c>
      <c r="AI193" s="28">
        <f t="shared" si="18"/>
        <v>533.20000000000005</v>
      </c>
      <c r="AJ193" s="28">
        <f t="shared" si="19"/>
        <v>282</v>
      </c>
      <c r="AK193" s="28">
        <f t="shared" si="20"/>
        <v>279.5</v>
      </c>
      <c r="AL193" s="28">
        <f t="shared" si="21"/>
        <v>1914.0000000000002</v>
      </c>
      <c r="AM193" s="28">
        <f t="shared" si="22"/>
        <v>133.30000000000001</v>
      </c>
      <c r="AN193" s="28">
        <f t="shared" si="23"/>
        <v>139.75</v>
      </c>
      <c r="AO193" s="31">
        <v>136.71428571428572</v>
      </c>
    </row>
    <row r="194" spans="1:41" x14ac:dyDescent="0.3">
      <c r="A194" s="26" t="s">
        <v>0</v>
      </c>
      <c r="B194" s="21">
        <v>2018</v>
      </c>
      <c r="C194" s="21" t="s">
        <v>7</v>
      </c>
      <c r="D194" s="21" t="str">
        <f t="shared" si="16"/>
        <v>May-18</v>
      </c>
      <c r="E194" s="32">
        <v>43221</v>
      </c>
      <c r="F194" s="21" t="s">
        <v>84</v>
      </c>
      <c r="G194" s="21">
        <v>137.4</v>
      </c>
      <c r="H194" s="21">
        <v>145.69999999999999</v>
      </c>
      <c r="I194" s="21">
        <v>135.5</v>
      </c>
      <c r="J194" s="21">
        <v>142.9</v>
      </c>
      <c r="K194" s="21">
        <v>123.6</v>
      </c>
      <c r="L194" s="21">
        <v>157.5</v>
      </c>
      <c r="M194" s="21">
        <v>137.80000000000001</v>
      </c>
      <c r="N194" s="21">
        <v>127.2</v>
      </c>
      <c r="O194" s="21">
        <v>111.8</v>
      </c>
      <c r="P194" s="21">
        <v>137.4</v>
      </c>
      <c r="Q194" s="21">
        <v>132.19999999999999</v>
      </c>
      <c r="R194" s="21">
        <v>154.30000000000001</v>
      </c>
      <c r="S194" s="21">
        <v>139.1</v>
      </c>
      <c r="T194" s="21">
        <v>157</v>
      </c>
      <c r="U194" s="21">
        <v>150.80000000000001</v>
      </c>
      <c r="V194" s="21">
        <v>144.1</v>
      </c>
      <c r="W194" s="21">
        <v>149.80000000000001</v>
      </c>
      <c r="X194" s="28">
        <f>'Handle missing value sheet only'!$C$1</f>
        <v>139.27096774193564</v>
      </c>
      <c r="Y194" s="21">
        <v>144.30000000000001</v>
      </c>
      <c r="Z194" s="21">
        <v>141.80000000000001</v>
      </c>
      <c r="AA194" s="21">
        <v>138.4</v>
      </c>
      <c r="AB194" s="21">
        <v>126.4</v>
      </c>
      <c r="AC194" s="21">
        <v>136.80000000000001</v>
      </c>
      <c r="AD194" s="21">
        <v>144.4</v>
      </c>
      <c r="AE194" s="21">
        <v>131.19999999999999</v>
      </c>
      <c r="AF194" s="21">
        <v>135.1</v>
      </c>
      <c r="AG194" s="21">
        <v>139.80000000000001</v>
      </c>
      <c r="AH194" s="28">
        <f t="shared" si="17"/>
        <v>3471.970967741936</v>
      </c>
      <c r="AI194" s="28">
        <f t="shared" si="18"/>
        <v>547.5</v>
      </c>
      <c r="AJ194" s="28">
        <f t="shared" si="19"/>
        <v>294.89999999999998</v>
      </c>
      <c r="AK194" s="28">
        <f t="shared" si="20"/>
        <v>281.07096774193565</v>
      </c>
      <c r="AL194" s="28">
        <f t="shared" si="21"/>
        <v>1939.4</v>
      </c>
      <c r="AM194" s="28">
        <f t="shared" si="22"/>
        <v>136.875</v>
      </c>
      <c r="AN194" s="28">
        <f t="shared" si="23"/>
        <v>140.53548387096782</v>
      </c>
      <c r="AO194" s="29">
        <v>138.52857142857144</v>
      </c>
    </row>
    <row r="195" spans="1:41" x14ac:dyDescent="0.3">
      <c r="A195" s="27" t="s">
        <v>2</v>
      </c>
      <c r="B195" s="20">
        <v>2018</v>
      </c>
      <c r="C195" s="20" t="s">
        <v>7</v>
      </c>
      <c r="D195" s="21" t="str">
        <f t="shared" ref="D195:D258" si="24">TEXT(DATE(B195, MONTH(1&amp;C195), 1), "mmm-yy")</f>
        <v>May-18</v>
      </c>
      <c r="E195" s="33">
        <v>43221</v>
      </c>
      <c r="F195" s="20" t="s">
        <v>84</v>
      </c>
      <c r="G195" s="20">
        <v>135</v>
      </c>
      <c r="H195" s="20">
        <v>148.19999999999999</v>
      </c>
      <c r="I195" s="20">
        <v>130.5</v>
      </c>
      <c r="J195" s="20">
        <v>140.69999999999999</v>
      </c>
      <c r="K195" s="20">
        <v>116.4</v>
      </c>
      <c r="L195" s="20">
        <v>151.30000000000001</v>
      </c>
      <c r="M195" s="20">
        <v>131.4</v>
      </c>
      <c r="N195" s="20">
        <v>112.8</v>
      </c>
      <c r="O195" s="20">
        <v>105.3</v>
      </c>
      <c r="P195" s="20">
        <v>139.6</v>
      </c>
      <c r="Q195" s="20">
        <v>126.6</v>
      </c>
      <c r="R195" s="20">
        <v>148.69999999999999</v>
      </c>
      <c r="S195" s="20">
        <v>136.4</v>
      </c>
      <c r="T195" s="20">
        <v>160.30000000000001</v>
      </c>
      <c r="U195" s="20">
        <v>138.6</v>
      </c>
      <c r="V195" s="20">
        <v>127.9</v>
      </c>
      <c r="W195" s="20">
        <v>137</v>
      </c>
      <c r="X195" s="20">
        <v>143.19999999999999</v>
      </c>
      <c r="Y195" s="20">
        <v>124.7</v>
      </c>
      <c r="Z195" s="20">
        <v>132.5</v>
      </c>
      <c r="AA195" s="20">
        <v>132</v>
      </c>
      <c r="AB195" s="20">
        <v>119.8</v>
      </c>
      <c r="AC195" s="20">
        <v>128</v>
      </c>
      <c r="AD195" s="20">
        <v>140.4</v>
      </c>
      <c r="AE195" s="20">
        <v>128.1</v>
      </c>
      <c r="AF195" s="20">
        <v>128.9</v>
      </c>
      <c r="AG195" s="20">
        <v>135.4</v>
      </c>
      <c r="AH195" s="28">
        <f t="shared" ref="AH195:AH258" si="25">SUM(X195:AF195,G195:V195)</f>
        <v>3327.3</v>
      </c>
      <c r="AI195" s="28">
        <f t="shared" ref="AI195:AI258" si="26">SUM(AF195,AE195,AD195,AC195)</f>
        <v>525.4</v>
      </c>
      <c r="AJ195" s="28">
        <f t="shared" ref="AJ195:AJ258" si="27">SUM(V195,U195)</f>
        <v>266.5</v>
      </c>
      <c r="AK195" s="28">
        <f t="shared" ref="AK195:AK258" si="28">SUM(Z195,X195)</f>
        <v>275.7</v>
      </c>
      <c r="AL195" s="28">
        <f t="shared" ref="AL195:AL258" si="29">SUM(G195:T195)</f>
        <v>1883.1999999999998</v>
      </c>
      <c r="AM195" s="28">
        <f t="shared" ref="AM195:AM258" si="30">AVERAGE(AF195,AE195,AD195,AC195)</f>
        <v>131.35</v>
      </c>
      <c r="AN195" s="28">
        <f t="shared" ref="AN195:AN258" si="31">AVERAGE(X195,Z195)</f>
        <v>137.85</v>
      </c>
      <c r="AO195" s="31">
        <v>134.51428571428571</v>
      </c>
    </row>
    <row r="196" spans="1:41" x14ac:dyDescent="0.3">
      <c r="A196" s="26" t="s">
        <v>3</v>
      </c>
      <c r="B196" s="21">
        <v>2018</v>
      </c>
      <c r="C196" s="21" t="s">
        <v>7</v>
      </c>
      <c r="D196" s="21" t="str">
        <f t="shared" si="24"/>
        <v>May-18</v>
      </c>
      <c r="E196" s="32">
        <v>43221</v>
      </c>
      <c r="F196" s="21" t="s">
        <v>84</v>
      </c>
      <c r="G196" s="21">
        <v>136.6</v>
      </c>
      <c r="H196" s="21">
        <v>146.6</v>
      </c>
      <c r="I196" s="21">
        <v>133.6</v>
      </c>
      <c r="J196" s="21">
        <v>142.1</v>
      </c>
      <c r="K196" s="21">
        <v>121</v>
      </c>
      <c r="L196" s="21">
        <v>154.6</v>
      </c>
      <c r="M196" s="21">
        <v>135.6</v>
      </c>
      <c r="N196" s="21">
        <v>122.3</v>
      </c>
      <c r="O196" s="21">
        <v>109.6</v>
      </c>
      <c r="P196" s="21">
        <v>138.1</v>
      </c>
      <c r="Q196" s="21">
        <v>129.9</v>
      </c>
      <c r="R196" s="21">
        <v>151.69999999999999</v>
      </c>
      <c r="S196" s="21">
        <v>138.1</v>
      </c>
      <c r="T196" s="21">
        <v>157.9</v>
      </c>
      <c r="U196" s="21">
        <v>146</v>
      </c>
      <c r="V196" s="21">
        <v>137.4</v>
      </c>
      <c r="W196" s="21">
        <v>144.69999999999999</v>
      </c>
      <c r="X196" s="21">
        <v>143.19999999999999</v>
      </c>
      <c r="Y196" s="21">
        <v>136.9</v>
      </c>
      <c r="Z196" s="21">
        <v>137.4</v>
      </c>
      <c r="AA196" s="21">
        <v>136</v>
      </c>
      <c r="AB196" s="21">
        <v>122.9</v>
      </c>
      <c r="AC196" s="21">
        <v>131.80000000000001</v>
      </c>
      <c r="AD196" s="21">
        <v>142.1</v>
      </c>
      <c r="AE196" s="21">
        <v>129.9</v>
      </c>
      <c r="AF196" s="21">
        <v>132.1</v>
      </c>
      <c r="AG196" s="21">
        <v>137.80000000000001</v>
      </c>
      <c r="AH196" s="28">
        <f t="shared" si="25"/>
        <v>3413.3999999999996</v>
      </c>
      <c r="AI196" s="28">
        <f t="shared" si="26"/>
        <v>535.90000000000009</v>
      </c>
      <c r="AJ196" s="28">
        <f t="shared" si="27"/>
        <v>283.39999999999998</v>
      </c>
      <c r="AK196" s="28">
        <f t="shared" si="28"/>
        <v>280.60000000000002</v>
      </c>
      <c r="AL196" s="28">
        <f t="shared" si="29"/>
        <v>1917.7</v>
      </c>
      <c r="AM196" s="28">
        <f t="shared" si="30"/>
        <v>133.97500000000002</v>
      </c>
      <c r="AN196" s="28">
        <f t="shared" si="31"/>
        <v>140.30000000000001</v>
      </c>
      <c r="AO196" s="29">
        <v>136.97857142857143</v>
      </c>
    </row>
    <row r="197" spans="1:41" x14ac:dyDescent="0.3">
      <c r="A197" s="27" t="s">
        <v>0</v>
      </c>
      <c r="B197" s="20">
        <v>2018</v>
      </c>
      <c r="C197" s="20" t="s">
        <v>8</v>
      </c>
      <c r="D197" s="21" t="str">
        <f t="shared" si="24"/>
        <v>Jun-18</v>
      </c>
      <c r="E197" s="33">
        <v>43252</v>
      </c>
      <c r="F197" s="20" t="s">
        <v>84</v>
      </c>
      <c r="G197" s="20">
        <v>137.6</v>
      </c>
      <c r="H197" s="20">
        <v>148.1</v>
      </c>
      <c r="I197" s="20">
        <v>136.69999999999999</v>
      </c>
      <c r="J197" s="20">
        <v>143.19999999999999</v>
      </c>
      <c r="K197" s="20">
        <v>124</v>
      </c>
      <c r="L197" s="20">
        <v>154.1</v>
      </c>
      <c r="M197" s="20">
        <v>143.5</v>
      </c>
      <c r="N197" s="20">
        <v>126</v>
      </c>
      <c r="O197" s="20">
        <v>112.4</v>
      </c>
      <c r="P197" s="20">
        <v>137.6</v>
      </c>
      <c r="Q197" s="20">
        <v>132.80000000000001</v>
      </c>
      <c r="R197" s="20">
        <v>154.30000000000001</v>
      </c>
      <c r="S197" s="20">
        <v>140</v>
      </c>
      <c r="T197" s="20">
        <v>157.30000000000001</v>
      </c>
      <c r="U197" s="20">
        <v>151.30000000000001</v>
      </c>
      <c r="V197" s="20">
        <v>144.69999999999999</v>
      </c>
      <c r="W197" s="20">
        <v>150.30000000000001</v>
      </c>
      <c r="X197" s="30">
        <f>'Handle missing value sheet only'!$C$1</f>
        <v>139.27096774193564</v>
      </c>
      <c r="Y197" s="20">
        <v>145.1</v>
      </c>
      <c r="Z197" s="20">
        <v>142.19999999999999</v>
      </c>
      <c r="AA197" s="20">
        <v>138.4</v>
      </c>
      <c r="AB197" s="20">
        <v>127.4</v>
      </c>
      <c r="AC197" s="20">
        <v>137.80000000000001</v>
      </c>
      <c r="AD197" s="20">
        <v>145.1</v>
      </c>
      <c r="AE197" s="20">
        <v>131.4</v>
      </c>
      <c r="AF197" s="20">
        <v>135.6</v>
      </c>
      <c r="AG197" s="20">
        <v>140.5</v>
      </c>
      <c r="AH197" s="28">
        <f t="shared" si="25"/>
        <v>3485.8709677419361</v>
      </c>
      <c r="AI197" s="28">
        <f t="shared" si="26"/>
        <v>549.90000000000009</v>
      </c>
      <c r="AJ197" s="28">
        <f t="shared" si="27"/>
        <v>296</v>
      </c>
      <c r="AK197" s="28">
        <f t="shared" si="28"/>
        <v>281.47096774193562</v>
      </c>
      <c r="AL197" s="28">
        <f t="shared" si="29"/>
        <v>1947.5999999999997</v>
      </c>
      <c r="AM197" s="28">
        <f t="shared" si="30"/>
        <v>137.47500000000002</v>
      </c>
      <c r="AN197" s="28">
        <f t="shared" si="31"/>
        <v>140.73548387096781</v>
      </c>
      <c r="AO197" s="31">
        <v>139.1142857142857</v>
      </c>
    </row>
    <row r="198" spans="1:41" x14ac:dyDescent="0.3">
      <c r="A198" s="26" t="s">
        <v>2</v>
      </c>
      <c r="B198" s="21">
        <v>2018</v>
      </c>
      <c r="C198" s="21" t="s">
        <v>8</v>
      </c>
      <c r="D198" s="21" t="str">
        <f t="shared" si="24"/>
        <v>Jun-18</v>
      </c>
      <c r="E198" s="32">
        <v>43252</v>
      </c>
      <c r="F198" s="21" t="s">
        <v>84</v>
      </c>
      <c r="G198" s="21">
        <v>135.30000000000001</v>
      </c>
      <c r="H198" s="21">
        <v>149.69999999999999</v>
      </c>
      <c r="I198" s="21">
        <v>133.9</v>
      </c>
      <c r="J198" s="21">
        <v>140.80000000000001</v>
      </c>
      <c r="K198" s="21">
        <v>116.6</v>
      </c>
      <c r="L198" s="21">
        <v>152.19999999999999</v>
      </c>
      <c r="M198" s="21">
        <v>144</v>
      </c>
      <c r="N198" s="21">
        <v>112.3</v>
      </c>
      <c r="O198" s="21">
        <v>108.4</v>
      </c>
      <c r="P198" s="21">
        <v>140</v>
      </c>
      <c r="Q198" s="21">
        <v>126.7</v>
      </c>
      <c r="R198" s="21">
        <v>149</v>
      </c>
      <c r="S198" s="21">
        <v>138.4</v>
      </c>
      <c r="T198" s="21">
        <v>161</v>
      </c>
      <c r="U198" s="21">
        <v>138.9</v>
      </c>
      <c r="V198" s="21">
        <v>128.69999999999999</v>
      </c>
      <c r="W198" s="21">
        <v>137.4</v>
      </c>
      <c r="X198" s="21">
        <v>142.5</v>
      </c>
      <c r="Y198" s="21">
        <v>126.5</v>
      </c>
      <c r="Z198" s="21">
        <v>133.1</v>
      </c>
      <c r="AA198" s="21">
        <v>132.6</v>
      </c>
      <c r="AB198" s="21">
        <v>120.4</v>
      </c>
      <c r="AC198" s="21">
        <v>128.5</v>
      </c>
      <c r="AD198" s="21">
        <v>141.19999999999999</v>
      </c>
      <c r="AE198" s="21">
        <v>128.19999999999999</v>
      </c>
      <c r="AF198" s="21">
        <v>129.5</v>
      </c>
      <c r="AG198" s="21">
        <v>136.19999999999999</v>
      </c>
      <c r="AH198" s="28">
        <f t="shared" si="25"/>
        <v>3358.4</v>
      </c>
      <c r="AI198" s="28">
        <f t="shared" si="26"/>
        <v>527.4</v>
      </c>
      <c r="AJ198" s="28">
        <f t="shared" si="27"/>
        <v>267.60000000000002</v>
      </c>
      <c r="AK198" s="28">
        <f t="shared" si="28"/>
        <v>275.60000000000002</v>
      </c>
      <c r="AL198" s="28">
        <f t="shared" si="29"/>
        <v>1908.3000000000002</v>
      </c>
      <c r="AM198" s="28">
        <f t="shared" si="30"/>
        <v>131.85</v>
      </c>
      <c r="AN198" s="28">
        <f t="shared" si="31"/>
        <v>137.80000000000001</v>
      </c>
      <c r="AO198" s="29">
        <v>136.30714285714288</v>
      </c>
    </row>
    <row r="199" spans="1:41" x14ac:dyDescent="0.3">
      <c r="A199" s="27" t="s">
        <v>3</v>
      </c>
      <c r="B199" s="20">
        <v>2018</v>
      </c>
      <c r="C199" s="20" t="s">
        <v>8</v>
      </c>
      <c r="D199" s="21" t="str">
        <f t="shared" si="24"/>
        <v>Jun-18</v>
      </c>
      <c r="E199" s="33">
        <v>43252</v>
      </c>
      <c r="F199" s="20" t="s">
        <v>84</v>
      </c>
      <c r="G199" s="20">
        <v>136.9</v>
      </c>
      <c r="H199" s="20">
        <v>148.69999999999999</v>
      </c>
      <c r="I199" s="20">
        <v>135.6</v>
      </c>
      <c r="J199" s="20">
        <v>142.30000000000001</v>
      </c>
      <c r="K199" s="20">
        <v>121.3</v>
      </c>
      <c r="L199" s="20">
        <v>153.19999999999999</v>
      </c>
      <c r="M199" s="20">
        <v>143.69999999999999</v>
      </c>
      <c r="N199" s="20">
        <v>121.4</v>
      </c>
      <c r="O199" s="20">
        <v>111.1</v>
      </c>
      <c r="P199" s="20">
        <v>138.4</v>
      </c>
      <c r="Q199" s="20">
        <v>130.30000000000001</v>
      </c>
      <c r="R199" s="20">
        <v>151.80000000000001</v>
      </c>
      <c r="S199" s="20">
        <v>139.4</v>
      </c>
      <c r="T199" s="20">
        <v>158.30000000000001</v>
      </c>
      <c r="U199" s="20">
        <v>146.4</v>
      </c>
      <c r="V199" s="20">
        <v>138.1</v>
      </c>
      <c r="W199" s="20">
        <v>145.19999999999999</v>
      </c>
      <c r="X199" s="20">
        <v>142.5</v>
      </c>
      <c r="Y199" s="20">
        <v>138.1</v>
      </c>
      <c r="Z199" s="20">
        <v>137.9</v>
      </c>
      <c r="AA199" s="20">
        <v>136.19999999999999</v>
      </c>
      <c r="AB199" s="20">
        <v>123.7</v>
      </c>
      <c r="AC199" s="20">
        <v>132.6</v>
      </c>
      <c r="AD199" s="20">
        <v>142.80000000000001</v>
      </c>
      <c r="AE199" s="20">
        <v>130.1</v>
      </c>
      <c r="AF199" s="20">
        <v>132.6</v>
      </c>
      <c r="AG199" s="20">
        <v>138.5</v>
      </c>
      <c r="AH199" s="28">
        <f t="shared" si="25"/>
        <v>3433.4000000000005</v>
      </c>
      <c r="AI199" s="28">
        <f t="shared" si="26"/>
        <v>538.1</v>
      </c>
      <c r="AJ199" s="28">
        <f t="shared" si="27"/>
        <v>284.5</v>
      </c>
      <c r="AK199" s="28">
        <f t="shared" si="28"/>
        <v>280.39999999999998</v>
      </c>
      <c r="AL199" s="28">
        <f t="shared" si="29"/>
        <v>1932.4</v>
      </c>
      <c r="AM199" s="28">
        <f t="shared" si="30"/>
        <v>134.52500000000001</v>
      </c>
      <c r="AN199" s="28">
        <f t="shared" si="31"/>
        <v>140.19999999999999</v>
      </c>
      <c r="AO199" s="31">
        <v>138.02857142857144</v>
      </c>
    </row>
    <row r="200" spans="1:41" x14ac:dyDescent="0.3">
      <c r="A200" s="26" t="s">
        <v>0</v>
      </c>
      <c r="B200" s="21">
        <v>2018</v>
      </c>
      <c r="C200" s="21" t="s">
        <v>9</v>
      </c>
      <c r="D200" s="21" t="str">
        <f t="shared" si="24"/>
        <v>Jul-18</v>
      </c>
      <c r="E200" s="32">
        <v>43282</v>
      </c>
      <c r="F200" s="21" t="s">
        <v>84</v>
      </c>
      <c r="G200" s="21">
        <v>138.4</v>
      </c>
      <c r="H200" s="21">
        <v>149.30000000000001</v>
      </c>
      <c r="I200" s="21">
        <v>139.30000000000001</v>
      </c>
      <c r="J200" s="21">
        <v>143.4</v>
      </c>
      <c r="K200" s="21">
        <v>124.1</v>
      </c>
      <c r="L200" s="21">
        <v>153.30000000000001</v>
      </c>
      <c r="M200" s="21">
        <v>154.19999999999999</v>
      </c>
      <c r="N200" s="21">
        <v>126.4</v>
      </c>
      <c r="O200" s="21">
        <v>114.3</v>
      </c>
      <c r="P200" s="21">
        <v>138.19999999999999</v>
      </c>
      <c r="Q200" s="21">
        <v>132.80000000000001</v>
      </c>
      <c r="R200" s="21">
        <v>154.80000000000001</v>
      </c>
      <c r="S200" s="21">
        <v>142</v>
      </c>
      <c r="T200" s="21">
        <v>156.1</v>
      </c>
      <c r="U200" s="21">
        <v>151.5</v>
      </c>
      <c r="V200" s="21">
        <v>145.1</v>
      </c>
      <c r="W200" s="21">
        <v>150.6</v>
      </c>
      <c r="X200" s="28">
        <f>'Handle missing value sheet only'!$C$1</f>
        <v>139.27096774193564</v>
      </c>
      <c r="Y200" s="21">
        <v>146.80000000000001</v>
      </c>
      <c r="Z200" s="21">
        <v>143.1</v>
      </c>
      <c r="AA200" s="21">
        <v>139</v>
      </c>
      <c r="AB200" s="21">
        <v>127.5</v>
      </c>
      <c r="AC200" s="21">
        <v>138.4</v>
      </c>
      <c r="AD200" s="21">
        <v>145.80000000000001</v>
      </c>
      <c r="AE200" s="21">
        <v>131.4</v>
      </c>
      <c r="AF200" s="21">
        <v>136</v>
      </c>
      <c r="AG200" s="21">
        <v>141.80000000000001</v>
      </c>
      <c r="AH200" s="28">
        <f t="shared" si="25"/>
        <v>3510.470967741936</v>
      </c>
      <c r="AI200" s="28">
        <f t="shared" si="26"/>
        <v>551.6</v>
      </c>
      <c r="AJ200" s="28">
        <f t="shared" si="27"/>
        <v>296.60000000000002</v>
      </c>
      <c r="AK200" s="28">
        <f t="shared" si="28"/>
        <v>282.3709677419356</v>
      </c>
      <c r="AL200" s="28">
        <f t="shared" si="29"/>
        <v>1966.6000000000001</v>
      </c>
      <c r="AM200" s="28">
        <f t="shared" si="30"/>
        <v>137.9</v>
      </c>
      <c r="AN200" s="28">
        <f t="shared" si="31"/>
        <v>141.1854838709678</v>
      </c>
      <c r="AO200" s="29">
        <v>140.47142857142859</v>
      </c>
    </row>
    <row r="201" spans="1:41" x14ac:dyDescent="0.3">
      <c r="A201" s="27" t="s">
        <v>2</v>
      </c>
      <c r="B201" s="20">
        <v>2018</v>
      </c>
      <c r="C201" s="20" t="s">
        <v>9</v>
      </c>
      <c r="D201" s="21" t="str">
        <f t="shared" si="24"/>
        <v>Jul-18</v>
      </c>
      <c r="E201" s="33">
        <v>43282</v>
      </c>
      <c r="F201" s="20" t="s">
        <v>84</v>
      </c>
      <c r="G201" s="20">
        <v>135.6</v>
      </c>
      <c r="H201" s="20">
        <v>148.6</v>
      </c>
      <c r="I201" s="20">
        <v>139.1</v>
      </c>
      <c r="J201" s="20">
        <v>141</v>
      </c>
      <c r="K201" s="20">
        <v>116.7</v>
      </c>
      <c r="L201" s="20">
        <v>149.69999999999999</v>
      </c>
      <c r="M201" s="20">
        <v>159.19999999999999</v>
      </c>
      <c r="N201" s="20">
        <v>112.6</v>
      </c>
      <c r="O201" s="20">
        <v>111.8</v>
      </c>
      <c r="P201" s="20">
        <v>140.30000000000001</v>
      </c>
      <c r="Q201" s="20">
        <v>126.8</v>
      </c>
      <c r="R201" s="20">
        <v>149.4</v>
      </c>
      <c r="S201" s="20">
        <v>140.30000000000001</v>
      </c>
      <c r="T201" s="20">
        <v>161.4</v>
      </c>
      <c r="U201" s="20">
        <v>139.6</v>
      </c>
      <c r="V201" s="20">
        <v>128.9</v>
      </c>
      <c r="W201" s="20">
        <v>137.9</v>
      </c>
      <c r="X201" s="20">
        <v>143.6</v>
      </c>
      <c r="Y201" s="20">
        <v>128.1</v>
      </c>
      <c r="Z201" s="20">
        <v>133.6</v>
      </c>
      <c r="AA201" s="20">
        <v>133.6</v>
      </c>
      <c r="AB201" s="20">
        <v>120.1</v>
      </c>
      <c r="AC201" s="20">
        <v>129</v>
      </c>
      <c r="AD201" s="20">
        <v>144</v>
      </c>
      <c r="AE201" s="20">
        <v>128.19999999999999</v>
      </c>
      <c r="AF201" s="20">
        <v>130.19999999999999</v>
      </c>
      <c r="AG201" s="20">
        <v>137.5</v>
      </c>
      <c r="AH201" s="28">
        <f t="shared" si="25"/>
        <v>3391.4000000000005</v>
      </c>
      <c r="AI201" s="28">
        <f t="shared" si="26"/>
        <v>531.4</v>
      </c>
      <c r="AJ201" s="28">
        <f t="shared" si="27"/>
        <v>268.5</v>
      </c>
      <c r="AK201" s="28">
        <f t="shared" si="28"/>
        <v>277.2</v>
      </c>
      <c r="AL201" s="28">
        <f t="shared" si="29"/>
        <v>1932.5</v>
      </c>
      <c r="AM201" s="28">
        <f t="shared" si="30"/>
        <v>132.85</v>
      </c>
      <c r="AN201" s="28">
        <f t="shared" si="31"/>
        <v>138.6</v>
      </c>
      <c r="AO201" s="31">
        <v>138.03571428571428</v>
      </c>
    </row>
    <row r="202" spans="1:41" x14ac:dyDescent="0.3">
      <c r="A202" s="26" t="s">
        <v>3</v>
      </c>
      <c r="B202" s="21">
        <v>2018</v>
      </c>
      <c r="C202" s="21" t="s">
        <v>9</v>
      </c>
      <c r="D202" s="21" t="str">
        <f t="shared" si="24"/>
        <v>Jul-18</v>
      </c>
      <c r="E202" s="32">
        <v>43282</v>
      </c>
      <c r="F202" s="21" t="s">
        <v>84</v>
      </c>
      <c r="G202" s="21">
        <v>137.5</v>
      </c>
      <c r="H202" s="21">
        <v>149.1</v>
      </c>
      <c r="I202" s="21">
        <v>139.19999999999999</v>
      </c>
      <c r="J202" s="21">
        <v>142.5</v>
      </c>
      <c r="K202" s="21">
        <v>121.4</v>
      </c>
      <c r="L202" s="21">
        <v>151.6</v>
      </c>
      <c r="M202" s="21">
        <v>155.9</v>
      </c>
      <c r="N202" s="21">
        <v>121.7</v>
      </c>
      <c r="O202" s="21">
        <v>113.5</v>
      </c>
      <c r="P202" s="21">
        <v>138.9</v>
      </c>
      <c r="Q202" s="21">
        <v>130.30000000000001</v>
      </c>
      <c r="R202" s="21">
        <v>152.30000000000001</v>
      </c>
      <c r="S202" s="21">
        <v>141.4</v>
      </c>
      <c r="T202" s="21">
        <v>157.5</v>
      </c>
      <c r="U202" s="21">
        <v>146.80000000000001</v>
      </c>
      <c r="V202" s="21">
        <v>138.4</v>
      </c>
      <c r="W202" s="21">
        <v>145.6</v>
      </c>
      <c r="X202" s="21">
        <v>143.6</v>
      </c>
      <c r="Y202" s="21">
        <v>139.69999999999999</v>
      </c>
      <c r="Z202" s="21">
        <v>138.6</v>
      </c>
      <c r="AA202" s="21">
        <v>137</v>
      </c>
      <c r="AB202" s="21">
        <v>123.6</v>
      </c>
      <c r="AC202" s="21">
        <v>133.1</v>
      </c>
      <c r="AD202" s="21">
        <v>144.69999999999999</v>
      </c>
      <c r="AE202" s="21">
        <v>130.1</v>
      </c>
      <c r="AF202" s="21">
        <v>133.19999999999999</v>
      </c>
      <c r="AG202" s="21">
        <v>139.80000000000001</v>
      </c>
      <c r="AH202" s="28">
        <f t="shared" si="25"/>
        <v>3461.6000000000008</v>
      </c>
      <c r="AI202" s="28">
        <f t="shared" si="26"/>
        <v>541.09999999999991</v>
      </c>
      <c r="AJ202" s="28">
        <f t="shared" si="27"/>
        <v>285.20000000000005</v>
      </c>
      <c r="AK202" s="28">
        <f t="shared" si="28"/>
        <v>282.2</v>
      </c>
      <c r="AL202" s="28">
        <f t="shared" si="29"/>
        <v>1952.8</v>
      </c>
      <c r="AM202" s="28">
        <f t="shared" si="30"/>
        <v>135.27499999999998</v>
      </c>
      <c r="AN202" s="28">
        <f t="shared" si="31"/>
        <v>141.1</v>
      </c>
      <c r="AO202" s="29">
        <v>139.48571428571429</v>
      </c>
    </row>
    <row r="203" spans="1:41" x14ac:dyDescent="0.3">
      <c r="A203" s="27" t="s">
        <v>0</v>
      </c>
      <c r="B203" s="20">
        <v>2018</v>
      </c>
      <c r="C203" s="20" t="s">
        <v>10</v>
      </c>
      <c r="D203" s="21" t="str">
        <f t="shared" si="24"/>
        <v>Aug-18</v>
      </c>
      <c r="E203" s="33">
        <v>43313</v>
      </c>
      <c r="F203" s="20" t="s">
        <v>84</v>
      </c>
      <c r="G203" s="20">
        <v>139.19999999999999</v>
      </c>
      <c r="H203" s="20">
        <v>148.80000000000001</v>
      </c>
      <c r="I203" s="20">
        <v>139.1</v>
      </c>
      <c r="J203" s="20">
        <v>143.5</v>
      </c>
      <c r="K203" s="20">
        <v>125</v>
      </c>
      <c r="L203" s="20">
        <v>154.4</v>
      </c>
      <c r="M203" s="20">
        <v>156.30000000000001</v>
      </c>
      <c r="N203" s="20">
        <v>126.8</v>
      </c>
      <c r="O203" s="20">
        <v>115.4</v>
      </c>
      <c r="P203" s="20">
        <v>138.6</v>
      </c>
      <c r="Q203" s="20">
        <v>133.80000000000001</v>
      </c>
      <c r="R203" s="20">
        <v>155.19999999999999</v>
      </c>
      <c r="S203" s="20">
        <v>142.69999999999999</v>
      </c>
      <c r="T203" s="20">
        <v>156.4</v>
      </c>
      <c r="U203" s="20">
        <v>152.1</v>
      </c>
      <c r="V203" s="20">
        <v>145.80000000000001</v>
      </c>
      <c r="W203" s="20">
        <v>151.30000000000001</v>
      </c>
      <c r="X203" s="30">
        <f>'Handle missing value sheet only'!$C$1</f>
        <v>139.27096774193564</v>
      </c>
      <c r="Y203" s="20">
        <v>147.69999999999999</v>
      </c>
      <c r="Z203" s="20">
        <v>143.80000000000001</v>
      </c>
      <c r="AA203" s="20">
        <v>139.4</v>
      </c>
      <c r="AB203" s="20">
        <v>128.30000000000001</v>
      </c>
      <c r="AC203" s="20">
        <v>138.6</v>
      </c>
      <c r="AD203" s="20">
        <v>146.9</v>
      </c>
      <c r="AE203" s="20">
        <v>131.30000000000001</v>
      </c>
      <c r="AF203" s="20">
        <v>136.6</v>
      </c>
      <c r="AG203" s="20">
        <v>142.5</v>
      </c>
      <c r="AH203" s="28">
        <f t="shared" si="25"/>
        <v>3524.970967741936</v>
      </c>
      <c r="AI203" s="28">
        <f t="shared" si="26"/>
        <v>553.4</v>
      </c>
      <c r="AJ203" s="28">
        <f t="shared" si="27"/>
        <v>297.89999999999998</v>
      </c>
      <c r="AK203" s="28">
        <f t="shared" si="28"/>
        <v>283.07096774193565</v>
      </c>
      <c r="AL203" s="28">
        <f t="shared" si="29"/>
        <v>1975.2</v>
      </c>
      <c r="AM203" s="28">
        <f t="shared" si="30"/>
        <v>138.35</v>
      </c>
      <c r="AN203" s="28">
        <f t="shared" si="31"/>
        <v>141.53548387096782</v>
      </c>
      <c r="AO203" s="31">
        <v>141.08571428571429</v>
      </c>
    </row>
    <row r="204" spans="1:41" x14ac:dyDescent="0.3">
      <c r="A204" s="26" t="s">
        <v>2</v>
      </c>
      <c r="B204" s="21">
        <v>2018</v>
      </c>
      <c r="C204" s="21" t="s">
        <v>10</v>
      </c>
      <c r="D204" s="21" t="str">
        <f t="shared" si="24"/>
        <v>Aug-18</v>
      </c>
      <c r="E204" s="32">
        <v>43313</v>
      </c>
      <c r="F204" s="21" t="s">
        <v>84</v>
      </c>
      <c r="G204" s="21">
        <v>136.5</v>
      </c>
      <c r="H204" s="21">
        <v>146.4</v>
      </c>
      <c r="I204" s="21">
        <v>136.6</v>
      </c>
      <c r="J204" s="21">
        <v>141.19999999999999</v>
      </c>
      <c r="K204" s="21">
        <v>117.4</v>
      </c>
      <c r="L204" s="21">
        <v>146.30000000000001</v>
      </c>
      <c r="M204" s="21">
        <v>157.30000000000001</v>
      </c>
      <c r="N204" s="21">
        <v>113.6</v>
      </c>
      <c r="O204" s="21">
        <v>113.3</v>
      </c>
      <c r="P204" s="21">
        <v>141.1</v>
      </c>
      <c r="Q204" s="21">
        <v>127.4</v>
      </c>
      <c r="R204" s="21">
        <v>150.4</v>
      </c>
      <c r="S204" s="21">
        <v>140.1</v>
      </c>
      <c r="T204" s="21">
        <v>162.1</v>
      </c>
      <c r="U204" s="21">
        <v>140</v>
      </c>
      <c r="V204" s="21">
        <v>129</v>
      </c>
      <c r="W204" s="21">
        <v>138.30000000000001</v>
      </c>
      <c r="X204" s="21">
        <v>144.6</v>
      </c>
      <c r="Y204" s="21">
        <v>129.80000000000001</v>
      </c>
      <c r="Z204" s="21">
        <v>134.4</v>
      </c>
      <c r="AA204" s="21">
        <v>134.9</v>
      </c>
      <c r="AB204" s="21">
        <v>120.7</v>
      </c>
      <c r="AC204" s="21">
        <v>129.80000000000001</v>
      </c>
      <c r="AD204" s="21">
        <v>145.30000000000001</v>
      </c>
      <c r="AE204" s="21">
        <v>128.30000000000001</v>
      </c>
      <c r="AF204" s="21">
        <v>131</v>
      </c>
      <c r="AG204" s="21">
        <v>138</v>
      </c>
      <c r="AH204" s="28">
        <f t="shared" si="25"/>
        <v>3397.5</v>
      </c>
      <c r="AI204" s="28">
        <f t="shared" si="26"/>
        <v>534.40000000000009</v>
      </c>
      <c r="AJ204" s="28">
        <f t="shared" si="27"/>
        <v>269</v>
      </c>
      <c r="AK204" s="28">
        <f t="shared" si="28"/>
        <v>279</v>
      </c>
      <c r="AL204" s="28">
        <f t="shared" si="29"/>
        <v>1929.6999999999998</v>
      </c>
      <c r="AM204" s="28">
        <f t="shared" si="30"/>
        <v>133.60000000000002</v>
      </c>
      <c r="AN204" s="28">
        <f t="shared" si="31"/>
        <v>139.5</v>
      </c>
      <c r="AO204" s="29">
        <v>137.83571428571426</v>
      </c>
    </row>
    <row r="205" spans="1:41" x14ac:dyDescent="0.3">
      <c r="A205" s="27" t="s">
        <v>3</v>
      </c>
      <c r="B205" s="20">
        <v>2018</v>
      </c>
      <c r="C205" s="20" t="s">
        <v>10</v>
      </c>
      <c r="D205" s="21" t="str">
        <f t="shared" si="24"/>
        <v>Aug-18</v>
      </c>
      <c r="E205" s="33">
        <v>43313</v>
      </c>
      <c r="F205" s="20" t="s">
        <v>84</v>
      </c>
      <c r="G205" s="20">
        <v>138.30000000000001</v>
      </c>
      <c r="H205" s="20">
        <v>148</v>
      </c>
      <c r="I205" s="20">
        <v>138.1</v>
      </c>
      <c r="J205" s="20">
        <v>142.6</v>
      </c>
      <c r="K205" s="20">
        <v>122.2</v>
      </c>
      <c r="L205" s="20">
        <v>150.6</v>
      </c>
      <c r="M205" s="20">
        <v>156.6</v>
      </c>
      <c r="N205" s="20">
        <v>122.4</v>
      </c>
      <c r="O205" s="20">
        <v>114.7</v>
      </c>
      <c r="P205" s="20">
        <v>139.4</v>
      </c>
      <c r="Q205" s="20">
        <v>131.1</v>
      </c>
      <c r="R205" s="20">
        <v>153</v>
      </c>
      <c r="S205" s="20">
        <v>141.69999999999999</v>
      </c>
      <c r="T205" s="20">
        <v>157.9</v>
      </c>
      <c r="U205" s="20">
        <v>147.30000000000001</v>
      </c>
      <c r="V205" s="20">
        <v>138.80000000000001</v>
      </c>
      <c r="W205" s="20">
        <v>146.1</v>
      </c>
      <c r="X205" s="20">
        <v>144.6</v>
      </c>
      <c r="Y205" s="20">
        <v>140.9</v>
      </c>
      <c r="Z205" s="20">
        <v>139.4</v>
      </c>
      <c r="AA205" s="20">
        <v>137.69999999999999</v>
      </c>
      <c r="AB205" s="20">
        <v>124.3</v>
      </c>
      <c r="AC205" s="20">
        <v>133.6</v>
      </c>
      <c r="AD205" s="20">
        <v>146</v>
      </c>
      <c r="AE205" s="20">
        <v>130.1</v>
      </c>
      <c r="AF205" s="20">
        <v>133.9</v>
      </c>
      <c r="AG205" s="20">
        <v>140.4</v>
      </c>
      <c r="AH205" s="28">
        <f t="shared" si="25"/>
        <v>3473.2</v>
      </c>
      <c r="AI205" s="28">
        <f t="shared" si="26"/>
        <v>543.6</v>
      </c>
      <c r="AJ205" s="28">
        <f t="shared" si="27"/>
        <v>286.10000000000002</v>
      </c>
      <c r="AK205" s="28">
        <f t="shared" si="28"/>
        <v>284</v>
      </c>
      <c r="AL205" s="28">
        <f t="shared" si="29"/>
        <v>1956.6000000000004</v>
      </c>
      <c r="AM205" s="28">
        <f t="shared" si="30"/>
        <v>135.9</v>
      </c>
      <c r="AN205" s="28">
        <f t="shared" si="31"/>
        <v>142</v>
      </c>
      <c r="AO205" s="31">
        <v>139.7571428571429</v>
      </c>
    </row>
    <row r="206" spans="1:41" x14ac:dyDescent="0.3">
      <c r="A206" s="26" t="s">
        <v>0</v>
      </c>
      <c r="B206" s="21">
        <v>2018</v>
      </c>
      <c r="C206" s="21" t="s">
        <v>11</v>
      </c>
      <c r="D206" s="21" t="str">
        <f t="shared" si="24"/>
        <v>Sep-18</v>
      </c>
      <c r="E206" s="32">
        <v>43344</v>
      </c>
      <c r="F206" s="21" t="s">
        <v>84</v>
      </c>
      <c r="G206" s="21">
        <v>139.4</v>
      </c>
      <c r="H206" s="21">
        <v>147.19999999999999</v>
      </c>
      <c r="I206" s="21">
        <v>136.6</v>
      </c>
      <c r="J206" s="21">
        <v>143.69999999999999</v>
      </c>
      <c r="K206" s="21">
        <v>124.6</v>
      </c>
      <c r="L206" s="21">
        <v>150.1</v>
      </c>
      <c r="M206" s="21">
        <v>149.4</v>
      </c>
      <c r="N206" s="21">
        <v>125.4</v>
      </c>
      <c r="O206" s="21">
        <v>114.4</v>
      </c>
      <c r="P206" s="21">
        <v>138.69999999999999</v>
      </c>
      <c r="Q206" s="21">
        <v>133.1</v>
      </c>
      <c r="R206" s="21">
        <v>155.9</v>
      </c>
      <c r="S206" s="21">
        <v>141.30000000000001</v>
      </c>
      <c r="T206" s="21">
        <v>157.69999999999999</v>
      </c>
      <c r="U206" s="21">
        <v>152.1</v>
      </c>
      <c r="V206" s="21">
        <v>146.1</v>
      </c>
      <c r="W206" s="21">
        <v>151.30000000000001</v>
      </c>
      <c r="X206" s="28">
        <f>'Handle missing value sheet only'!$C$1</f>
        <v>139.27096774193564</v>
      </c>
      <c r="Y206" s="21">
        <v>149</v>
      </c>
      <c r="Z206" s="21">
        <v>144</v>
      </c>
      <c r="AA206" s="21">
        <v>140</v>
      </c>
      <c r="AB206" s="21">
        <v>129.9</v>
      </c>
      <c r="AC206" s="21">
        <v>140</v>
      </c>
      <c r="AD206" s="21">
        <v>147.6</v>
      </c>
      <c r="AE206" s="21">
        <v>132</v>
      </c>
      <c r="AF206" s="21">
        <v>137.4</v>
      </c>
      <c r="AG206" s="21">
        <v>142.1</v>
      </c>
      <c r="AH206" s="28">
        <f t="shared" si="25"/>
        <v>3514.8709677419356</v>
      </c>
      <c r="AI206" s="28">
        <f t="shared" si="26"/>
        <v>557</v>
      </c>
      <c r="AJ206" s="28">
        <f t="shared" si="27"/>
        <v>298.2</v>
      </c>
      <c r="AK206" s="28">
        <f t="shared" si="28"/>
        <v>283.27096774193564</v>
      </c>
      <c r="AL206" s="28">
        <f t="shared" si="29"/>
        <v>1957.5000000000002</v>
      </c>
      <c r="AM206" s="28">
        <f t="shared" si="30"/>
        <v>139.25</v>
      </c>
      <c r="AN206" s="28">
        <f t="shared" si="31"/>
        <v>141.63548387096782</v>
      </c>
      <c r="AO206" s="29">
        <v>139.82142857142858</v>
      </c>
    </row>
    <row r="207" spans="1:41" x14ac:dyDescent="0.3">
      <c r="A207" s="27" t="s">
        <v>2</v>
      </c>
      <c r="B207" s="20">
        <v>2018</v>
      </c>
      <c r="C207" s="20" t="s">
        <v>11</v>
      </c>
      <c r="D207" s="21" t="str">
        <f t="shared" si="24"/>
        <v>Sep-18</v>
      </c>
      <c r="E207" s="33">
        <v>43344</v>
      </c>
      <c r="F207" s="20" t="s">
        <v>84</v>
      </c>
      <c r="G207" s="20">
        <v>137</v>
      </c>
      <c r="H207" s="20">
        <v>143.1</v>
      </c>
      <c r="I207" s="20">
        <v>132.80000000000001</v>
      </c>
      <c r="J207" s="20">
        <v>141.5</v>
      </c>
      <c r="K207" s="20">
        <v>117.8</v>
      </c>
      <c r="L207" s="20">
        <v>140</v>
      </c>
      <c r="M207" s="20">
        <v>151.30000000000001</v>
      </c>
      <c r="N207" s="20">
        <v>113.5</v>
      </c>
      <c r="O207" s="20">
        <v>112.3</v>
      </c>
      <c r="P207" s="20">
        <v>141.19999999999999</v>
      </c>
      <c r="Q207" s="20">
        <v>127.7</v>
      </c>
      <c r="R207" s="20">
        <v>151.30000000000001</v>
      </c>
      <c r="S207" s="20">
        <v>138.9</v>
      </c>
      <c r="T207" s="20">
        <v>163.30000000000001</v>
      </c>
      <c r="U207" s="20">
        <v>140.80000000000001</v>
      </c>
      <c r="V207" s="20">
        <v>129.30000000000001</v>
      </c>
      <c r="W207" s="20">
        <v>139.1</v>
      </c>
      <c r="X207" s="20">
        <v>145.30000000000001</v>
      </c>
      <c r="Y207" s="20">
        <v>131.19999999999999</v>
      </c>
      <c r="Z207" s="20">
        <v>134.9</v>
      </c>
      <c r="AA207" s="20">
        <v>135.69999999999999</v>
      </c>
      <c r="AB207" s="20">
        <v>122.5</v>
      </c>
      <c r="AC207" s="20">
        <v>130.19999999999999</v>
      </c>
      <c r="AD207" s="20">
        <v>145.19999999999999</v>
      </c>
      <c r="AE207" s="20">
        <v>129.30000000000001</v>
      </c>
      <c r="AF207" s="20">
        <v>131.9</v>
      </c>
      <c r="AG207" s="20">
        <v>138.1</v>
      </c>
      <c r="AH207" s="28">
        <f t="shared" si="25"/>
        <v>3388.0000000000005</v>
      </c>
      <c r="AI207" s="28">
        <f t="shared" si="26"/>
        <v>536.6</v>
      </c>
      <c r="AJ207" s="28">
        <f t="shared" si="27"/>
        <v>270.10000000000002</v>
      </c>
      <c r="AK207" s="28">
        <f t="shared" si="28"/>
        <v>280.20000000000005</v>
      </c>
      <c r="AL207" s="28">
        <f t="shared" si="29"/>
        <v>1911.7</v>
      </c>
      <c r="AM207" s="28">
        <f t="shared" si="30"/>
        <v>134.15</v>
      </c>
      <c r="AN207" s="28">
        <f t="shared" si="31"/>
        <v>140.10000000000002</v>
      </c>
      <c r="AO207" s="31">
        <v>136.55000000000001</v>
      </c>
    </row>
    <row r="208" spans="1:41" x14ac:dyDescent="0.3">
      <c r="A208" s="26" t="s">
        <v>3</v>
      </c>
      <c r="B208" s="21">
        <v>2018</v>
      </c>
      <c r="C208" s="21" t="s">
        <v>11</v>
      </c>
      <c r="D208" s="21" t="str">
        <f t="shared" si="24"/>
        <v>Sep-18</v>
      </c>
      <c r="E208" s="32">
        <v>43344</v>
      </c>
      <c r="F208" s="21" t="s">
        <v>84</v>
      </c>
      <c r="G208" s="21">
        <v>138.6</v>
      </c>
      <c r="H208" s="21">
        <v>145.80000000000001</v>
      </c>
      <c r="I208" s="21">
        <v>135.1</v>
      </c>
      <c r="J208" s="21">
        <v>142.9</v>
      </c>
      <c r="K208" s="21">
        <v>122.1</v>
      </c>
      <c r="L208" s="21">
        <v>145.4</v>
      </c>
      <c r="M208" s="21">
        <v>150</v>
      </c>
      <c r="N208" s="21">
        <v>121.4</v>
      </c>
      <c r="O208" s="21">
        <v>113.7</v>
      </c>
      <c r="P208" s="21">
        <v>139.5</v>
      </c>
      <c r="Q208" s="21">
        <v>130.80000000000001</v>
      </c>
      <c r="R208" s="21">
        <v>153.80000000000001</v>
      </c>
      <c r="S208" s="21">
        <v>140.4</v>
      </c>
      <c r="T208" s="21">
        <v>159.19999999999999</v>
      </c>
      <c r="U208" s="21">
        <v>147.69999999999999</v>
      </c>
      <c r="V208" s="21">
        <v>139.1</v>
      </c>
      <c r="W208" s="21">
        <v>146.5</v>
      </c>
      <c r="X208" s="21">
        <v>145.30000000000001</v>
      </c>
      <c r="Y208" s="21">
        <v>142.30000000000001</v>
      </c>
      <c r="Z208" s="21">
        <v>139.69999999999999</v>
      </c>
      <c r="AA208" s="21">
        <v>138.4</v>
      </c>
      <c r="AB208" s="21">
        <v>126</v>
      </c>
      <c r="AC208" s="21">
        <v>134.5</v>
      </c>
      <c r="AD208" s="21">
        <v>146.19999999999999</v>
      </c>
      <c r="AE208" s="21">
        <v>130.9</v>
      </c>
      <c r="AF208" s="21">
        <v>134.69999999999999</v>
      </c>
      <c r="AG208" s="21">
        <v>140.19999999999999</v>
      </c>
      <c r="AH208" s="28">
        <f t="shared" si="25"/>
        <v>3463.5</v>
      </c>
      <c r="AI208" s="28">
        <f t="shared" si="26"/>
        <v>546.29999999999995</v>
      </c>
      <c r="AJ208" s="28">
        <f t="shared" si="27"/>
        <v>286.79999999999995</v>
      </c>
      <c r="AK208" s="28">
        <f t="shared" si="28"/>
        <v>285</v>
      </c>
      <c r="AL208" s="28">
        <f t="shared" si="29"/>
        <v>1938.7</v>
      </c>
      <c r="AM208" s="28">
        <f t="shared" si="30"/>
        <v>136.57499999999999</v>
      </c>
      <c r="AN208" s="28">
        <f t="shared" si="31"/>
        <v>142.5</v>
      </c>
      <c r="AO208" s="29">
        <v>138.47857142857143</v>
      </c>
    </row>
    <row r="209" spans="1:41" x14ac:dyDescent="0.3">
      <c r="A209" s="27" t="s">
        <v>0</v>
      </c>
      <c r="B209" s="20">
        <v>2018</v>
      </c>
      <c r="C209" s="20" t="s">
        <v>12</v>
      </c>
      <c r="D209" s="21" t="str">
        <f t="shared" si="24"/>
        <v>Oct-18</v>
      </c>
      <c r="E209" s="33">
        <v>43374</v>
      </c>
      <c r="F209" s="20" t="s">
        <v>84</v>
      </c>
      <c r="G209" s="20">
        <v>139.30000000000001</v>
      </c>
      <c r="H209" s="20">
        <v>147.6</v>
      </c>
      <c r="I209" s="20">
        <v>134.6</v>
      </c>
      <c r="J209" s="20">
        <v>141.9</v>
      </c>
      <c r="K209" s="20">
        <v>123.5</v>
      </c>
      <c r="L209" s="20">
        <v>144.5</v>
      </c>
      <c r="M209" s="20">
        <v>147.6</v>
      </c>
      <c r="N209" s="20">
        <v>121.4</v>
      </c>
      <c r="O209" s="20">
        <v>112.3</v>
      </c>
      <c r="P209" s="20">
        <v>139.5</v>
      </c>
      <c r="Q209" s="20">
        <v>134.6</v>
      </c>
      <c r="R209" s="20">
        <v>155.19999999999999</v>
      </c>
      <c r="S209" s="20">
        <v>140.19999999999999</v>
      </c>
      <c r="T209" s="20">
        <v>159.6</v>
      </c>
      <c r="U209" s="20">
        <v>150.69999999999999</v>
      </c>
      <c r="V209" s="20">
        <v>144.5</v>
      </c>
      <c r="W209" s="20">
        <v>149.80000000000001</v>
      </c>
      <c r="X209" s="30">
        <f>'Handle missing value sheet only'!$C$1</f>
        <v>139.27096774193564</v>
      </c>
      <c r="Y209" s="20">
        <v>149.69999999999999</v>
      </c>
      <c r="Z209" s="20">
        <v>147.5</v>
      </c>
      <c r="AA209" s="20">
        <v>144.80000000000001</v>
      </c>
      <c r="AB209" s="20">
        <v>130.80000000000001</v>
      </c>
      <c r="AC209" s="20">
        <v>140.1</v>
      </c>
      <c r="AD209" s="20">
        <v>148</v>
      </c>
      <c r="AE209" s="20">
        <v>134.4</v>
      </c>
      <c r="AF209" s="20">
        <v>139.80000000000001</v>
      </c>
      <c r="AG209" s="20">
        <v>142.19999999999999</v>
      </c>
      <c r="AH209" s="28">
        <f t="shared" si="25"/>
        <v>3511.3709677419347</v>
      </c>
      <c r="AI209" s="28">
        <f t="shared" si="26"/>
        <v>562.30000000000007</v>
      </c>
      <c r="AJ209" s="28">
        <f t="shared" si="27"/>
        <v>295.2</v>
      </c>
      <c r="AK209" s="28">
        <f t="shared" si="28"/>
        <v>286.77096774193564</v>
      </c>
      <c r="AL209" s="28">
        <f t="shared" si="29"/>
        <v>1941.8</v>
      </c>
      <c r="AM209" s="28">
        <f t="shared" si="30"/>
        <v>140.57500000000002</v>
      </c>
      <c r="AN209" s="28">
        <f t="shared" si="31"/>
        <v>143.38548387096782</v>
      </c>
      <c r="AO209" s="31">
        <v>138.69999999999999</v>
      </c>
    </row>
    <row r="210" spans="1:41" x14ac:dyDescent="0.3">
      <c r="A210" s="26" t="s">
        <v>2</v>
      </c>
      <c r="B210" s="21">
        <v>2018</v>
      </c>
      <c r="C210" s="21" t="s">
        <v>12</v>
      </c>
      <c r="D210" s="21" t="str">
        <f t="shared" si="24"/>
        <v>Oct-18</v>
      </c>
      <c r="E210" s="32">
        <v>43374</v>
      </c>
      <c r="F210" s="21" t="s">
        <v>84</v>
      </c>
      <c r="G210" s="21">
        <v>137.6</v>
      </c>
      <c r="H210" s="21">
        <v>144.9</v>
      </c>
      <c r="I210" s="21">
        <v>133.5</v>
      </c>
      <c r="J210" s="21">
        <v>141.5</v>
      </c>
      <c r="K210" s="21">
        <v>118</v>
      </c>
      <c r="L210" s="21">
        <v>139.5</v>
      </c>
      <c r="M210" s="21">
        <v>153</v>
      </c>
      <c r="N210" s="21">
        <v>113.2</v>
      </c>
      <c r="O210" s="21">
        <v>112.8</v>
      </c>
      <c r="P210" s="21">
        <v>141.1</v>
      </c>
      <c r="Q210" s="21">
        <v>127.6</v>
      </c>
      <c r="R210" s="21">
        <v>152</v>
      </c>
      <c r="S210" s="21">
        <v>139.4</v>
      </c>
      <c r="T210" s="21">
        <v>164</v>
      </c>
      <c r="U210" s="21">
        <v>141.5</v>
      </c>
      <c r="V210" s="21">
        <v>129.80000000000001</v>
      </c>
      <c r="W210" s="21">
        <v>139.69999999999999</v>
      </c>
      <c r="X210" s="21">
        <v>146.30000000000001</v>
      </c>
      <c r="Y210" s="21">
        <v>133.4</v>
      </c>
      <c r="Z210" s="21">
        <v>135.1</v>
      </c>
      <c r="AA210" s="21">
        <v>136.19999999999999</v>
      </c>
      <c r="AB210" s="21">
        <v>123.3</v>
      </c>
      <c r="AC210" s="21">
        <v>130.69999999999999</v>
      </c>
      <c r="AD210" s="21">
        <v>145.5</v>
      </c>
      <c r="AE210" s="21">
        <v>130.4</v>
      </c>
      <c r="AF210" s="21">
        <v>132.5</v>
      </c>
      <c r="AG210" s="21">
        <v>138.9</v>
      </c>
      <c r="AH210" s="28">
        <f t="shared" si="25"/>
        <v>3402.8</v>
      </c>
      <c r="AI210" s="28">
        <f t="shared" si="26"/>
        <v>539.09999999999991</v>
      </c>
      <c r="AJ210" s="28">
        <f t="shared" si="27"/>
        <v>271.3</v>
      </c>
      <c r="AK210" s="28">
        <f t="shared" si="28"/>
        <v>281.39999999999998</v>
      </c>
      <c r="AL210" s="28">
        <f t="shared" si="29"/>
        <v>1918.1</v>
      </c>
      <c r="AM210" s="28">
        <f t="shared" si="30"/>
        <v>134.77499999999998</v>
      </c>
      <c r="AN210" s="28">
        <f t="shared" si="31"/>
        <v>140.69999999999999</v>
      </c>
      <c r="AO210" s="29">
        <v>137.00714285714284</v>
      </c>
    </row>
    <row r="211" spans="1:41" x14ac:dyDescent="0.3">
      <c r="A211" s="27" t="s">
        <v>3</v>
      </c>
      <c r="B211" s="20">
        <v>2018</v>
      </c>
      <c r="C211" s="20" t="s">
        <v>12</v>
      </c>
      <c r="D211" s="21" t="str">
        <f t="shared" si="24"/>
        <v>Oct-18</v>
      </c>
      <c r="E211" s="33">
        <v>43374</v>
      </c>
      <c r="F211" s="20" t="s">
        <v>84</v>
      </c>
      <c r="G211" s="20">
        <v>137.4</v>
      </c>
      <c r="H211" s="20">
        <v>149.5</v>
      </c>
      <c r="I211" s="20">
        <v>137.30000000000001</v>
      </c>
      <c r="J211" s="20">
        <v>141.9</v>
      </c>
      <c r="K211" s="20">
        <v>121.1</v>
      </c>
      <c r="L211" s="20">
        <v>142.5</v>
      </c>
      <c r="M211" s="20">
        <v>146.69999999999999</v>
      </c>
      <c r="N211" s="20">
        <v>119.1</v>
      </c>
      <c r="O211" s="20">
        <v>111.9</v>
      </c>
      <c r="P211" s="20">
        <v>141</v>
      </c>
      <c r="Q211" s="20">
        <v>133.6</v>
      </c>
      <c r="R211" s="20">
        <v>154.5</v>
      </c>
      <c r="S211" s="20">
        <v>139.69999999999999</v>
      </c>
      <c r="T211" s="20">
        <v>162.6</v>
      </c>
      <c r="U211" s="20">
        <v>148</v>
      </c>
      <c r="V211" s="20">
        <v>139.19999999999999</v>
      </c>
      <c r="W211" s="20">
        <v>146.80000000000001</v>
      </c>
      <c r="X211" s="20">
        <v>146.9</v>
      </c>
      <c r="Y211" s="20">
        <v>145.30000000000001</v>
      </c>
      <c r="Z211" s="20">
        <v>142.19999999999999</v>
      </c>
      <c r="AA211" s="20">
        <v>142.1</v>
      </c>
      <c r="AB211" s="20">
        <v>125.5</v>
      </c>
      <c r="AC211" s="20">
        <v>136.5</v>
      </c>
      <c r="AD211" s="20">
        <v>147.80000000000001</v>
      </c>
      <c r="AE211" s="20">
        <v>132</v>
      </c>
      <c r="AF211" s="20">
        <v>136.30000000000001</v>
      </c>
      <c r="AG211" s="20">
        <v>140.80000000000001</v>
      </c>
      <c r="AH211" s="28">
        <f t="shared" si="25"/>
        <v>3480.5999999999995</v>
      </c>
      <c r="AI211" s="28">
        <f t="shared" si="26"/>
        <v>552.6</v>
      </c>
      <c r="AJ211" s="28">
        <f t="shared" si="27"/>
        <v>287.2</v>
      </c>
      <c r="AK211" s="28">
        <f t="shared" si="28"/>
        <v>289.10000000000002</v>
      </c>
      <c r="AL211" s="28">
        <f t="shared" si="29"/>
        <v>1938.8</v>
      </c>
      <c r="AM211" s="28">
        <f t="shared" si="30"/>
        <v>138.15</v>
      </c>
      <c r="AN211" s="28">
        <f t="shared" si="31"/>
        <v>144.55000000000001</v>
      </c>
      <c r="AO211" s="31">
        <v>138.48571428571429</v>
      </c>
    </row>
    <row r="212" spans="1:41" x14ac:dyDescent="0.3">
      <c r="A212" s="26" t="s">
        <v>0</v>
      </c>
      <c r="B212" s="21">
        <v>2018</v>
      </c>
      <c r="C212" s="21" t="s">
        <v>14</v>
      </c>
      <c r="D212" s="21" t="str">
        <f t="shared" si="24"/>
        <v>Nov-18</v>
      </c>
      <c r="E212" s="32">
        <v>43405</v>
      </c>
      <c r="F212" s="21" t="s">
        <v>84</v>
      </c>
      <c r="G212" s="21">
        <v>137.1</v>
      </c>
      <c r="H212" s="21">
        <v>150.80000000000001</v>
      </c>
      <c r="I212" s="21">
        <v>136.69999999999999</v>
      </c>
      <c r="J212" s="21">
        <v>141.9</v>
      </c>
      <c r="K212" s="21">
        <v>122.8</v>
      </c>
      <c r="L212" s="21">
        <v>143.9</v>
      </c>
      <c r="M212" s="21">
        <v>147.5</v>
      </c>
      <c r="N212" s="21">
        <v>121</v>
      </c>
      <c r="O212" s="21">
        <v>111.6</v>
      </c>
      <c r="P212" s="21">
        <v>140.6</v>
      </c>
      <c r="Q212" s="21">
        <v>137.5</v>
      </c>
      <c r="R212" s="21">
        <v>156.1</v>
      </c>
      <c r="S212" s="21">
        <v>140</v>
      </c>
      <c r="T212" s="21">
        <v>161.9</v>
      </c>
      <c r="U212" s="21">
        <v>151.69999999999999</v>
      </c>
      <c r="V212" s="21">
        <v>145.5</v>
      </c>
      <c r="W212" s="21">
        <v>150.80000000000001</v>
      </c>
      <c r="X212" s="28">
        <f>'Handle missing value sheet only'!$C$1</f>
        <v>139.27096774193564</v>
      </c>
      <c r="Y212" s="21">
        <v>150.30000000000001</v>
      </c>
      <c r="Z212" s="21">
        <v>148</v>
      </c>
      <c r="AA212" s="21">
        <v>145.4</v>
      </c>
      <c r="AB212" s="21">
        <v>130.30000000000001</v>
      </c>
      <c r="AC212" s="21">
        <v>143.1</v>
      </c>
      <c r="AD212" s="21">
        <v>150.19999999999999</v>
      </c>
      <c r="AE212" s="21">
        <v>133.1</v>
      </c>
      <c r="AF212" s="21">
        <v>140.1</v>
      </c>
      <c r="AG212" s="21">
        <v>142.4</v>
      </c>
      <c r="AH212" s="28">
        <f t="shared" si="25"/>
        <v>3526.3709677419351</v>
      </c>
      <c r="AI212" s="28">
        <f t="shared" si="26"/>
        <v>566.5</v>
      </c>
      <c r="AJ212" s="28">
        <f t="shared" si="27"/>
        <v>297.2</v>
      </c>
      <c r="AK212" s="28">
        <f t="shared" si="28"/>
        <v>287.27096774193564</v>
      </c>
      <c r="AL212" s="28">
        <f t="shared" si="29"/>
        <v>1949.3999999999996</v>
      </c>
      <c r="AM212" s="28">
        <f t="shared" si="30"/>
        <v>141.625</v>
      </c>
      <c r="AN212" s="28">
        <f t="shared" si="31"/>
        <v>143.63548387096782</v>
      </c>
      <c r="AO212" s="29">
        <v>139.2428571428571</v>
      </c>
    </row>
    <row r="213" spans="1:41" x14ac:dyDescent="0.3">
      <c r="A213" s="27" t="s">
        <v>2</v>
      </c>
      <c r="B213" s="20">
        <v>2018</v>
      </c>
      <c r="C213" s="20" t="s">
        <v>14</v>
      </c>
      <c r="D213" s="21" t="str">
        <f t="shared" si="24"/>
        <v>Nov-18</v>
      </c>
      <c r="E213" s="33">
        <v>43405</v>
      </c>
      <c r="F213" s="20" t="s">
        <v>84</v>
      </c>
      <c r="G213" s="20">
        <v>138.1</v>
      </c>
      <c r="H213" s="20">
        <v>146.30000000000001</v>
      </c>
      <c r="I213" s="20">
        <v>137.80000000000001</v>
      </c>
      <c r="J213" s="20">
        <v>141.6</v>
      </c>
      <c r="K213" s="20">
        <v>118.1</v>
      </c>
      <c r="L213" s="20">
        <v>141.5</v>
      </c>
      <c r="M213" s="20">
        <v>145.19999999999999</v>
      </c>
      <c r="N213" s="20">
        <v>115.3</v>
      </c>
      <c r="O213" s="20">
        <v>112.5</v>
      </c>
      <c r="P213" s="20">
        <v>141.4</v>
      </c>
      <c r="Q213" s="20">
        <v>128</v>
      </c>
      <c r="R213" s="20">
        <v>152.6</v>
      </c>
      <c r="S213" s="20">
        <v>139.1</v>
      </c>
      <c r="T213" s="20">
        <v>164.4</v>
      </c>
      <c r="U213" s="20">
        <v>142.4</v>
      </c>
      <c r="V213" s="20">
        <v>130.19999999999999</v>
      </c>
      <c r="W213" s="20">
        <v>140.5</v>
      </c>
      <c r="X213" s="20">
        <v>146.9</v>
      </c>
      <c r="Y213" s="20">
        <v>136.69999999999999</v>
      </c>
      <c r="Z213" s="20">
        <v>135.80000000000001</v>
      </c>
      <c r="AA213" s="20">
        <v>136.80000000000001</v>
      </c>
      <c r="AB213" s="20">
        <v>121.2</v>
      </c>
      <c r="AC213" s="20">
        <v>131.30000000000001</v>
      </c>
      <c r="AD213" s="20">
        <v>146.1</v>
      </c>
      <c r="AE213" s="20">
        <v>130.5</v>
      </c>
      <c r="AF213" s="20">
        <v>132.19999999999999</v>
      </c>
      <c r="AG213" s="20">
        <v>139</v>
      </c>
      <c r="AH213" s="28">
        <f t="shared" si="25"/>
        <v>3412</v>
      </c>
      <c r="AI213" s="28">
        <f t="shared" si="26"/>
        <v>540.09999999999991</v>
      </c>
      <c r="AJ213" s="28">
        <f t="shared" si="27"/>
        <v>272.60000000000002</v>
      </c>
      <c r="AK213" s="28">
        <f t="shared" si="28"/>
        <v>282.70000000000005</v>
      </c>
      <c r="AL213" s="28">
        <f t="shared" si="29"/>
        <v>1921.8999999999999</v>
      </c>
      <c r="AM213" s="28">
        <f t="shared" si="30"/>
        <v>135.02499999999998</v>
      </c>
      <c r="AN213" s="28">
        <f t="shared" si="31"/>
        <v>141.35000000000002</v>
      </c>
      <c r="AO213" s="31">
        <v>137.27857142857141</v>
      </c>
    </row>
    <row r="214" spans="1:41" x14ac:dyDescent="0.3">
      <c r="A214" s="26" t="s">
        <v>3</v>
      </c>
      <c r="B214" s="21">
        <v>2018</v>
      </c>
      <c r="C214" s="21" t="s">
        <v>14</v>
      </c>
      <c r="D214" s="21" t="str">
        <f t="shared" si="24"/>
        <v>Nov-18</v>
      </c>
      <c r="E214" s="32">
        <v>43405</v>
      </c>
      <c r="F214" s="21" t="s">
        <v>84</v>
      </c>
      <c r="G214" s="21">
        <v>137.4</v>
      </c>
      <c r="H214" s="21">
        <v>149.19999999999999</v>
      </c>
      <c r="I214" s="21">
        <v>137.1</v>
      </c>
      <c r="J214" s="21">
        <v>141.80000000000001</v>
      </c>
      <c r="K214" s="21">
        <v>121.1</v>
      </c>
      <c r="L214" s="21">
        <v>142.80000000000001</v>
      </c>
      <c r="M214" s="21">
        <v>146.69999999999999</v>
      </c>
      <c r="N214" s="21">
        <v>119.1</v>
      </c>
      <c r="O214" s="21">
        <v>111.9</v>
      </c>
      <c r="P214" s="21">
        <v>140.9</v>
      </c>
      <c r="Q214" s="21">
        <v>133.5</v>
      </c>
      <c r="R214" s="21">
        <v>154.5</v>
      </c>
      <c r="S214" s="21">
        <v>139.69999999999999</v>
      </c>
      <c r="T214" s="21">
        <v>162.6</v>
      </c>
      <c r="U214" s="21">
        <v>148</v>
      </c>
      <c r="V214" s="21">
        <v>139.1</v>
      </c>
      <c r="W214" s="21">
        <v>146.69999999999999</v>
      </c>
      <c r="X214" s="21">
        <v>146.9</v>
      </c>
      <c r="Y214" s="21">
        <v>145.1</v>
      </c>
      <c r="Z214" s="21">
        <v>142.19999999999999</v>
      </c>
      <c r="AA214" s="21">
        <v>142.1</v>
      </c>
      <c r="AB214" s="21">
        <v>125.5</v>
      </c>
      <c r="AC214" s="21">
        <v>136.5</v>
      </c>
      <c r="AD214" s="21">
        <v>147.80000000000001</v>
      </c>
      <c r="AE214" s="21">
        <v>132</v>
      </c>
      <c r="AF214" s="21">
        <v>136.30000000000001</v>
      </c>
      <c r="AG214" s="21">
        <v>140.80000000000001</v>
      </c>
      <c r="AH214" s="28">
        <f t="shared" si="25"/>
        <v>3479.7999999999993</v>
      </c>
      <c r="AI214" s="28">
        <f t="shared" si="26"/>
        <v>552.6</v>
      </c>
      <c r="AJ214" s="28">
        <f t="shared" si="27"/>
        <v>287.10000000000002</v>
      </c>
      <c r="AK214" s="28">
        <f t="shared" si="28"/>
        <v>289.10000000000002</v>
      </c>
      <c r="AL214" s="28">
        <f t="shared" si="29"/>
        <v>1938.3000000000002</v>
      </c>
      <c r="AM214" s="28">
        <f t="shared" si="30"/>
        <v>138.15</v>
      </c>
      <c r="AN214" s="28">
        <f t="shared" si="31"/>
        <v>144.55000000000001</v>
      </c>
      <c r="AO214" s="29">
        <v>138.45000000000002</v>
      </c>
    </row>
    <row r="215" spans="1:41" x14ac:dyDescent="0.3">
      <c r="A215" s="27" t="s">
        <v>0</v>
      </c>
      <c r="B215" s="20">
        <v>2018</v>
      </c>
      <c r="C215" s="20" t="s">
        <v>15</v>
      </c>
      <c r="D215" s="21" t="str">
        <f t="shared" si="24"/>
        <v>Dec-18</v>
      </c>
      <c r="E215" s="33">
        <v>43435</v>
      </c>
      <c r="F215" s="20" t="s">
        <v>84</v>
      </c>
      <c r="G215" s="20">
        <v>137.1</v>
      </c>
      <c r="H215" s="20">
        <v>151.9</v>
      </c>
      <c r="I215" s="20">
        <v>137.4</v>
      </c>
      <c r="J215" s="20">
        <v>142.4</v>
      </c>
      <c r="K215" s="20">
        <v>124.2</v>
      </c>
      <c r="L215" s="20">
        <v>140.19999999999999</v>
      </c>
      <c r="M215" s="20">
        <v>136.6</v>
      </c>
      <c r="N215" s="20">
        <v>120.9</v>
      </c>
      <c r="O215" s="20">
        <v>109.9</v>
      </c>
      <c r="P215" s="20">
        <v>140.19999999999999</v>
      </c>
      <c r="Q215" s="20">
        <v>137.80000000000001</v>
      </c>
      <c r="R215" s="20">
        <v>156</v>
      </c>
      <c r="S215" s="20">
        <v>138.5</v>
      </c>
      <c r="T215" s="20">
        <v>162.4</v>
      </c>
      <c r="U215" s="20">
        <v>151.6</v>
      </c>
      <c r="V215" s="20">
        <v>145.9</v>
      </c>
      <c r="W215" s="20">
        <v>150.80000000000001</v>
      </c>
      <c r="X215" s="30">
        <f>'Handle missing value sheet only'!$C$1</f>
        <v>139.27096774193564</v>
      </c>
      <c r="Y215" s="20">
        <v>149</v>
      </c>
      <c r="Z215" s="20">
        <v>149.5</v>
      </c>
      <c r="AA215" s="20">
        <v>149.6</v>
      </c>
      <c r="AB215" s="20">
        <v>128.9</v>
      </c>
      <c r="AC215" s="20">
        <v>143.30000000000001</v>
      </c>
      <c r="AD215" s="20">
        <v>155.1</v>
      </c>
      <c r="AE215" s="20">
        <v>133.19999999999999</v>
      </c>
      <c r="AF215" s="20">
        <v>141.6</v>
      </c>
      <c r="AG215" s="20">
        <v>141.9</v>
      </c>
      <c r="AH215" s="28">
        <f t="shared" si="25"/>
        <v>3522.470967741936</v>
      </c>
      <c r="AI215" s="28">
        <f t="shared" si="26"/>
        <v>573.20000000000005</v>
      </c>
      <c r="AJ215" s="28">
        <f t="shared" si="27"/>
        <v>297.5</v>
      </c>
      <c r="AK215" s="28">
        <f t="shared" si="28"/>
        <v>288.77096774193564</v>
      </c>
      <c r="AL215" s="28">
        <f t="shared" si="29"/>
        <v>1935.5000000000002</v>
      </c>
      <c r="AM215" s="28">
        <f t="shared" si="30"/>
        <v>143.30000000000001</v>
      </c>
      <c r="AN215" s="28">
        <f t="shared" si="31"/>
        <v>144.38548387096782</v>
      </c>
      <c r="AO215" s="31">
        <v>138.25000000000003</v>
      </c>
    </row>
    <row r="216" spans="1:41" x14ac:dyDescent="0.3">
      <c r="A216" s="26" t="s">
        <v>2</v>
      </c>
      <c r="B216" s="21">
        <v>2018</v>
      </c>
      <c r="C216" s="21" t="s">
        <v>15</v>
      </c>
      <c r="D216" s="21" t="str">
        <f t="shared" si="24"/>
        <v>Dec-18</v>
      </c>
      <c r="E216" s="32">
        <v>43435</v>
      </c>
      <c r="F216" s="21" t="s">
        <v>84</v>
      </c>
      <c r="G216" s="21">
        <v>138.5</v>
      </c>
      <c r="H216" s="21">
        <v>147.80000000000001</v>
      </c>
      <c r="I216" s="21">
        <v>141.1</v>
      </c>
      <c r="J216" s="21">
        <v>141.6</v>
      </c>
      <c r="K216" s="21">
        <v>118.1</v>
      </c>
      <c r="L216" s="21">
        <v>138.5</v>
      </c>
      <c r="M216" s="21">
        <v>132.4</v>
      </c>
      <c r="N216" s="21">
        <v>117.5</v>
      </c>
      <c r="O216" s="21">
        <v>111</v>
      </c>
      <c r="P216" s="21">
        <v>141.5</v>
      </c>
      <c r="Q216" s="21">
        <v>128.1</v>
      </c>
      <c r="R216" s="21">
        <v>152.9</v>
      </c>
      <c r="S216" s="21">
        <v>137.6</v>
      </c>
      <c r="T216" s="21">
        <v>164.6</v>
      </c>
      <c r="U216" s="21">
        <v>142.69999999999999</v>
      </c>
      <c r="V216" s="21">
        <v>130.30000000000001</v>
      </c>
      <c r="W216" s="21">
        <v>140.80000000000001</v>
      </c>
      <c r="X216" s="21">
        <v>146.5</v>
      </c>
      <c r="Y216" s="21">
        <v>132.4</v>
      </c>
      <c r="Z216" s="21">
        <v>136.19999999999999</v>
      </c>
      <c r="AA216" s="21">
        <v>137.30000000000001</v>
      </c>
      <c r="AB216" s="21">
        <v>118.8</v>
      </c>
      <c r="AC216" s="21">
        <v>131.69999999999999</v>
      </c>
      <c r="AD216" s="21">
        <v>146.5</v>
      </c>
      <c r="AE216" s="21">
        <v>130.80000000000001</v>
      </c>
      <c r="AF216" s="21">
        <v>131.69999999999999</v>
      </c>
      <c r="AG216" s="21">
        <v>138</v>
      </c>
      <c r="AH216" s="28">
        <f t="shared" si="25"/>
        <v>3396.0999999999995</v>
      </c>
      <c r="AI216" s="28">
        <f t="shared" si="26"/>
        <v>540.70000000000005</v>
      </c>
      <c r="AJ216" s="28">
        <f t="shared" si="27"/>
        <v>273</v>
      </c>
      <c r="AK216" s="28">
        <f t="shared" si="28"/>
        <v>282.7</v>
      </c>
      <c r="AL216" s="28">
        <f t="shared" si="29"/>
        <v>1911.1999999999998</v>
      </c>
      <c r="AM216" s="28">
        <f t="shared" si="30"/>
        <v>135.17500000000001</v>
      </c>
      <c r="AN216" s="28">
        <f t="shared" si="31"/>
        <v>141.35</v>
      </c>
      <c r="AO216" s="29">
        <v>136.51428571428571</v>
      </c>
    </row>
    <row r="217" spans="1:41" x14ac:dyDescent="0.3">
      <c r="A217" s="27" t="s">
        <v>3</v>
      </c>
      <c r="B217" s="20">
        <v>2018</v>
      </c>
      <c r="C217" s="20" t="s">
        <v>15</v>
      </c>
      <c r="D217" s="21" t="str">
        <f t="shared" si="24"/>
        <v>Dec-18</v>
      </c>
      <c r="E217" s="33">
        <v>43435</v>
      </c>
      <c r="F217" s="20" t="s">
        <v>84</v>
      </c>
      <c r="G217" s="20">
        <v>137.5</v>
      </c>
      <c r="H217" s="20">
        <v>150.5</v>
      </c>
      <c r="I217" s="20">
        <v>138.80000000000001</v>
      </c>
      <c r="J217" s="20">
        <v>142.1</v>
      </c>
      <c r="K217" s="20">
        <v>122</v>
      </c>
      <c r="L217" s="20">
        <v>139.4</v>
      </c>
      <c r="M217" s="20">
        <v>135.19999999999999</v>
      </c>
      <c r="N217" s="20">
        <v>119.8</v>
      </c>
      <c r="O217" s="20">
        <v>110.3</v>
      </c>
      <c r="P217" s="20">
        <v>140.6</v>
      </c>
      <c r="Q217" s="20">
        <v>133.80000000000001</v>
      </c>
      <c r="R217" s="20">
        <v>154.6</v>
      </c>
      <c r="S217" s="20">
        <v>138.19999999999999</v>
      </c>
      <c r="T217" s="20">
        <v>163</v>
      </c>
      <c r="U217" s="20">
        <v>148.1</v>
      </c>
      <c r="V217" s="20">
        <v>139.4</v>
      </c>
      <c r="W217" s="20">
        <v>146.80000000000001</v>
      </c>
      <c r="X217" s="20">
        <v>146.5</v>
      </c>
      <c r="Y217" s="20">
        <v>142.69999999999999</v>
      </c>
      <c r="Z217" s="20">
        <v>143.19999999999999</v>
      </c>
      <c r="AA217" s="20">
        <v>144.9</v>
      </c>
      <c r="AB217" s="20">
        <v>123.6</v>
      </c>
      <c r="AC217" s="20">
        <v>136.80000000000001</v>
      </c>
      <c r="AD217" s="20">
        <v>150.1</v>
      </c>
      <c r="AE217" s="20">
        <v>132.19999999999999</v>
      </c>
      <c r="AF217" s="20">
        <v>136.80000000000001</v>
      </c>
      <c r="AG217" s="20">
        <v>140.1</v>
      </c>
      <c r="AH217" s="28">
        <f t="shared" si="25"/>
        <v>3470.1</v>
      </c>
      <c r="AI217" s="28">
        <f t="shared" si="26"/>
        <v>555.90000000000009</v>
      </c>
      <c r="AJ217" s="28">
        <f t="shared" si="27"/>
        <v>287.5</v>
      </c>
      <c r="AK217" s="28">
        <f t="shared" si="28"/>
        <v>289.7</v>
      </c>
      <c r="AL217" s="28">
        <f t="shared" si="29"/>
        <v>1925.7999999999997</v>
      </c>
      <c r="AM217" s="28">
        <f t="shared" si="30"/>
        <v>138.97500000000002</v>
      </c>
      <c r="AN217" s="28">
        <f t="shared" si="31"/>
        <v>144.85</v>
      </c>
      <c r="AO217" s="31">
        <v>137.55714285714285</v>
      </c>
    </row>
    <row r="218" spans="1:41" x14ac:dyDescent="0.3">
      <c r="A218" s="26" t="s">
        <v>0</v>
      </c>
      <c r="B218" s="21">
        <v>2019</v>
      </c>
      <c r="C218" s="21" t="s">
        <v>1</v>
      </c>
      <c r="D218" s="21" t="str">
        <f t="shared" si="24"/>
        <v>Jan-19</v>
      </c>
      <c r="E218" s="32">
        <v>43466</v>
      </c>
      <c r="F218" s="21" t="s">
        <v>84</v>
      </c>
      <c r="G218" s="21">
        <v>136.6</v>
      </c>
      <c r="H218" s="21">
        <v>152.5</v>
      </c>
      <c r="I218" s="21">
        <v>138.19999999999999</v>
      </c>
      <c r="J218" s="21">
        <v>142.4</v>
      </c>
      <c r="K218" s="21">
        <v>123.9</v>
      </c>
      <c r="L218" s="21">
        <v>135.5</v>
      </c>
      <c r="M218" s="21">
        <v>131.69999999999999</v>
      </c>
      <c r="N218" s="21">
        <v>121.3</v>
      </c>
      <c r="O218" s="21">
        <v>108.4</v>
      </c>
      <c r="P218" s="21">
        <v>138.9</v>
      </c>
      <c r="Q218" s="21">
        <v>137</v>
      </c>
      <c r="R218" s="21">
        <v>155.80000000000001</v>
      </c>
      <c r="S218" s="21">
        <v>137.4</v>
      </c>
      <c r="T218" s="21">
        <v>162.69999999999999</v>
      </c>
      <c r="U218" s="21">
        <v>150.6</v>
      </c>
      <c r="V218" s="21">
        <v>145.1</v>
      </c>
      <c r="W218" s="21">
        <v>149.9</v>
      </c>
      <c r="X218" s="28">
        <f>'Handle missing value sheet only'!$C$1</f>
        <v>139.27096774193564</v>
      </c>
      <c r="Y218" s="21">
        <v>146.19999999999999</v>
      </c>
      <c r="Z218" s="21">
        <v>150.1</v>
      </c>
      <c r="AA218" s="21">
        <v>149.6</v>
      </c>
      <c r="AB218" s="21">
        <v>128.6</v>
      </c>
      <c r="AC218" s="21">
        <v>142.9</v>
      </c>
      <c r="AD218" s="21">
        <v>155.19999999999999</v>
      </c>
      <c r="AE218" s="21">
        <v>133.5</v>
      </c>
      <c r="AF218" s="21">
        <v>141.69999999999999</v>
      </c>
      <c r="AG218" s="21">
        <v>141</v>
      </c>
      <c r="AH218" s="28">
        <f t="shared" si="25"/>
        <v>3505.0709677419359</v>
      </c>
      <c r="AI218" s="28">
        <f t="shared" si="26"/>
        <v>573.29999999999995</v>
      </c>
      <c r="AJ218" s="28">
        <f t="shared" si="27"/>
        <v>295.7</v>
      </c>
      <c r="AK218" s="28">
        <f t="shared" si="28"/>
        <v>289.3709677419356</v>
      </c>
      <c r="AL218" s="28">
        <f t="shared" si="29"/>
        <v>1922.3000000000002</v>
      </c>
      <c r="AM218" s="28">
        <f t="shared" si="30"/>
        <v>143.32499999999999</v>
      </c>
      <c r="AN218" s="28">
        <f t="shared" si="31"/>
        <v>144.6854838709678</v>
      </c>
      <c r="AO218" s="29">
        <v>137.30714285714288</v>
      </c>
    </row>
    <row r="219" spans="1:41" x14ac:dyDescent="0.3">
      <c r="A219" s="27" t="s">
        <v>2</v>
      </c>
      <c r="B219" s="20">
        <v>2019</v>
      </c>
      <c r="C219" s="20" t="s">
        <v>1</v>
      </c>
      <c r="D219" s="21" t="str">
        <f t="shared" si="24"/>
        <v>Jan-19</v>
      </c>
      <c r="E219" s="33">
        <v>43466</v>
      </c>
      <c r="F219" s="20" t="s">
        <v>84</v>
      </c>
      <c r="G219" s="20">
        <v>138.30000000000001</v>
      </c>
      <c r="H219" s="20">
        <v>149.4</v>
      </c>
      <c r="I219" s="20">
        <v>143.5</v>
      </c>
      <c r="J219" s="20">
        <v>141.69999999999999</v>
      </c>
      <c r="K219" s="20">
        <v>118.1</v>
      </c>
      <c r="L219" s="20">
        <v>135.19999999999999</v>
      </c>
      <c r="M219" s="20">
        <v>130.5</v>
      </c>
      <c r="N219" s="20">
        <v>118.2</v>
      </c>
      <c r="O219" s="20">
        <v>110.4</v>
      </c>
      <c r="P219" s="20">
        <v>140.4</v>
      </c>
      <c r="Q219" s="20">
        <v>128.1</v>
      </c>
      <c r="R219" s="20">
        <v>153.19999999999999</v>
      </c>
      <c r="S219" s="20">
        <v>137.30000000000001</v>
      </c>
      <c r="T219" s="20">
        <v>164.7</v>
      </c>
      <c r="U219" s="20">
        <v>143</v>
      </c>
      <c r="V219" s="20">
        <v>130.4</v>
      </c>
      <c r="W219" s="20">
        <v>141.1</v>
      </c>
      <c r="X219" s="20">
        <v>147.69999999999999</v>
      </c>
      <c r="Y219" s="20">
        <v>128.6</v>
      </c>
      <c r="Z219" s="20">
        <v>136.30000000000001</v>
      </c>
      <c r="AA219" s="20">
        <v>137.80000000000001</v>
      </c>
      <c r="AB219" s="20">
        <v>118.6</v>
      </c>
      <c r="AC219" s="20">
        <v>131.9</v>
      </c>
      <c r="AD219" s="20">
        <v>146.6</v>
      </c>
      <c r="AE219" s="20">
        <v>131.69999999999999</v>
      </c>
      <c r="AF219" s="20">
        <v>131.80000000000001</v>
      </c>
      <c r="AG219" s="20">
        <v>138</v>
      </c>
      <c r="AH219" s="28">
        <f t="shared" si="25"/>
        <v>3393.3999999999996</v>
      </c>
      <c r="AI219" s="28">
        <f t="shared" si="26"/>
        <v>542</v>
      </c>
      <c r="AJ219" s="28">
        <f t="shared" si="27"/>
        <v>273.39999999999998</v>
      </c>
      <c r="AK219" s="28">
        <f t="shared" si="28"/>
        <v>284</v>
      </c>
      <c r="AL219" s="28">
        <f t="shared" si="29"/>
        <v>1909.0000000000002</v>
      </c>
      <c r="AM219" s="28">
        <f t="shared" si="30"/>
        <v>135.5</v>
      </c>
      <c r="AN219" s="28">
        <f t="shared" si="31"/>
        <v>142</v>
      </c>
      <c r="AO219" s="31">
        <v>136.35714285714286</v>
      </c>
    </row>
    <row r="220" spans="1:41" x14ac:dyDescent="0.3">
      <c r="A220" s="26" t="s">
        <v>3</v>
      </c>
      <c r="B220" s="21">
        <v>2019</v>
      </c>
      <c r="C220" s="21" t="s">
        <v>1</v>
      </c>
      <c r="D220" s="21" t="str">
        <f t="shared" si="24"/>
        <v>Jan-19</v>
      </c>
      <c r="E220" s="32">
        <v>43466</v>
      </c>
      <c r="F220" s="21" t="s">
        <v>84</v>
      </c>
      <c r="G220" s="21">
        <v>137.1</v>
      </c>
      <c r="H220" s="21">
        <v>151.4</v>
      </c>
      <c r="I220" s="21">
        <v>140.19999999999999</v>
      </c>
      <c r="J220" s="21">
        <v>142.1</v>
      </c>
      <c r="K220" s="21">
        <v>121.8</v>
      </c>
      <c r="L220" s="21">
        <v>135.4</v>
      </c>
      <c r="M220" s="21">
        <v>131.30000000000001</v>
      </c>
      <c r="N220" s="21">
        <v>120.3</v>
      </c>
      <c r="O220" s="21">
        <v>109.1</v>
      </c>
      <c r="P220" s="21">
        <v>139.4</v>
      </c>
      <c r="Q220" s="21">
        <v>133.30000000000001</v>
      </c>
      <c r="R220" s="21">
        <v>154.6</v>
      </c>
      <c r="S220" s="21">
        <v>137.4</v>
      </c>
      <c r="T220" s="21">
        <v>163.19999999999999</v>
      </c>
      <c r="U220" s="21">
        <v>147.6</v>
      </c>
      <c r="V220" s="21">
        <v>139</v>
      </c>
      <c r="W220" s="21">
        <v>146.4</v>
      </c>
      <c r="X220" s="21">
        <v>147.69999999999999</v>
      </c>
      <c r="Y220" s="21">
        <v>139.5</v>
      </c>
      <c r="Z220" s="21">
        <v>143.6</v>
      </c>
      <c r="AA220" s="21">
        <v>145.1</v>
      </c>
      <c r="AB220" s="21">
        <v>123.3</v>
      </c>
      <c r="AC220" s="21">
        <v>136.69999999999999</v>
      </c>
      <c r="AD220" s="21">
        <v>150.19999999999999</v>
      </c>
      <c r="AE220" s="21">
        <v>132.80000000000001</v>
      </c>
      <c r="AF220" s="21">
        <v>136.9</v>
      </c>
      <c r="AG220" s="21">
        <v>139.6</v>
      </c>
      <c r="AH220" s="28">
        <f t="shared" si="25"/>
        <v>3459</v>
      </c>
      <c r="AI220" s="28">
        <f t="shared" si="26"/>
        <v>556.6</v>
      </c>
      <c r="AJ220" s="28">
        <f t="shared" si="27"/>
        <v>286.60000000000002</v>
      </c>
      <c r="AK220" s="28">
        <f t="shared" si="28"/>
        <v>291.29999999999995</v>
      </c>
      <c r="AL220" s="28">
        <f t="shared" si="29"/>
        <v>1916.6</v>
      </c>
      <c r="AM220" s="28">
        <f t="shared" si="30"/>
        <v>139.15</v>
      </c>
      <c r="AN220" s="28">
        <f t="shared" si="31"/>
        <v>145.64999999999998</v>
      </c>
      <c r="AO220" s="29">
        <v>136.9</v>
      </c>
    </row>
    <row r="221" spans="1:41" x14ac:dyDescent="0.3">
      <c r="A221" s="27" t="s">
        <v>0</v>
      </c>
      <c r="B221" s="20">
        <v>2019</v>
      </c>
      <c r="C221" s="20" t="s">
        <v>4</v>
      </c>
      <c r="D221" s="21" t="str">
        <f t="shared" si="24"/>
        <v>Feb-19</v>
      </c>
      <c r="E221" s="33">
        <v>43497</v>
      </c>
      <c r="F221" s="20" t="s">
        <v>84</v>
      </c>
      <c r="G221" s="20">
        <v>136.80000000000001</v>
      </c>
      <c r="H221" s="20">
        <v>153</v>
      </c>
      <c r="I221" s="20">
        <v>139.1</v>
      </c>
      <c r="J221" s="20">
        <v>142.5</v>
      </c>
      <c r="K221" s="20">
        <v>124.1</v>
      </c>
      <c r="L221" s="20">
        <v>135.80000000000001</v>
      </c>
      <c r="M221" s="20">
        <v>128.69999999999999</v>
      </c>
      <c r="N221" s="20">
        <v>121.5</v>
      </c>
      <c r="O221" s="20">
        <v>108.3</v>
      </c>
      <c r="P221" s="20">
        <v>139.19999999999999</v>
      </c>
      <c r="Q221" s="20">
        <v>137.4</v>
      </c>
      <c r="R221" s="20">
        <v>156.19999999999999</v>
      </c>
      <c r="S221" s="20">
        <v>137.19999999999999</v>
      </c>
      <c r="T221" s="20">
        <v>162.80000000000001</v>
      </c>
      <c r="U221" s="20">
        <v>150.5</v>
      </c>
      <c r="V221" s="20">
        <v>146.1</v>
      </c>
      <c r="W221" s="20">
        <v>149.9</v>
      </c>
      <c r="X221" s="30">
        <f>'Handle missing value sheet only'!$C$1</f>
        <v>139.27096774193564</v>
      </c>
      <c r="Y221" s="20">
        <v>145.30000000000001</v>
      </c>
      <c r="Z221" s="20">
        <v>150.1</v>
      </c>
      <c r="AA221" s="20">
        <v>149.9</v>
      </c>
      <c r="AB221" s="20">
        <v>129.19999999999999</v>
      </c>
      <c r="AC221" s="20">
        <v>143.4</v>
      </c>
      <c r="AD221" s="20">
        <v>155.5</v>
      </c>
      <c r="AE221" s="20">
        <v>134.9</v>
      </c>
      <c r="AF221" s="20">
        <v>142.19999999999999</v>
      </c>
      <c r="AG221" s="20">
        <v>141</v>
      </c>
      <c r="AH221" s="28">
        <f t="shared" si="25"/>
        <v>3508.9709677419351</v>
      </c>
      <c r="AI221" s="28">
        <f t="shared" si="26"/>
        <v>576</v>
      </c>
      <c r="AJ221" s="28">
        <f t="shared" si="27"/>
        <v>296.60000000000002</v>
      </c>
      <c r="AK221" s="28">
        <f t="shared" si="28"/>
        <v>289.3709677419356</v>
      </c>
      <c r="AL221" s="28">
        <f t="shared" si="29"/>
        <v>1922.6000000000001</v>
      </c>
      <c r="AM221" s="28">
        <f t="shared" si="30"/>
        <v>144</v>
      </c>
      <c r="AN221" s="28">
        <f t="shared" si="31"/>
        <v>144.6854838709678</v>
      </c>
      <c r="AO221" s="31">
        <v>137.32857142857145</v>
      </c>
    </row>
    <row r="222" spans="1:41" x14ac:dyDescent="0.3">
      <c r="A222" s="26" t="s">
        <v>2</v>
      </c>
      <c r="B222" s="21">
        <v>2019</v>
      </c>
      <c r="C222" s="21" t="s">
        <v>4</v>
      </c>
      <c r="D222" s="21" t="str">
        <f t="shared" si="24"/>
        <v>Feb-19</v>
      </c>
      <c r="E222" s="32">
        <v>43497</v>
      </c>
      <c r="F222" s="21" t="s">
        <v>84</v>
      </c>
      <c r="G222" s="21">
        <v>139.4</v>
      </c>
      <c r="H222" s="21">
        <v>150.1</v>
      </c>
      <c r="I222" s="21">
        <v>145.30000000000001</v>
      </c>
      <c r="J222" s="21">
        <v>141.69999999999999</v>
      </c>
      <c r="K222" s="21">
        <v>118.4</v>
      </c>
      <c r="L222" s="21">
        <v>137</v>
      </c>
      <c r="M222" s="21">
        <v>131.6</v>
      </c>
      <c r="N222" s="21">
        <v>119.9</v>
      </c>
      <c r="O222" s="21">
        <v>110.4</v>
      </c>
      <c r="P222" s="21">
        <v>140.80000000000001</v>
      </c>
      <c r="Q222" s="21">
        <v>128.30000000000001</v>
      </c>
      <c r="R222" s="21">
        <v>153.5</v>
      </c>
      <c r="S222" s="21">
        <v>138</v>
      </c>
      <c r="T222" s="21">
        <v>164.9</v>
      </c>
      <c r="U222" s="21">
        <v>143.30000000000001</v>
      </c>
      <c r="V222" s="21">
        <v>130.80000000000001</v>
      </c>
      <c r="W222" s="21">
        <v>141.4</v>
      </c>
      <c r="X222" s="21">
        <v>148.5</v>
      </c>
      <c r="Y222" s="21">
        <v>127.1</v>
      </c>
      <c r="Z222" s="21">
        <v>136.6</v>
      </c>
      <c r="AA222" s="21">
        <v>138.5</v>
      </c>
      <c r="AB222" s="21">
        <v>119.2</v>
      </c>
      <c r="AC222" s="21">
        <v>132.19999999999999</v>
      </c>
      <c r="AD222" s="21">
        <v>146.6</v>
      </c>
      <c r="AE222" s="21">
        <v>133</v>
      </c>
      <c r="AF222" s="21">
        <v>132.4</v>
      </c>
      <c r="AG222" s="21">
        <v>138.6</v>
      </c>
      <c r="AH222" s="28">
        <f t="shared" si="25"/>
        <v>3407.5000000000014</v>
      </c>
      <c r="AI222" s="28">
        <f t="shared" si="26"/>
        <v>544.20000000000005</v>
      </c>
      <c r="AJ222" s="28">
        <f t="shared" si="27"/>
        <v>274.10000000000002</v>
      </c>
      <c r="AK222" s="28">
        <f t="shared" si="28"/>
        <v>285.10000000000002</v>
      </c>
      <c r="AL222" s="28">
        <f t="shared" si="29"/>
        <v>1919.3000000000002</v>
      </c>
      <c r="AM222" s="28">
        <f t="shared" si="30"/>
        <v>136.05000000000001</v>
      </c>
      <c r="AN222" s="28">
        <f t="shared" si="31"/>
        <v>142.55000000000001</v>
      </c>
      <c r="AO222" s="29">
        <v>137.09285714285716</v>
      </c>
    </row>
    <row r="223" spans="1:41" x14ac:dyDescent="0.3">
      <c r="A223" s="27" t="s">
        <v>3</v>
      </c>
      <c r="B223" s="20">
        <v>2019</v>
      </c>
      <c r="C223" s="20" t="s">
        <v>4</v>
      </c>
      <c r="D223" s="21" t="str">
        <f t="shared" si="24"/>
        <v>Feb-19</v>
      </c>
      <c r="E223" s="33">
        <v>43497</v>
      </c>
      <c r="F223" s="20" t="s">
        <v>84</v>
      </c>
      <c r="G223" s="20">
        <v>137.6</v>
      </c>
      <c r="H223" s="20">
        <v>152</v>
      </c>
      <c r="I223" s="20">
        <v>141.5</v>
      </c>
      <c r="J223" s="20">
        <v>142.19999999999999</v>
      </c>
      <c r="K223" s="20">
        <v>122</v>
      </c>
      <c r="L223" s="20">
        <v>136.4</v>
      </c>
      <c r="M223" s="20">
        <v>129.69999999999999</v>
      </c>
      <c r="N223" s="20">
        <v>121</v>
      </c>
      <c r="O223" s="20">
        <v>109</v>
      </c>
      <c r="P223" s="20">
        <v>139.69999999999999</v>
      </c>
      <c r="Q223" s="20">
        <v>133.6</v>
      </c>
      <c r="R223" s="20">
        <v>154.9</v>
      </c>
      <c r="S223" s="20">
        <v>137.5</v>
      </c>
      <c r="T223" s="20">
        <v>163.4</v>
      </c>
      <c r="U223" s="20">
        <v>147.69999999999999</v>
      </c>
      <c r="V223" s="20">
        <v>139.69999999999999</v>
      </c>
      <c r="W223" s="20">
        <v>146.5</v>
      </c>
      <c r="X223" s="20">
        <v>148.5</v>
      </c>
      <c r="Y223" s="20">
        <v>138.4</v>
      </c>
      <c r="Z223" s="20">
        <v>143.69999999999999</v>
      </c>
      <c r="AA223" s="20">
        <v>145.6</v>
      </c>
      <c r="AB223" s="20">
        <v>123.9</v>
      </c>
      <c r="AC223" s="20">
        <v>137.1</v>
      </c>
      <c r="AD223" s="20">
        <v>150.30000000000001</v>
      </c>
      <c r="AE223" s="20">
        <v>134.1</v>
      </c>
      <c r="AF223" s="20">
        <v>137.4</v>
      </c>
      <c r="AG223" s="20">
        <v>139.9</v>
      </c>
      <c r="AH223" s="28">
        <f t="shared" si="25"/>
        <v>3466.8999999999992</v>
      </c>
      <c r="AI223" s="28">
        <f t="shared" si="26"/>
        <v>558.9</v>
      </c>
      <c r="AJ223" s="28">
        <f t="shared" si="27"/>
        <v>287.39999999999998</v>
      </c>
      <c r="AK223" s="28">
        <f t="shared" si="28"/>
        <v>292.2</v>
      </c>
      <c r="AL223" s="28">
        <f t="shared" si="29"/>
        <v>1920.5</v>
      </c>
      <c r="AM223" s="28">
        <f t="shared" si="30"/>
        <v>139.72499999999999</v>
      </c>
      <c r="AN223" s="28">
        <f t="shared" si="31"/>
        <v>146.1</v>
      </c>
      <c r="AO223" s="31">
        <v>137.17857142857142</v>
      </c>
    </row>
    <row r="224" spans="1:41" x14ac:dyDescent="0.3">
      <c r="A224" s="26" t="s">
        <v>0</v>
      </c>
      <c r="B224" s="21">
        <v>2019</v>
      </c>
      <c r="C224" s="21" t="s">
        <v>5</v>
      </c>
      <c r="D224" s="21" t="str">
        <f t="shared" si="24"/>
        <v>Mar-19</v>
      </c>
      <c r="E224" s="32">
        <v>43525</v>
      </c>
      <c r="F224" s="21" t="s">
        <v>84</v>
      </c>
      <c r="G224" s="21">
        <v>136.9</v>
      </c>
      <c r="H224" s="21">
        <v>154.1</v>
      </c>
      <c r="I224" s="21">
        <v>138.69999999999999</v>
      </c>
      <c r="J224" s="21">
        <v>142.5</v>
      </c>
      <c r="K224" s="21">
        <v>124.1</v>
      </c>
      <c r="L224" s="21">
        <v>136.1</v>
      </c>
      <c r="M224" s="21">
        <v>128.19999999999999</v>
      </c>
      <c r="N224" s="21">
        <v>122.3</v>
      </c>
      <c r="O224" s="21">
        <v>108.3</v>
      </c>
      <c r="P224" s="21">
        <v>138.9</v>
      </c>
      <c r="Q224" s="21">
        <v>137.4</v>
      </c>
      <c r="R224" s="21">
        <v>156.4</v>
      </c>
      <c r="S224" s="21">
        <v>137.30000000000001</v>
      </c>
      <c r="T224" s="21">
        <v>162.9</v>
      </c>
      <c r="U224" s="21">
        <v>150.80000000000001</v>
      </c>
      <c r="V224" s="21">
        <v>146.1</v>
      </c>
      <c r="W224" s="21">
        <v>150.1</v>
      </c>
      <c r="X224" s="28">
        <f>'Handle missing value sheet only'!$C$1</f>
        <v>139.27096774193564</v>
      </c>
      <c r="Y224" s="21">
        <v>146.4</v>
      </c>
      <c r="Z224" s="21">
        <v>150</v>
      </c>
      <c r="AA224" s="21">
        <v>150.4</v>
      </c>
      <c r="AB224" s="21">
        <v>129.9</v>
      </c>
      <c r="AC224" s="21">
        <v>143.80000000000001</v>
      </c>
      <c r="AD224" s="21">
        <v>155.5</v>
      </c>
      <c r="AE224" s="21">
        <v>134</v>
      </c>
      <c r="AF224" s="21">
        <v>142.4</v>
      </c>
      <c r="AG224" s="21">
        <v>141.19999999999999</v>
      </c>
      <c r="AH224" s="28">
        <f t="shared" si="25"/>
        <v>3512.6709677419367</v>
      </c>
      <c r="AI224" s="28">
        <f t="shared" si="26"/>
        <v>575.70000000000005</v>
      </c>
      <c r="AJ224" s="28">
        <f t="shared" si="27"/>
        <v>296.89999999999998</v>
      </c>
      <c r="AK224" s="28">
        <f t="shared" si="28"/>
        <v>289.27096774193564</v>
      </c>
      <c r="AL224" s="28">
        <f t="shared" si="29"/>
        <v>1924.1000000000004</v>
      </c>
      <c r="AM224" s="28">
        <f t="shared" si="30"/>
        <v>143.92500000000001</v>
      </c>
      <c r="AN224" s="28">
        <f t="shared" si="31"/>
        <v>144.63548387096782</v>
      </c>
      <c r="AO224" s="29">
        <v>137.43571428571431</v>
      </c>
    </row>
    <row r="225" spans="1:41" x14ac:dyDescent="0.3">
      <c r="A225" s="27" t="s">
        <v>2</v>
      </c>
      <c r="B225" s="20">
        <v>2019</v>
      </c>
      <c r="C225" s="20" t="s">
        <v>5</v>
      </c>
      <c r="D225" s="21" t="str">
        <f t="shared" si="24"/>
        <v>Mar-19</v>
      </c>
      <c r="E225" s="33">
        <v>43525</v>
      </c>
      <c r="F225" s="20" t="s">
        <v>84</v>
      </c>
      <c r="G225" s="20">
        <v>139.69999999999999</v>
      </c>
      <c r="H225" s="20">
        <v>151.1</v>
      </c>
      <c r="I225" s="20">
        <v>142.9</v>
      </c>
      <c r="J225" s="20">
        <v>141.9</v>
      </c>
      <c r="K225" s="20">
        <v>118.4</v>
      </c>
      <c r="L225" s="20">
        <v>139.4</v>
      </c>
      <c r="M225" s="20">
        <v>141.19999999999999</v>
      </c>
      <c r="N225" s="20">
        <v>120.7</v>
      </c>
      <c r="O225" s="20">
        <v>110.4</v>
      </c>
      <c r="P225" s="20">
        <v>140.69999999999999</v>
      </c>
      <c r="Q225" s="20">
        <v>128.5</v>
      </c>
      <c r="R225" s="20">
        <v>153.9</v>
      </c>
      <c r="S225" s="20">
        <v>139.6</v>
      </c>
      <c r="T225" s="20">
        <v>165.3</v>
      </c>
      <c r="U225" s="20">
        <v>143.5</v>
      </c>
      <c r="V225" s="20">
        <v>131.19999999999999</v>
      </c>
      <c r="W225" s="20">
        <v>141.6</v>
      </c>
      <c r="X225" s="20">
        <v>149</v>
      </c>
      <c r="Y225" s="20">
        <v>128.80000000000001</v>
      </c>
      <c r="Z225" s="20">
        <v>136.80000000000001</v>
      </c>
      <c r="AA225" s="20">
        <v>139.19999999999999</v>
      </c>
      <c r="AB225" s="20">
        <v>119.9</v>
      </c>
      <c r="AC225" s="20">
        <v>133</v>
      </c>
      <c r="AD225" s="20">
        <v>146.69999999999999</v>
      </c>
      <c r="AE225" s="20">
        <v>132.5</v>
      </c>
      <c r="AF225" s="20">
        <v>132.80000000000001</v>
      </c>
      <c r="AG225" s="20">
        <v>139.5</v>
      </c>
      <c r="AH225" s="28">
        <f t="shared" si="25"/>
        <v>3427.0999999999995</v>
      </c>
      <c r="AI225" s="28">
        <f t="shared" si="26"/>
        <v>545</v>
      </c>
      <c r="AJ225" s="28">
        <f t="shared" si="27"/>
        <v>274.7</v>
      </c>
      <c r="AK225" s="28">
        <f t="shared" si="28"/>
        <v>285.8</v>
      </c>
      <c r="AL225" s="28">
        <f t="shared" si="29"/>
        <v>1933.7</v>
      </c>
      <c r="AM225" s="28">
        <f t="shared" si="30"/>
        <v>136.25</v>
      </c>
      <c r="AN225" s="28">
        <f t="shared" si="31"/>
        <v>142.9</v>
      </c>
      <c r="AO225" s="31">
        <v>138.12142857142857</v>
      </c>
    </row>
    <row r="226" spans="1:41" x14ac:dyDescent="0.3">
      <c r="A226" s="26" t="s">
        <v>3</v>
      </c>
      <c r="B226" s="21">
        <v>2019</v>
      </c>
      <c r="C226" s="21" t="s">
        <v>5</v>
      </c>
      <c r="D226" s="21" t="str">
        <f t="shared" si="24"/>
        <v>Mar-19</v>
      </c>
      <c r="E226" s="32">
        <v>43525</v>
      </c>
      <c r="F226" s="21" t="s">
        <v>84</v>
      </c>
      <c r="G226" s="21">
        <v>137.80000000000001</v>
      </c>
      <c r="H226" s="21">
        <v>153</v>
      </c>
      <c r="I226" s="21">
        <v>140.30000000000001</v>
      </c>
      <c r="J226" s="21">
        <v>142.30000000000001</v>
      </c>
      <c r="K226" s="21">
        <v>122</v>
      </c>
      <c r="L226" s="21">
        <v>137.6</v>
      </c>
      <c r="M226" s="21">
        <v>132.6</v>
      </c>
      <c r="N226" s="21">
        <v>121.8</v>
      </c>
      <c r="O226" s="21">
        <v>109</v>
      </c>
      <c r="P226" s="21">
        <v>139.5</v>
      </c>
      <c r="Q226" s="21">
        <v>133.69999999999999</v>
      </c>
      <c r="R226" s="21">
        <v>155.19999999999999</v>
      </c>
      <c r="S226" s="21">
        <v>138.1</v>
      </c>
      <c r="T226" s="21">
        <v>163.5</v>
      </c>
      <c r="U226" s="21">
        <v>147.9</v>
      </c>
      <c r="V226" s="21">
        <v>139.9</v>
      </c>
      <c r="W226" s="21">
        <v>146.69999999999999</v>
      </c>
      <c r="X226" s="21">
        <v>149</v>
      </c>
      <c r="Y226" s="21">
        <v>139.69999999999999</v>
      </c>
      <c r="Z226" s="21">
        <v>143.80000000000001</v>
      </c>
      <c r="AA226" s="21">
        <v>146.19999999999999</v>
      </c>
      <c r="AB226" s="21">
        <v>124.6</v>
      </c>
      <c r="AC226" s="21">
        <v>137.69999999999999</v>
      </c>
      <c r="AD226" s="21">
        <v>150.30000000000001</v>
      </c>
      <c r="AE226" s="21">
        <v>133.4</v>
      </c>
      <c r="AF226" s="21">
        <v>137.69999999999999</v>
      </c>
      <c r="AG226" s="21">
        <v>140.4</v>
      </c>
      <c r="AH226" s="28">
        <f t="shared" si="25"/>
        <v>3476.6</v>
      </c>
      <c r="AI226" s="28">
        <f t="shared" si="26"/>
        <v>559.1</v>
      </c>
      <c r="AJ226" s="28">
        <f t="shared" si="27"/>
        <v>287.8</v>
      </c>
      <c r="AK226" s="28">
        <f t="shared" si="28"/>
        <v>292.8</v>
      </c>
      <c r="AL226" s="28">
        <f t="shared" si="29"/>
        <v>1926.4</v>
      </c>
      <c r="AM226" s="28">
        <f t="shared" si="30"/>
        <v>139.77500000000001</v>
      </c>
      <c r="AN226" s="28">
        <f t="shared" si="31"/>
        <v>146.4</v>
      </c>
      <c r="AO226" s="29">
        <v>137.6</v>
      </c>
    </row>
    <row r="227" spans="1:41" x14ac:dyDescent="0.3">
      <c r="A227" s="27" t="s">
        <v>0</v>
      </c>
      <c r="B227" s="20">
        <v>2019</v>
      </c>
      <c r="C227" s="20" t="s">
        <v>7</v>
      </c>
      <c r="D227" s="21" t="str">
        <f t="shared" si="24"/>
        <v>May-19</v>
      </c>
      <c r="E227" s="33">
        <v>43586</v>
      </c>
      <c r="F227" s="20" t="s">
        <v>84</v>
      </c>
      <c r="G227" s="20">
        <v>137.4</v>
      </c>
      <c r="H227" s="20">
        <v>159.5</v>
      </c>
      <c r="I227" s="20">
        <v>134.5</v>
      </c>
      <c r="J227" s="20">
        <v>142.6</v>
      </c>
      <c r="K227" s="20">
        <v>124</v>
      </c>
      <c r="L227" s="20">
        <v>143.69999999999999</v>
      </c>
      <c r="M227" s="20">
        <v>133.4</v>
      </c>
      <c r="N227" s="20">
        <v>125.1</v>
      </c>
      <c r="O227" s="20">
        <v>109.3</v>
      </c>
      <c r="P227" s="20">
        <v>139.30000000000001</v>
      </c>
      <c r="Q227" s="20">
        <v>137.69999999999999</v>
      </c>
      <c r="R227" s="20">
        <v>156.4</v>
      </c>
      <c r="S227" s="20">
        <v>139.19999999999999</v>
      </c>
      <c r="T227" s="20">
        <v>163.30000000000001</v>
      </c>
      <c r="U227" s="20">
        <v>151.30000000000001</v>
      </c>
      <c r="V227" s="20">
        <v>146.6</v>
      </c>
      <c r="W227" s="20">
        <v>150.69999999999999</v>
      </c>
      <c r="X227" s="30">
        <f>'Handle missing value sheet only'!$C$1</f>
        <v>139.27096774193564</v>
      </c>
      <c r="Y227" s="20">
        <v>146.9</v>
      </c>
      <c r="Z227" s="20">
        <v>149.5</v>
      </c>
      <c r="AA227" s="20">
        <v>151.30000000000001</v>
      </c>
      <c r="AB227" s="20">
        <v>130.19999999999999</v>
      </c>
      <c r="AC227" s="20">
        <v>145.9</v>
      </c>
      <c r="AD227" s="20">
        <v>156.69999999999999</v>
      </c>
      <c r="AE227" s="20">
        <v>133.9</v>
      </c>
      <c r="AF227" s="20">
        <v>142.9</v>
      </c>
      <c r="AG227" s="20">
        <v>142.4</v>
      </c>
      <c r="AH227" s="28">
        <f t="shared" si="25"/>
        <v>3539.8709677419361</v>
      </c>
      <c r="AI227" s="28">
        <f t="shared" si="26"/>
        <v>579.4</v>
      </c>
      <c r="AJ227" s="28">
        <f t="shared" si="27"/>
        <v>297.89999999999998</v>
      </c>
      <c r="AK227" s="28">
        <f t="shared" si="28"/>
        <v>288.77096774193564</v>
      </c>
      <c r="AL227" s="28">
        <f t="shared" si="29"/>
        <v>1945.4</v>
      </c>
      <c r="AM227" s="28">
        <f t="shared" si="30"/>
        <v>144.85</v>
      </c>
      <c r="AN227" s="28">
        <f t="shared" si="31"/>
        <v>144.38548387096782</v>
      </c>
      <c r="AO227" s="31">
        <v>138.95714285714286</v>
      </c>
    </row>
    <row r="228" spans="1:41" x14ac:dyDescent="0.3">
      <c r="A228" s="26" t="s">
        <v>2</v>
      </c>
      <c r="B228" s="21">
        <v>2019</v>
      </c>
      <c r="C228" s="21" t="s">
        <v>7</v>
      </c>
      <c r="D228" s="21" t="str">
        <f t="shared" si="24"/>
        <v>May-19</v>
      </c>
      <c r="E228" s="32">
        <v>43586</v>
      </c>
      <c r="F228" s="21" t="s">
        <v>84</v>
      </c>
      <c r="G228" s="21">
        <v>140.4</v>
      </c>
      <c r="H228" s="21">
        <v>156.69999999999999</v>
      </c>
      <c r="I228" s="21">
        <v>138.30000000000001</v>
      </c>
      <c r="J228" s="21">
        <v>142.4</v>
      </c>
      <c r="K228" s="21">
        <v>118.6</v>
      </c>
      <c r="L228" s="21">
        <v>149.69999999999999</v>
      </c>
      <c r="M228" s="21">
        <v>161.6</v>
      </c>
      <c r="N228" s="21">
        <v>124.4</v>
      </c>
      <c r="O228" s="21">
        <v>111.2</v>
      </c>
      <c r="P228" s="21">
        <v>141</v>
      </c>
      <c r="Q228" s="21">
        <v>128.9</v>
      </c>
      <c r="R228" s="21">
        <v>154.5</v>
      </c>
      <c r="S228" s="21">
        <v>143.80000000000001</v>
      </c>
      <c r="T228" s="21">
        <v>166.2</v>
      </c>
      <c r="U228" s="21">
        <v>144</v>
      </c>
      <c r="V228" s="21">
        <v>131.69999999999999</v>
      </c>
      <c r="W228" s="21">
        <v>142.19999999999999</v>
      </c>
      <c r="X228" s="21">
        <v>150.1</v>
      </c>
      <c r="Y228" s="21">
        <v>129.4</v>
      </c>
      <c r="Z228" s="21">
        <v>137.19999999999999</v>
      </c>
      <c r="AA228" s="21">
        <v>139.80000000000001</v>
      </c>
      <c r="AB228" s="21">
        <v>120.1</v>
      </c>
      <c r="AC228" s="21">
        <v>134</v>
      </c>
      <c r="AD228" s="21">
        <v>148</v>
      </c>
      <c r="AE228" s="21">
        <v>132.6</v>
      </c>
      <c r="AF228" s="21">
        <v>133.30000000000001</v>
      </c>
      <c r="AG228" s="21">
        <v>141.5</v>
      </c>
      <c r="AH228" s="28">
        <f t="shared" si="25"/>
        <v>3477.8999999999996</v>
      </c>
      <c r="AI228" s="28">
        <f t="shared" si="26"/>
        <v>547.9</v>
      </c>
      <c r="AJ228" s="28">
        <f t="shared" si="27"/>
        <v>275.7</v>
      </c>
      <c r="AK228" s="28">
        <f t="shared" si="28"/>
        <v>287.29999999999995</v>
      </c>
      <c r="AL228" s="28">
        <f t="shared" si="29"/>
        <v>1977.7000000000003</v>
      </c>
      <c r="AM228" s="28">
        <f t="shared" si="30"/>
        <v>136.97499999999999</v>
      </c>
      <c r="AN228" s="28">
        <f t="shared" si="31"/>
        <v>143.64999999999998</v>
      </c>
      <c r="AO228" s="29">
        <v>141.26428571428573</v>
      </c>
    </row>
    <row r="229" spans="1:41" x14ac:dyDescent="0.3">
      <c r="A229" s="27" t="s">
        <v>3</v>
      </c>
      <c r="B229" s="20">
        <v>2019</v>
      </c>
      <c r="C229" s="20" t="s">
        <v>7</v>
      </c>
      <c r="D229" s="21" t="str">
        <f t="shared" si="24"/>
        <v>May-19</v>
      </c>
      <c r="E229" s="33">
        <v>43586</v>
      </c>
      <c r="F229" s="20" t="s">
        <v>84</v>
      </c>
      <c r="G229" s="20">
        <v>138.30000000000001</v>
      </c>
      <c r="H229" s="20">
        <v>158.5</v>
      </c>
      <c r="I229" s="20">
        <v>136</v>
      </c>
      <c r="J229" s="20">
        <v>142.5</v>
      </c>
      <c r="K229" s="20">
        <v>122</v>
      </c>
      <c r="L229" s="20">
        <v>146.5</v>
      </c>
      <c r="M229" s="20">
        <v>143</v>
      </c>
      <c r="N229" s="20">
        <v>124.9</v>
      </c>
      <c r="O229" s="20">
        <v>109.9</v>
      </c>
      <c r="P229" s="20">
        <v>139.9</v>
      </c>
      <c r="Q229" s="20">
        <v>134</v>
      </c>
      <c r="R229" s="20">
        <v>155.5</v>
      </c>
      <c r="S229" s="20">
        <v>140.9</v>
      </c>
      <c r="T229" s="20">
        <v>164.1</v>
      </c>
      <c r="U229" s="20">
        <v>148.4</v>
      </c>
      <c r="V229" s="20">
        <v>140.4</v>
      </c>
      <c r="W229" s="20">
        <v>147.30000000000001</v>
      </c>
      <c r="X229" s="20">
        <v>150.1</v>
      </c>
      <c r="Y229" s="20">
        <v>140.30000000000001</v>
      </c>
      <c r="Z229" s="20">
        <v>143.69999999999999</v>
      </c>
      <c r="AA229" s="20">
        <v>146.9</v>
      </c>
      <c r="AB229" s="20">
        <v>124.9</v>
      </c>
      <c r="AC229" s="20">
        <v>139.19999999999999</v>
      </c>
      <c r="AD229" s="20">
        <v>151.6</v>
      </c>
      <c r="AE229" s="20">
        <v>133.4</v>
      </c>
      <c r="AF229" s="20">
        <v>138.19999999999999</v>
      </c>
      <c r="AG229" s="20">
        <v>142</v>
      </c>
      <c r="AH229" s="28">
        <f t="shared" si="25"/>
        <v>3513.1000000000004</v>
      </c>
      <c r="AI229" s="28">
        <f t="shared" si="26"/>
        <v>562.40000000000009</v>
      </c>
      <c r="AJ229" s="28">
        <f t="shared" si="27"/>
        <v>288.8</v>
      </c>
      <c r="AK229" s="28">
        <f t="shared" si="28"/>
        <v>293.79999999999995</v>
      </c>
      <c r="AL229" s="28">
        <f t="shared" si="29"/>
        <v>1956.0000000000002</v>
      </c>
      <c r="AM229" s="28">
        <f t="shared" si="30"/>
        <v>140.60000000000002</v>
      </c>
      <c r="AN229" s="28">
        <f t="shared" si="31"/>
        <v>146.89999999999998</v>
      </c>
      <c r="AO229" s="31">
        <v>139.71428571428572</v>
      </c>
    </row>
    <row r="230" spans="1:41" x14ac:dyDescent="0.3">
      <c r="A230" s="26" t="s">
        <v>0</v>
      </c>
      <c r="B230" s="21">
        <v>2019</v>
      </c>
      <c r="C230" s="21" t="s">
        <v>8</v>
      </c>
      <c r="D230" s="21" t="str">
        <f t="shared" si="24"/>
        <v>Jun-19</v>
      </c>
      <c r="E230" s="32">
        <v>43617</v>
      </c>
      <c r="F230" s="21" t="s">
        <v>84</v>
      </c>
      <c r="G230" s="21">
        <v>137.80000000000001</v>
      </c>
      <c r="H230" s="21">
        <v>163.5</v>
      </c>
      <c r="I230" s="21">
        <v>136.19999999999999</v>
      </c>
      <c r="J230" s="21">
        <v>143.19999999999999</v>
      </c>
      <c r="K230" s="21">
        <v>124.3</v>
      </c>
      <c r="L230" s="21">
        <v>143.30000000000001</v>
      </c>
      <c r="M230" s="21">
        <v>140.6</v>
      </c>
      <c r="N230" s="21">
        <v>128.69999999999999</v>
      </c>
      <c r="O230" s="21">
        <v>110.6</v>
      </c>
      <c r="P230" s="21">
        <v>140.4</v>
      </c>
      <c r="Q230" s="21">
        <v>138</v>
      </c>
      <c r="R230" s="21">
        <v>156.6</v>
      </c>
      <c r="S230" s="21">
        <v>141</v>
      </c>
      <c r="T230" s="21">
        <v>164.2</v>
      </c>
      <c r="U230" s="21">
        <v>151.4</v>
      </c>
      <c r="V230" s="21">
        <v>146.5</v>
      </c>
      <c r="W230" s="21">
        <v>150.69999999999999</v>
      </c>
      <c r="X230" s="28">
        <f>'Handle missing value sheet only'!$C$1</f>
        <v>139.27096774193564</v>
      </c>
      <c r="Y230" s="21">
        <v>147.80000000000001</v>
      </c>
      <c r="Z230" s="21">
        <v>149.6</v>
      </c>
      <c r="AA230" s="21">
        <v>151.69999999999999</v>
      </c>
      <c r="AB230" s="21">
        <v>130.19999999999999</v>
      </c>
      <c r="AC230" s="21">
        <v>146.4</v>
      </c>
      <c r="AD230" s="21">
        <v>157.69999999999999</v>
      </c>
      <c r="AE230" s="21">
        <v>134.80000000000001</v>
      </c>
      <c r="AF230" s="21">
        <v>143.30000000000001</v>
      </c>
      <c r="AG230" s="21">
        <v>143.6</v>
      </c>
      <c r="AH230" s="28">
        <f t="shared" si="25"/>
        <v>3567.070967741935</v>
      </c>
      <c r="AI230" s="28">
        <f t="shared" si="26"/>
        <v>582.20000000000005</v>
      </c>
      <c r="AJ230" s="28">
        <f t="shared" si="27"/>
        <v>297.89999999999998</v>
      </c>
      <c r="AK230" s="28">
        <f t="shared" si="28"/>
        <v>288.8709677419356</v>
      </c>
      <c r="AL230" s="28">
        <f t="shared" si="29"/>
        <v>1968.3999999999999</v>
      </c>
      <c r="AM230" s="28">
        <f t="shared" si="30"/>
        <v>145.55000000000001</v>
      </c>
      <c r="AN230" s="28">
        <f t="shared" si="31"/>
        <v>144.4354838709678</v>
      </c>
      <c r="AO230" s="29">
        <v>140.6</v>
      </c>
    </row>
    <row r="231" spans="1:41" x14ac:dyDescent="0.3">
      <c r="A231" s="27" t="s">
        <v>2</v>
      </c>
      <c r="B231" s="20">
        <v>2019</v>
      </c>
      <c r="C231" s="20" t="s">
        <v>8</v>
      </c>
      <c r="D231" s="21" t="str">
        <f t="shared" si="24"/>
        <v>Jun-19</v>
      </c>
      <c r="E231" s="33">
        <v>43617</v>
      </c>
      <c r="F231" s="20" t="s">
        <v>84</v>
      </c>
      <c r="G231" s="20">
        <v>140.69999999999999</v>
      </c>
      <c r="H231" s="20">
        <v>159.6</v>
      </c>
      <c r="I231" s="20">
        <v>140.4</v>
      </c>
      <c r="J231" s="20">
        <v>143.4</v>
      </c>
      <c r="K231" s="20">
        <v>118.6</v>
      </c>
      <c r="L231" s="20">
        <v>150.9</v>
      </c>
      <c r="M231" s="20">
        <v>169.8</v>
      </c>
      <c r="N231" s="20">
        <v>127.4</v>
      </c>
      <c r="O231" s="20">
        <v>111.8</v>
      </c>
      <c r="P231" s="20">
        <v>141</v>
      </c>
      <c r="Q231" s="20">
        <v>129</v>
      </c>
      <c r="R231" s="20">
        <v>155.1</v>
      </c>
      <c r="S231" s="20">
        <v>145.6</v>
      </c>
      <c r="T231" s="20">
        <v>166.7</v>
      </c>
      <c r="U231" s="20">
        <v>144.30000000000001</v>
      </c>
      <c r="V231" s="20">
        <v>131.69999999999999</v>
      </c>
      <c r="W231" s="20">
        <v>142.4</v>
      </c>
      <c r="X231" s="20">
        <v>149.4</v>
      </c>
      <c r="Y231" s="20">
        <v>130.5</v>
      </c>
      <c r="Z231" s="20">
        <v>137.4</v>
      </c>
      <c r="AA231" s="20">
        <v>140.30000000000001</v>
      </c>
      <c r="AB231" s="20">
        <v>119.6</v>
      </c>
      <c r="AC231" s="20">
        <v>134.30000000000001</v>
      </c>
      <c r="AD231" s="20">
        <v>148.9</v>
      </c>
      <c r="AE231" s="20">
        <v>133.69999999999999</v>
      </c>
      <c r="AF231" s="20">
        <v>133.6</v>
      </c>
      <c r="AG231" s="20">
        <v>142.1</v>
      </c>
      <c r="AH231" s="28">
        <f t="shared" si="25"/>
        <v>3503.7</v>
      </c>
      <c r="AI231" s="28">
        <f t="shared" si="26"/>
        <v>550.5</v>
      </c>
      <c r="AJ231" s="28">
        <f t="shared" si="27"/>
        <v>276</v>
      </c>
      <c r="AK231" s="28">
        <f t="shared" si="28"/>
        <v>286.8</v>
      </c>
      <c r="AL231" s="28">
        <f t="shared" si="29"/>
        <v>1999.9999999999998</v>
      </c>
      <c r="AM231" s="28">
        <f t="shared" si="30"/>
        <v>137.625</v>
      </c>
      <c r="AN231" s="28">
        <f t="shared" si="31"/>
        <v>143.4</v>
      </c>
      <c r="AO231" s="31">
        <v>142.85714285714283</v>
      </c>
    </row>
    <row r="232" spans="1:41" x14ac:dyDescent="0.3">
      <c r="A232" s="26" t="s">
        <v>3</v>
      </c>
      <c r="B232" s="21">
        <v>2019</v>
      </c>
      <c r="C232" s="21" t="s">
        <v>8</v>
      </c>
      <c r="D232" s="21" t="str">
        <f t="shared" si="24"/>
        <v>Jun-19</v>
      </c>
      <c r="E232" s="32">
        <v>43617</v>
      </c>
      <c r="F232" s="21" t="s">
        <v>84</v>
      </c>
      <c r="G232" s="21">
        <v>138.69999999999999</v>
      </c>
      <c r="H232" s="21">
        <v>162.1</v>
      </c>
      <c r="I232" s="21">
        <v>137.80000000000001</v>
      </c>
      <c r="J232" s="21">
        <v>143.30000000000001</v>
      </c>
      <c r="K232" s="21">
        <v>122.2</v>
      </c>
      <c r="L232" s="21">
        <v>146.80000000000001</v>
      </c>
      <c r="M232" s="21">
        <v>150.5</v>
      </c>
      <c r="N232" s="21">
        <v>128.30000000000001</v>
      </c>
      <c r="O232" s="21">
        <v>111</v>
      </c>
      <c r="P232" s="21">
        <v>140.6</v>
      </c>
      <c r="Q232" s="21">
        <v>134.19999999999999</v>
      </c>
      <c r="R232" s="21">
        <v>155.9</v>
      </c>
      <c r="S232" s="21">
        <v>142.69999999999999</v>
      </c>
      <c r="T232" s="21">
        <v>164.9</v>
      </c>
      <c r="U232" s="21">
        <v>148.6</v>
      </c>
      <c r="V232" s="21">
        <v>140.4</v>
      </c>
      <c r="W232" s="21">
        <v>147.4</v>
      </c>
      <c r="X232" s="21">
        <v>149.4</v>
      </c>
      <c r="Y232" s="21">
        <v>141.19999999999999</v>
      </c>
      <c r="Z232" s="21">
        <v>143.80000000000001</v>
      </c>
      <c r="AA232" s="21">
        <v>147.4</v>
      </c>
      <c r="AB232" s="21">
        <v>124.6</v>
      </c>
      <c r="AC232" s="21">
        <v>139.6</v>
      </c>
      <c r="AD232" s="21">
        <v>152.5</v>
      </c>
      <c r="AE232" s="21">
        <v>134.30000000000001</v>
      </c>
      <c r="AF232" s="21">
        <v>138.6</v>
      </c>
      <c r="AG232" s="21">
        <v>142.9</v>
      </c>
      <c r="AH232" s="28">
        <f t="shared" si="25"/>
        <v>3539.4</v>
      </c>
      <c r="AI232" s="28">
        <f t="shared" si="26"/>
        <v>565</v>
      </c>
      <c r="AJ232" s="28">
        <f t="shared" si="27"/>
        <v>289</v>
      </c>
      <c r="AK232" s="28">
        <f t="shared" si="28"/>
        <v>293.20000000000005</v>
      </c>
      <c r="AL232" s="28">
        <f t="shared" si="29"/>
        <v>1979.0000000000002</v>
      </c>
      <c r="AM232" s="28">
        <f t="shared" si="30"/>
        <v>141.25</v>
      </c>
      <c r="AN232" s="28">
        <f t="shared" si="31"/>
        <v>146.60000000000002</v>
      </c>
      <c r="AO232" s="29">
        <v>141.35714285714286</v>
      </c>
    </row>
    <row r="233" spans="1:41" x14ac:dyDescent="0.3">
      <c r="A233" s="27" t="s">
        <v>0</v>
      </c>
      <c r="B233" s="20">
        <v>2019</v>
      </c>
      <c r="C233" s="20" t="s">
        <v>9</v>
      </c>
      <c r="D233" s="21" t="str">
        <f t="shared" si="24"/>
        <v>Jul-19</v>
      </c>
      <c r="E233" s="33">
        <v>43647</v>
      </c>
      <c r="F233" s="20" t="s">
        <v>84</v>
      </c>
      <c r="G233" s="20">
        <v>138.4</v>
      </c>
      <c r="H233" s="20">
        <v>164</v>
      </c>
      <c r="I233" s="20">
        <v>138.4</v>
      </c>
      <c r="J233" s="20">
        <v>143.9</v>
      </c>
      <c r="K233" s="20">
        <v>124.4</v>
      </c>
      <c r="L233" s="20">
        <v>146.4</v>
      </c>
      <c r="M233" s="20">
        <v>150.1</v>
      </c>
      <c r="N233" s="20">
        <v>130.6</v>
      </c>
      <c r="O233" s="20">
        <v>110.8</v>
      </c>
      <c r="P233" s="20">
        <v>141.69999999999999</v>
      </c>
      <c r="Q233" s="20">
        <v>138.5</v>
      </c>
      <c r="R233" s="20">
        <v>156.69999999999999</v>
      </c>
      <c r="S233" s="20">
        <v>143</v>
      </c>
      <c r="T233" s="20">
        <v>164.5</v>
      </c>
      <c r="U233" s="20">
        <v>151.6</v>
      </c>
      <c r="V233" s="20">
        <v>146.6</v>
      </c>
      <c r="W233" s="20">
        <v>150.9</v>
      </c>
      <c r="X233" s="30">
        <f>'Handle missing value sheet only'!$C$1</f>
        <v>139.27096774193564</v>
      </c>
      <c r="Y233" s="20">
        <v>146.80000000000001</v>
      </c>
      <c r="Z233" s="20">
        <v>150</v>
      </c>
      <c r="AA233" s="20">
        <v>152.19999999999999</v>
      </c>
      <c r="AB233" s="20">
        <v>131.19999999999999</v>
      </c>
      <c r="AC233" s="20">
        <v>147.5</v>
      </c>
      <c r="AD233" s="20">
        <v>159.1</v>
      </c>
      <c r="AE233" s="20">
        <v>136.1</v>
      </c>
      <c r="AF233" s="20">
        <v>144.19999999999999</v>
      </c>
      <c r="AG233" s="20">
        <v>144.9</v>
      </c>
      <c r="AH233" s="28">
        <f t="shared" si="25"/>
        <v>3595.9709677419355</v>
      </c>
      <c r="AI233" s="28">
        <f t="shared" si="26"/>
        <v>586.9</v>
      </c>
      <c r="AJ233" s="28">
        <f t="shared" si="27"/>
        <v>298.2</v>
      </c>
      <c r="AK233" s="28">
        <f t="shared" si="28"/>
        <v>289.27096774193564</v>
      </c>
      <c r="AL233" s="28">
        <f t="shared" si="29"/>
        <v>1991.3999999999999</v>
      </c>
      <c r="AM233" s="28">
        <f t="shared" si="30"/>
        <v>146.72499999999999</v>
      </c>
      <c r="AN233" s="28">
        <f t="shared" si="31"/>
        <v>144.63548387096782</v>
      </c>
      <c r="AO233" s="31">
        <v>142.24285714285713</v>
      </c>
    </row>
    <row r="234" spans="1:41" x14ac:dyDescent="0.3">
      <c r="A234" s="26" t="s">
        <v>2</v>
      </c>
      <c r="B234" s="21">
        <v>2019</v>
      </c>
      <c r="C234" s="21" t="s">
        <v>9</v>
      </c>
      <c r="D234" s="21" t="str">
        <f t="shared" si="24"/>
        <v>Jul-19</v>
      </c>
      <c r="E234" s="32">
        <v>43647</v>
      </c>
      <c r="F234" s="21" t="s">
        <v>84</v>
      </c>
      <c r="G234" s="21">
        <v>141.4</v>
      </c>
      <c r="H234" s="21">
        <v>160.19999999999999</v>
      </c>
      <c r="I234" s="21">
        <v>142.5</v>
      </c>
      <c r="J234" s="21">
        <v>144.1</v>
      </c>
      <c r="K234" s="21">
        <v>119.3</v>
      </c>
      <c r="L234" s="21">
        <v>154.69999999999999</v>
      </c>
      <c r="M234" s="21">
        <v>180.1</v>
      </c>
      <c r="N234" s="21">
        <v>128.9</v>
      </c>
      <c r="O234" s="21">
        <v>111.8</v>
      </c>
      <c r="P234" s="21">
        <v>141.6</v>
      </c>
      <c r="Q234" s="21">
        <v>129.5</v>
      </c>
      <c r="R234" s="21">
        <v>155.6</v>
      </c>
      <c r="S234" s="21">
        <v>147.69999999999999</v>
      </c>
      <c r="T234" s="21">
        <v>167.2</v>
      </c>
      <c r="U234" s="21">
        <v>144.69999999999999</v>
      </c>
      <c r="V234" s="21">
        <v>131.9</v>
      </c>
      <c r="W234" s="21">
        <v>142.69999999999999</v>
      </c>
      <c r="X234" s="21">
        <v>150.6</v>
      </c>
      <c r="Y234" s="21">
        <v>127</v>
      </c>
      <c r="Z234" s="21">
        <v>137.69999999999999</v>
      </c>
      <c r="AA234" s="21">
        <v>140.80000000000001</v>
      </c>
      <c r="AB234" s="21">
        <v>120.6</v>
      </c>
      <c r="AC234" s="21">
        <v>135</v>
      </c>
      <c r="AD234" s="21">
        <v>150.4</v>
      </c>
      <c r="AE234" s="21">
        <v>135.1</v>
      </c>
      <c r="AF234" s="21">
        <v>134.5</v>
      </c>
      <c r="AG234" s="21">
        <v>143.30000000000001</v>
      </c>
      <c r="AH234" s="28">
        <f t="shared" si="25"/>
        <v>3532.8999999999996</v>
      </c>
      <c r="AI234" s="28">
        <f t="shared" si="26"/>
        <v>555</v>
      </c>
      <c r="AJ234" s="28">
        <f t="shared" si="27"/>
        <v>276.60000000000002</v>
      </c>
      <c r="AK234" s="28">
        <f t="shared" si="28"/>
        <v>288.29999999999995</v>
      </c>
      <c r="AL234" s="28">
        <f t="shared" si="29"/>
        <v>2024.6</v>
      </c>
      <c r="AM234" s="28">
        <f t="shared" si="30"/>
        <v>138.75</v>
      </c>
      <c r="AN234" s="28">
        <f t="shared" si="31"/>
        <v>144.14999999999998</v>
      </c>
      <c r="AO234" s="29">
        <v>144.6142857142857</v>
      </c>
    </row>
    <row r="235" spans="1:41" x14ac:dyDescent="0.3">
      <c r="A235" s="27" t="s">
        <v>3</v>
      </c>
      <c r="B235" s="20">
        <v>2019</v>
      </c>
      <c r="C235" s="20" t="s">
        <v>9</v>
      </c>
      <c r="D235" s="21" t="str">
        <f t="shared" si="24"/>
        <v>Jul-19</v>
      </c>
      <c r="E235" s="33">
        <v>43647</v>
      </c>
      <c r="F235" s="20" t="s">
        <v>84</v>
      </c>
      <c r="G235" s="20">
        <v>139.30000000000001</v>
      </c>
      <c r="H235" s="20">
        <v>162.69999999999999</v>
      </c>
      <c r="I235" s="20">
        <v>140</v>
      </c>
      <c r="J235" s="20">
        <v>144</v>
      </c>
      <c r="K235" s="20">
        <v>122.5</v>
      </c>
      <c r="L235" s="20">
        <v>150.30000000000001</v>
      </c>
      <c r="M235" s="20">
        <v>160.30000000000001</v>
      </c>
      <c r="N235" s="20">
        <v>130</v>
      </c>
      <c r="O235" s="20">
        <v>111.1</v>
      </c>
      <c r="P235" s="20">
        <v>141.69999999999999</v>
      </c>
      <c r="Q235" s="20">
        <v>134.69999999999999</v>
      </c>
      <c r="R235" s="20">
        <v>156.19999999999999</v>
      </c>
      <c r="S235" s="20">
        <v>144.69999999999999</v>
      </c>
      <c r="T235" s="20">
        <v>165.2</v>
      </c>
      <c r="U235" s="20">
        <v>148.9</v>
      </c>
      <c r="V235" s="20">
        <v>140.5</v>
      </c>
      <c r="W235" s="20">
        <v>147.6</v>
      </c>
      <c r="X235" s="20">
        <v>150.6</v>
      </c>
      <c r="Y235" s="20">
        <v>139.30000000000001</v>
      </c>
      <c r="Z235" s="20">
        <v>144.19999999999999</v>
      </c>
      <c r="AA235" s="20">
        <v>147.9</v>
      </c>
      <c r="AB235" s="20">
        <v>125.6</v>
      </c>
      <c r="AC235" s="20">
        <v>140.5</v>
      </c>
      <c r="AD235" s="20">
        <v>154</v>
      </c>
      <c r="AE235" s="20">
        <v>135.69999999999999</v>
      </c>
      <c r="AF235" s="20">
        <v>139.5</v>
      </c>
      <c r="AG235" s="20">
        <v>144.19999999999999</v>
      </c>
      <c r="AH235" s="28">
        <f t="shared" si="25"/>
        <v>3569.3999999999992</v>
      </c>
      <c r="AI235" s="28">
        <f t="shared" si="26"/>
        <v>569.70000000000005</v>
      </c>
      <c r="AJ235" s="28">
        <f t="shared" si="27"/>
        <v>289.39999999999998</v>
      </c>
      <c r="AK235" s="28">
        <f t="shared" si="28"/>
        <v>294.79999999999995</v>
      </c>
      <c r="AL235" s="28">
        <f t="shared" si="29"/>
        <v>2002.7</v>
      </c>
      <c r="AM235" s="28">
        <f t="shared" si="30"/>
        <v>142.42500000000001</v>
      </c>
      <c r="AN235" s="28">
        <f t="shared" si="31"/>
        <v>147.39999999999998</v>
      </c>
      <c r="AO235" s="31">
        <v>143.05000000000001</v>
      </c>
    </row>
    <row r="236" spans="1:41" x14ac:dyDescent="0.3">
      <c r="A236" s="26" t="s">
        <v>0</v>
      </c>
      <c r="B236" s="21">
        <v>2019</v>
      </c>
      <c r="C236" s="21" t="s">
        <v>10</v>
      </c>
      <c r="D236" s="21" t="str">
        <f t="shared" si="24"/>
        <v>Aug-19</v>
      </c>
      <c r="E236" s="32">
        <v>43678</v>
      </c>
      <c r="F236" s="21" t="s">
        <v>84</v>
      </c>
      <c r="G236" s="21">
        <v>139.19999999999999</v>
      </c>
      <c r="H236" s="21">
        <v>161.9</v>
      </c>
      <c r="I236" s="21">
        <v>137.1</v>
      </c>
      <c r="J236" s="21">
        <v>144.6</v>
      </c>
      <c r="K236" s="21">
        <v>124.7</v>
      </c>
      <c r="L236" s="21">
        <v>145.5</v>
      </c>
      <c r="M236" s="21">
        <v>156.19999999999999</v>
      </c>
      <c r="N236" s="21">
        <v>131.5</v>
      </c>
      <c r="O236" s="21">
        <v>111.7</v>
      </c>
      <c r="P236" s="21">
        <v>142.69999999999999</v>
      </c>
      <c r="Q236" s="21">
        <v>138.5</v>
      </c>
      <c r="R236" s="21">
        <v>156.9</v>
      </c>
      <c r="S236" s="21">
        <v>144</v>
      </c>
      <c r="T236" s="21">
        <v>165.1</v>
      </c>
      <c r="U236" s="21">
        <v>151.80000000000001</v>
      </c>
      <c r="V236" s="21">
        <v>146.6</v>
      </c>
      <c r="W236" s="21">
        <v>151.1</v>
      </c>
      <c r="X236" s="28">
        <f>'Handle missing value sheet only'!$C$1</f>
        <v>139.27096774193564</v>
      </c>
      <c r="Y236" s="21">
        <v>146.4</v>
      </c>
      <c r="Z236" s="21">
        <v>150.19999999999999</v>
      </c>
      <c r="AA236" s="21">
        <v>152.69999999999999</v>
      </c>
      <c r="AB236" s="21">
        <v>131.4</v>
      </c>
      <c r="AC236" s="21">
        <v>148</v>
      </c>
      <c r="AD236" s="21">
        <v>159.69999999999999</v>
      </c>
      <c r="AE236" s="21">
        <v>138.80000000000001</v>
      </c>
      <c r="AF236" s="21">
        <v>144.9</v>
      </c>
      <c r="AG236" s="21">
        <v>145.69999999999999</v>
      </c>
      <c r="AH236" s="28">
        <f t="shared" si="25"/>
        <v>3609.3709677419351</v>
      </c>
      <c r="AI236" s="28">
        <f t="shared" si="26"/>
        <v>591.40000000000009</v>
      </c>
      <c r="AJ236" s="28">
        <f t="shared" si="27"/>
        <v>298.39999999999998</v>
      </c>
      <c r="AK236" s="28">
        <f t="shared" si="28"/>
        <v>289.47096774193562</v>
      </c>
      <c r="AL236" s="28">
        <f t="shared" si="29"/>
        <v>1999.6000000000001</v>
      </c>
      <c r="AM236" s="28">
        <f t="shared" si="30"/>
        <v>147.85000000000002</v>
      </c>
      <c r="AN236" s="28">
        <f t="shared" si="31"/>
        <v>144.73548387096781</v>
      </c>
      <c r="AO236" s="29">
        <v>142.82857142857145</v>
      </c>
    </row>
    <row r="237" spans="1:41" x14ac:dyDescent="0.3">
      <c r="A237" s="27" t="s">
        <v>2</v>
      </c>
      <c r="B237" s="20">
        <v>2019</v>
      </c>
      <c r="C237" s="20" t="s">
        <v>10</v>
      </c>
      <c r="D237" s="21" t="str">
        <f t="shared" si="24"/>
        <v>Aug-19</v>
      </c>
      <c r="E237" s="33">
        <v>43678</v>
      </c>
      <c r="F237" s="20" t="s">
        <v>84</v>
      </c>
      <c r="G237" s="20">
        <v>142.1</v>
      </c>
      <c r="H237" s="20">
        <v>158.30000000000001</v>
      </c>
      <c r="I237" s="20">
        <v>140.80000000000001</v>
      </c>
      <c r="J237" s="20">
        <v>144.9</v>
      </c>
      <c r="K237" s="20">
        <v>119.9</v>
      </c>
      <c r="L237" s="20">
        <v>153.9</v>
      </c>
      <c r="M237" s="20">
        <v>189.1</v>
      </c>
      <c r="N237" s="20">
        <v>129.80000000000001</v>
      </c>
      <c r="O237" s="20">
        <v>112.7</v>
      </c>
      <c r="P237" s="20">
        <v>142.5</v>
      </c>
      <c r="Q237" s="20">
        <v>129.80000000000001</v>
      </c>
      <c r="R237" s="20">
        <v>156.19999999999999</v>
      </c>
      <c r="S237" s="20">
        <v>149.1</v>
      </c>
      <c r="T237" s="20">
        <v>167.9</v>
      </c>
      <c r="U237" s="20">
        <v>145</v>
      </c>
      <c r="V237" s="20">
        <v>132.19999999999999</v>
      </c>
      <c r="W237" s="20">
        <v>143</v>
      </c>
      <c r="X237" s="20">
        <v>151.6</v>
      </c>
      <c r="Y237" s="20">
        <v>125.5</v>
      </c>
      <c r="Z237" s="20">
        <v>138.1</v>
      </c>
      <c r="AA237" s="20">
        <v>141.5</v>
      </c>
      <c r="AB237" s="20">
        <v>120.8</v>
      </c>
      <c r="AC237" s="20">
        <v>135.4</v>
      </c>
      <c r="AD237" s="20">
        <v>151.5</v>
      </c>
      <c r="AE237" s="20">
        <v>137.80000000000001</v>
      </c>
      <c r="AF237" s="20">
        <v>135.30000000000001</v>
      </c>
      <c r="AG237" s="20">
        <v>144.19999999999999</v>
      </c>
      <c r="AH237" s="28">
        <f t="shared" si="25"/>
        <v>3551.7</v>
      </c>
      <c r="AI237" s="28">
        <f t="shared" si="26"/>
        <v>560</v>
      </c>
      <c r="AJ237" s="28">
        <f t="shared" si="27"/>
        <v>277.2</v>
      </c>
      <c r="AK237" s="28">
        <f t="shared" si="28"/>
        <v>289.7</v>
      </c>
      <c r="AL237" s="28">
        <f t="shared" si="29"/>
        <v>2037</v>
      </c>
      <c r="AM237" s="28">
        <f t="shared" si="30"/>
        <v>140</v>
      </c>
      <c r="AN237" s="28">
        <f t="shared" si="31"/>
        <v>144.85</v>
      </c>
      <c r="AO237" s="31">
        <v>145.5</v>
      </c>
    </row>
    <row r="238" spans="1:41" x14ac:dyDescent="0.3">
      <c r="A238" s="26" t="s">
        <v>3</v>
      </c>
      <c r="B238" s="21">
        <v>2019</v>
      </c>
      <c r="C238" s="21" t="s">
        <v>10</v>
      </c>
      <c r="D238" s="21" t="str">
        <f t="shared" si="24"/>
        <v>Aug-19</v>
      </c>
      <c r="E238" s="32">
        <v>43678</v>
      </c>
      <c r="F238" s="21" t="s">
        <v>84</v>
      </c>
      <c r="G238" s="21">
        <v>140.1</v>
      </c>
      <c r="H238" s="21">
        <v>160.6</v>
      </c>
      <c r="I238" s="21">
        <v>138.5</v>
      </c>
      <c r="J238" s="21">
        <v>144.69999999999999</v>
      </c>
      <c r="K238" s="21">
        <v>122.9</v>
      </c>
      <c r="L238" s="21">
        <v>149.4</v>
      </c>
      <c r="M238" s="21">
        <v>167.4</v>
      </c>
      <c r="N238" s="21">
        <v>130.9</v>
      </c>
      <c r="O238" s="21">
        <v>112</v>
      </c>
      <c r="P238" s="21">
        <v>142.6</v>
      </c>
      <c r="Q238" s="21">
        <v>134.9</v>
      </c>
      <c r="R238" s="21">
        <v>156.6</v>
      </c>
      <c r="S238" s="21">
        <v>145.9</v>
      </c>
      <c r="T238" s="21">
        <v>165.8</v>
      </c>
      <c r="U238" s="21">
        <v>149.1</v>
      </c>
      <c r="V238" s="21">
        <v>140.6</v>
      </c>
      <c r="W238" s="21">
        <v>147.9</v>
      </c>
      <c r="X238" s="21">
        <v>151.6</v>
      </c>
      <c r="Y238" s="21">
        <v>138.5</v>
      </c>
      <c r="Z238" s="21">
        <v>144.5</v>
      </c>
      <c r="AA238" s="21">
        <v>148.5</v>
      </c>
      <c r="AB238" s="21">
        <v>125.8</v>
      </c>
      <c r="AC238" s="21">
        <v>140.9</v>
      </c>
      <c r="AD238" s="21">
        <v>154.9</v>
      </c>
      <c r="AE238" s="21">
        <v>138.4</v>
      </c>
      <c r="AF238" s="21">
        <v>140.19999999999999</v>
      </c>
      <c r="AG238" s="21">
        <v>145</v>
      </c>
      <c r="AH238" s="28">
        <f t="shared" si="25"/>
        <v>3585.3</v>
      </c>
      <c r="AI238" s="28">
        <f t="shared" si="26"/>
        <v>574.4</v>
      </c>
      <c r="AJ238" s="28">
        <f t="shared" si="27"/>
        <v>289.7</v>
      </c>
      <c r="AK238" s="28">
        <f t="shared" si="28"/>
        <v>296.10000000000002</v>
      </c>
      <c r="AL238" s="28">
        <f t="shared" si="29"/>
        <v>2012.3</v>
      </c>
      <c r="AM238" s="28">
        <f t="shared" si="30"/>
        <v>143.6</v>
      </c>
      <c r="AN238" s="28">
        <f t="shared" si="31"/>
        <v>148.05000000000001</v>
      </c>
      <c r="AO238" s="29">
        <v>143.73571428571429</v>
      </c>
    </row>
    <row r="239" spans="1:41" x14ac:dyDescent="0.3">
      <c r="A239" s="27" t="s">
        <v>0</v>
      </c>
      <c r="B239" s="20">
        <v>2019</v>
      </c>
      <c r="C239" s="20" t="s">
        <v>11</v>
      </c>
      <c r="D239" s="21" t="str">
        <f t="shared" si="24"/>
        <v>Sep-19</v>
      </c>
      <c r="E239" s="33">
        <v>43709</v>
      </c>
      <c r="F239" s="20" t="s">
        <v>84</v>
      </c>
      <c r="G239" s="20">
        <v>140.1</v>
      </c>
      <c r="H239" s="20">
        <v>161.9</v>
      </c>
      <c r="I239" s="20">
        <v>138.30000000000001</v>
      </c>
      <c r="J239" s="20">
        <v>145.69999999999999</v>
      </c>
      <c r="K239" s="20">
        <v>125.1</v>
      </c>
      <c r="L239" s="20">
        <v>143.80000000000001</v>
      </c>
      <c r="M239" s="20">
        <v>163.4</v>
      </c>
      <c r="N239" s="20">
        <v>132.19999999999999</v>
      </c>
      <c r="O239" s="20">
        <v>112.8</v>
      </c>
      <c r="P239" s="20">
        <v>144.19999999999999</v>
      </c>
      <c r="Q239" s="20">
        <v>138.5</v>
      </c>
      <c r="R239" s="20">
        <v>157.19999999999999</v>
      </c>
      <c r="S239" s="20">
        <v>145.5</v>
      </c>
      <c r="T239" s="20">
        <v>165.7</v>
      </c>
      <c r="U239" s="20">
        <v>151.69999999999999</v>
      </c>
      <c r="V239" s="20">
        <v>146.6</v>
      </c>
      <c r="W239" s="20">
        <v>151</v>
      </c>
      <c r="X239" s="30">
        <f>'Handle missing value sheet only'!$C$1</f>
        <v>139.27096774193564</v>
      </c>
      <c r="Y239" s="20">
        <v>146.9</v>
      </c>
      <c r="Z239" s="20">
        <v>150.30000000000001</v>
      </c>
      <c r="AA239" s="20">
        <v>153.4</v>
      </c>
      <c r="AB239" s="20">
        <v>131.6</v>
      </c>
      <c r="AC239" s="20">
        <v>148.30000000000001</v>
      </c>
      <c r="AD239" s="20">
        <v>160.19999999999999</v>
      </c>
      <c r="AE239" s="20">
        <v>140.19999999999999</v>
      </c>
      <c r="AF239" s="20">
        <v>145.4</v>
      </c>
      <c r="AG239" s="20">
        <v>146.69999999999999</v>
      </c>
      <c r="AH239" s="28">
        <f t="shared" si="25"/>
        <v>3628.2709677419352</v>
      </c>
      <c r="AI239" s="28">
        <f t="shared" si="26"/>
        <v>594.1</v>
      </c>
      <c r="AJ239" s="28">
        <f t="shared" si="27"/>
        <v>298.29999999999995</v>
      </c>
      <c r="AK239" s="28">
        <f t="shared" si="28"/>
        <v>289.57096774193565</v>
      </c>
      <c r="AL239" s="28">
        <f t="shared" si="29"/>
        <v>2014.4</v>
      </c>
      <c r="AM239" s="28">
        <f t="shared" si="30"/>
        <v>148.52500000000001</v>
      </c>
      <c r="AN239" s="28">
        <f t="shared" si="31"/>
        <v>144.78548387096782</v>
      </c>
      <c r="AO239" s="31">
        <v>143.8857142857143</v>
      </c>
    </row>
    <row r="240" spans="1:41" x14ac:dyDescent="0.3">
      <c r="A240" s="26" t="s">
        <v>2</v>
      </c>
      <c r="B240" s="21">
        <v>2019</v>
      </c>
      <c r="C240" s="21" t="s">
        <v>11</v>
      </c>
      <c r="D240" s="21" t="str">
        <f t="shared" si="24"/>
        <v>Sep-19</v>
      </c>
      <c r="E240" s="32">
        <v>43709</v>
      </c>
      <c r="F240" s="21" t="s">
        <v>84</v>
      </c>
      <c r="G240" s="21">
        <v>142.69999999999999</v>
      </c>
      <c r="H240" s="21">
        <v>158.69999999999999</v>
      </c>
      <c r="I240" s="21">
        <v>141.6</v>
      </c>
      <c r="J240" s="21">
        <v>144.9</v>
      </c>
      <c r="K240" s="21">
        <v>120.8</v>
      </c>
      <c r="L240" s="21">
        <v>149.80000000000001</v>
      </c>
      <c r="M240" s="21">
        <v>192.4</v>
      </c>
      <c r="N240" s="21">
        <v>130.30000000000001</v>
      </c>
      <c r="O240" s="21">
        <v>114</v>
      </c>
      <c r="P240" s="21">
        <v>143.80000000000001</v>
      </c>
      <c r="Q240" s="21">
        <v>130</v>
      </c>
      <c r="R240" s="21">
        <v>156.4</v>
      </c>
      <c r="S240" s="21">
        <v>149.5</v>
      </c>
      <c r="T240" s="21">
        <v>168.6</v>
      </c>
      <c r="U240" s="21">
        <v>145.30000000000001</v>
      </c>
      <c r="V240" s="21">
        <v>132.19999999999999</v>
      </c>
      <c r="W240" s="21">
        <v>143.30000000000001</v>
      </c>
      <c r="X240" s="21">
        <v>152.19999999999999</v>
      </c>
      <c r="Y240" s="21">
        <v>126.6</v>
      </c>
      <c r="Z240" s="21">
        <v>138.30000000000001</v>
      </c>
      <c r="AA240" s="21">
        <v>141.9</v>
      </c>
      <c r="AB240" s="21">
        <v>121.2</v>
      </c>
      <c r="AC240" s="21">
        <v>135.9</v>
      </c>
      <c r="AD240" s="21">
        <v>151.6</v>
      </c>
      <c r="AE240" s="21">
        <v>139</v>
      </c>
      <c r="AF240" s="21">
        <v>135.69999999999999</v>
      </c>
      <c r="AG240" s="21">
        <v>144.69999999999999</v>
      </c>
      <c r="AH240" s="28">
        <f t="shared" si="25"/>
        <v>3563.4000000000005</v>
      </c>
      <c r="AI240" s="28">
        <f t="shared" si="26"/>
        <v>562.19999999999993</v>
      </c>
      <c r="AJ240" s="28">
        <f t="shared" si="27"/>
        <v>277.5</v>
      </c>
      <c r="AK240" s="28">
        <f t="shared" si="28"/>
        <v>290.5</v>
      </c>
      <c r="AL240" s="28">
        <f t="shared" si="29"/>
        <v>2043.5</v>
      </c>
      <c r="AM240" s="28">
        <f t="shared" si="30"/>
        <v>140.54999999999998</v>
      </c>
      <c r="AN240" s="28">
        <f t="shared" si="31"/>
        <v>145.25</v>
      </c>
      <c r="AO240" s="29">
        <v>145.96428571428572</v>
      </c>
    </row>
    <row r="241" spans="1:41" x14ac:dyDescent="0.3">
      <c r="A241" s="27" t="s">
        <v>3</v>
      </c>
      <c r="B241" s="20">
        <v>2019</v>
      </c>
      <c r="C241" s="20" t="s">
        <v>11</v>
      </c>
      <c r="D241" s="21" t="str">
        <f t="shared" si="24"/>
        <v>Sep-19</v>
      </c>
      <c r="E241" s="33">
        <v>43709</v>
      </c>
      <c r="F241" s="20" t="s">
        <v>84</v>
      </c>
      <c r="G241" s="20">
        <v>140.9</v>
      </c>
      <c r="H241" s="20">
        <v>160.80000000000001</v>
      </c>
      <c r="I241" s="20">
        <v>139.6</v>
      </c>
      <c r="J241" s="20">
        <v>145.4</v>
      </c>
      <c r="K241" s="20">
        <v>123.5</v>
      </c>
      <c r="L241" s="20">
        <v>146.6</v>
      </c>
      <c r="M241" s="20">
        <v>173.2</v>
      </c>
      <c r="N241" s="20">
        <v>131.6</v>
      </c>
      <c r="O241" s="20">
        <v>113.2</v>
      </c>
      <c r="P241" s="20">
        <v>144.1</v>
      </c>
      <c r="Q241" s="20">
        <v>135</v>
      </c>
      <c r="R241" s="20">
        <v>156.80000000000001</v>
      </c>
      <c r="S241" s="20">
        <v>147</v>
      </c>
      <c r="T241" s="20">
        <v>166.5</v>
      </c>
      <c r="U241" s="20">
        <v>149.19999999999999</v>
      </c>
      <c r="V241" s="20">
        <v>140.6</v>
      </c>
      <c r="W241" s="20">
        <v>147.9</v>
      </c>
      <c r="X241" s="20">
        <v>152.19999999999999</v>
      </c>
      <c r="Y241" s="20">
        <v>139.19999999999999</v>
      </c>
      <c r="Z241" s="20">
        <v>144.6</v>
      </c>
      <c r="AA241" s="20">
        <v>149</v>
      </c>
      <c r="AB241" s="20">
        <v>126.1</v>
      </c>
      <c r="AC241" s="20">
        <v>141.30000000000001</v>
      </c>
      <c r="AD241" s="20">
        <v>155.19999999999999</v>
      </c>
      <c r="AE241" s="20">
        <v>139.69999999999999</v>
      </c>
      <c r="AF241" s="20">
        <v>140.69999999999999</v>
      </c>
      <c r="AG241" s="20">
        <v>145.80000000000001</v>
      </c>
      <c r="AH241" s="28">
        <f t="shared" si="25"/>
        <v>3601.9999999999995</v>
      </c>
      <c r="AI241" s="28">
        <f t="shared" si="26"/>
        <v>576.9</v>
      </c>
      <c r="AJ241" s="28">
        <f t="shared" si="27"/>
        <v>289.79999999999995</v>
      </c>
      <c r="AK241" s="28">
        <f t="shared" si="28"/>
        <v>296.79999999999995</v>
      </c>
      <c r="AL241" s="28">
        <f t="shared" si="29"/>
        <v>2024.1999999999998</v>
      </c>
      <c r="AM241" s="28">
        <f t="shared" si="30"/>
        <v>144.22499999999999</v>
      </c>
      <c r="AN241" s="28">
        <f t="shared" si="31"/>
        <v>148.39999999999998</v>
      </c>
      <c r="AO241" s="31">
        <v>144.58571428571426</v>
      </c>
    </row>
    <row r="242" spans="1:41" x14ac:dyDescent="0.3">
      <c r="A242" s="26" t="s">
        <v>0</v>
      </c>
      <c r="B242" s="21">
        <v>2019</v>
      </c>
      <c r="C242" s="21" t="s">
        <v>12</v>
      </c>
      <c r="D242" s="21" t="str">
        <f t="shared" si="24"/>
        <v>Oct-19</v>
      </c>
      <c r="E242" s="32">
        <v>43739</v>
      </c>
      <c r="F242" s="21" t="s">
        <v>84</v>
      </c>
      <c r="G242" s="21">
        <v>141</v>
      </c>
      <c r="H242" s="21">
        <v>161.6</v>
      </c>
      <c r="I242" s="21">
        <v>141.19999999999999</v>
      </c>
      <c r="J242" s="21">
        <v>146.5</v>
      </c>
      <c r="K242" s="21">
        <v>125.6</v>
      </c>
      <c r="L242" s="21">
        <v>145.69999999999999</v>
      </c>
      <c r="M242" s="21">
        <v>178.8</v>
      </c>
      <c r="N242" s="21">
        <v>133.1</v>
      </c>
      <c r="O242" s="21">
        <v>113.6</v>
      </c>
      <c r="P242" s="21">
        <v>145.5</v>
      </c>
      <c r="Q242" s="21">
        <v>138.6</v>
      </c>
      <c r="R242" s="21">
        <v>157.4</v>
      </c>
      <c r="S242" s="21">
        <v>148.30000000000001</v>
      </c>
      <c r="T242" s="21">
        <v>166.3</v>
      </c>
      <c r="U242" s="21">
        <v>151.69999999999999</v>
      </c>
      <c r="V242" s="21">
        <v>146.69999999999999</v>
      </c>
      <c r="W242" s="21">
        <v>151</v>
      </c>
      <c r="X242" s="28">
        <f>'Handle missing value sheet only'!$C$1</f>
        <v>139.27096774193564</v>
      </c>
      <c r="Y242" s="21">
        <v>147.69999999999999</v>
      </c>
      <c r="Z242" s="21">
        <v>150.6</v>
      </c>
      <c r="AA242" s="21">
        <v>153.69999999999999</v>
      </c>
      <c r="AB242" s="21">
        <v>131.69999999999999</v>
      </c>
      <c r="AC242" s="21">
        <v>148.69999999999999</v>
      </c>
      <c r="AD242" s="21">
        <v>160.69999999999999</v>
      </c>
      <c r="AE242" s="21">
        <v>140.30000000000001</v>
      </c>
      <c r="AF242" s="21">
        <v>145.69999999999999</v>
      </c>
      <c r="AG242" s="21">
        <v>148.30000000000001</v>
      </c>
      <c r="AH242" s="28">
        <f t="shared" si="25"/>
        <v>3659.9709677419355</v>
      </c>
      <c r="AI242" s="28">
        <f t="shared" si="26"/>
        <v>595.4</v>
      </c>
      <c r="AJ242" s="28">
        <f t="shared" si="27"/>
        <v>298.39999999999998</v>
      </c>
      <c r="AK242" s="28">
        <f t="shared" si="28"/>
        <v>289.8709677419356</v>
      </c>
      <c r="AL242" s="28">
        <f t="shared" si="29"/>
        <v>2043.1999999999996</v>
      </c>
      <c r="AM242" s="28">
        <f t="shared" si="30"/>
        <v>148.85</v>
      </c>
      <c r="AN242" s="28">
        <f t="shared" si="31"/>
        <v>144.9354838709678</v>
      </c>
      <c r="AO242" s="29">
        <v>145.94285714285712</v>
      </c>
    </row>
    <row r="243" spans="1:41" x14ac:dyDescent="0.3">
      <c r="A243" s="27" t="s">
        <v>2</v>
      </c>
      <c r="B243" s="20">
        <v>2019</v>
      </c>
      <c r="C243" s="20" t="s">
        <v>12</v>
      </c>
      <c r="D243" s="21" t="str">
        <f t="shared" si="24"/>
        <v>Oct-19</v>
      </c>
      <c r="E243" s="33">
        <v>43739</v>
      </c>
      <c r="F243" s="20" t="s">
        <v>84</v>
      </c>
      <c r="G243" s="20">
        <v>143.5</v>
      </c>
      <c r="H243" s="20">
        <v>159.80000000000001</v>
      </c>
      <c r="I243" s="20">
        <v>144.69999999999999</v>
      </c>
      <c r="J243" s="20">
        <v>145.6</v>
      </c>
      <c r="K243" s="20">
        <v>121.1</v>
      </c>
      <c r="L243" s="20">
        <v>150.6</v>
      </c>
      <c r="M243" s="20">
        <v>207.2</v>
      </c>
      <c r="N243" s="20">
        <v>131.19999999999999</v>
      </c>
      <c r="O243" s="20">
        <v>114.8</v>
      </c>
      <c r="P243" s="20">
        <v>145.19999999999999</v>
      </c>
      <c r="Q243" s="20">
        <v>130.19999999999999</v>
      </c>
      <c r="R243" s="20">
        <v>156.80000000000001</v>
      </c>
      <c r="S243" s="20">
        <v>151.9</v>
      </c>
      <c r="T243" s="20">
        <v>169.3</v>
      </c>
      <c r="U243" s="20">
        <v>145.9</v>
      </c>
      <c r="V243" s="20">
        <v>132.4</v>
      </c>
      <c r="W243" s="20">
        <v>143.9</v>
      </c>
      <c r="X243" s="20">
        <v>153</v>
      </c>
      <c r="Y243" s="20">
        <v>128.9</v>
      </c>
      <c r="Z243" s="20">
        <v>138.69999999999999</v>
      </c>
      <c r="AA243" s="20">
        <v>142.4</v>
      </c>
      <c r="AB243" s="20">
        <v>121.5</v>
      </c>
      <c r="AC243" s="20">
        <v>136.19999999999999</v>
      </c>
      <c r="AD243" s="20">
        <v>151.69999999999999</v>
      </c>
      <c r="AE243" s="20">
        <v>139.5</v>
      </c>
      <c r="AF243" s="20">
        <v>136</v>
      </c>
      <c r="AG243" s="20">
        <v>146</v>
      </c>
      <c r="AH243" s="28">
        <f t="shared" si="25"/>
        <v>3598.1</v>
      </c>
      <c r="AI243" s="28">
        <f t="shared" si="26"/>
        <v>563.4</v>
      </c>
      <c r="AJ243" s="28">
        <f t="shared" si="27"/>
        <v>278.3</v>
      </c>
      <c r="AK243" s="28">
        <f t="shared" si="28"/>
        <v>291.7</v>
      </c>
      <c r="AL243" s="28">
        <f t="shared" si="29"/>
        <v>2071.9</v>
      </c>
      <c r="AM243" s="28">
        <f t="shared" si="30"/>
        <v>140.85</v>
      </c>
      <c r="AN243" s="28">
        <f t="shared" si="31"/>
        <v>145.85</v>
      </c>
      <c r="AO243" s="31">
        <v>147.99285714285716</v>
      </c>
    </row>
    <row r="244" spans="1:41" x14ac:dyDescent="0.3">
      <c r="A244" s="26" t="s">
        <v>3</v>
      </c>
      <c r="B244" s="21">
        <v>2019</v>
      </c>
      <c r="C244" s="21" t="s">
        <v>12</v>
      </c>
      <c r="D244" s="21" t="str">
        <f t="shared" si="24"/>
        <v>Oct-19</v>
      </c>
      <c r="E244" s="32">
        <v>43739</v>
      </c>
      <c r="F244" s="21" t="s">
        <v>84</v>
      </c>
      <c r="G244" s="21">
        <v>141.80000000000001</v>
      </c>
      <c r="H244" s="21">
        <v>161</v>
      </c>
      <c r="I244" s="21">
        <v>142.6</v>
      </c>
      <c r="J244" s="21">
        <v>146.19999999999999</v>
      </c>
      <c r="K244" s="21">
        <v>123.9</v>
      </c>
      <c r="L244" s="21">
        <v>148</v>
      </c>
      <c r="M244" s="21">
        <v>188.4</v>
      </c>
      <c r="N244" s="21">
        <v>132.5</v>
      </c>
      <c r="O244" s="21">
        <v>114</v>
      </c>
      <c r="P244" s="21">
        <v>145.4</v>
      </c>
      <c r="Q244" s="21">
        <v>135.1</v>
      </c>
      <c r="R244" s="21">
        <v>157.1</v>
      </c>
      <c r="S244" s="21">
        <v>149.6</v>
      </c>
      <c r="T244" s="21">
        <v>167.1</v>
      </c>
      <c r="U244" s="21">
        <v>149.4</v>
      </c>
      <c r="V244" s="21">
        <v>140.80000000000001</v>
      </c>
      <c r="W244" s="21">
        <v>148.19999999999999</v>
      </c>
      <c r="X244" s="21">
        <v>153</v>
      </c>
      <c r="Y244" s="21">
        <v>140.6</v>
      </c>
      <c r="Z244" s="21">
        <v>145</v>
      </c>
      <c r="AA244" s="21">
        <v>149.4</v>
      </c>
      <c r="AB244" s="21">
        <v>126.3</v>
      </c>
      <c r="AC244" s="21">
        <v>141.69999999999999</v>
      </c>
      <c r="AD244" s="21">
        <v>155.4</v>
      </c>
      <c r="AE244" s="21">
        <v>140</v>
      </c>
      <c r="AF244" s="21">
        <v>141</v>
      </c>
      <c r="AG244" s="21">
        <v>147.19999999999999</v>
      </c>
      <c r="AH244" s="28">
        <f t="shared" si="25"/>
        <v>3635.3</v>
      </c>
      <c r="AI244" s="28">
        <f t="shared" si="26"/>
        <v>578.09999999999991</v>
      </c>
      <c r="AJ244" s="28">
        <f t="shared" si="27"/>
        <v>290.20000000000005</v>
      </c>
      <c r="AK244" s="28">
        <f t="shared" si="28"/>
        <v>298</v>
      </c>
      <c r="AL244" s="28">
        <f t="shared" si="29"/>
        <v>2052.6999999999998</v>
      </c>
      <c r="AM244" s="28">
        <f t="shared" si="30"/>
        <v>144.52499999999998</v>
      </c>
      <c r="AN244" s="28">
        <f t="shared" si="31"/>
        <v>149</v>
      </c>
      <c r="AO244" s="29">
        <v>146.62142857142857</v>
      </c>
    </row>
    <row r="245" spans="1:41" x14ac:dyDescent="0.3">
      <c r="A245" s="27" t="s">
        <v>0</v>
      </c>
      <c r="B245" s="20">
        <v>2019</v>
      </c>
      <c r="C245" s="20" t="s">
        <v>14</v>
      </c>
      <c r="D245" s="21" t="str">
        <f t="shared" si="24"/>
        <v>Nov-19</v>
      </c>
      <c r="E245" s="33">
        <v>43770</v>
      </c>
      <c r="F245" s="20" t="s">
        <v>84</v>
      </c>
      <c r="G245" s="20">
        <v>141.80000000000001</v>
      </c>
      <c r="H245" s="20">
        <v>163.69999999999999</v>
      </c>
      <c r="I245" s="20">
        <v>143.80000000000001</v>
      </c>
      <c r="J245" s="20">
        <v>147.1</v>
      </c>
      <c r="K245" s="20">
        <v>126</v>
      </c>
      <c r="L245" s="20">
        <v>146.19999999999999</v>
      </c>
      <c r="M245" s="20">
        <v>191.4</v>
      </c>
      <c r="N245" s="20">
        <v>136.19999999999999</v>
      </c>
      <c r="O245" s="20">
        <v>113.8</v>
      </c>
      <c r="P245" s="20">
        <v>147.30000000000001</v>
      </c>
      <c r="Q245" s="20">
        <v>138.69999999999999</v>
      </c>
      <c r="R245" s="20">
        <v>157.69999999999999</v>
      </c>
      <c r="S245" s="20">
        <v>150.9</v>
      </c>
      <c r="T245" s="20">
        <v>167.2</v>
      </c>
      <c r="U245" s="20">
        <v>152.30000000000001</v>
      </c>
      <c r="V245" s="20">
        <v>147</v>
      </c>
      <c r="W245" s="20">
        <v>151.5</v>
      </c>
      <c r="X245" s="30">
        <f>'Handle missing value sheet only'!$C$1</f>
        <v>139.27096774193564</v>
      </c>
      <c r="Y245" s="20">
        <v>148.4</v>
      </c>
      <c r="Z245" s="20">
        <v>150.9</v>
      </c>
      <c r="AA245" s="20">
        <v>154.30000000000001</v>
      </c>
      <c r="AB245" s="20">
        <v>132.1</v>
      </c>
      <c r="AC245" s="20">
        <v>149.1</v>
      </c>
      <c r="AD245" s="20">
        <v>160.80000000000001</v>
      </c>
      <c r="AE245" s="20">
        <v>140.6</v>
      </c>
      <c r="AF245" s="20">
        <v>146.1</v>
      </c>
      <c r="AG245" s="20">
        <v>149.9</v>
      </c>
      <c r="AH245" s="28">
        <f t="shared" si="25"/>
        <v>3692.6709677419353</v>
      </c>
      <c r="AI245" s="28">
        <f t="shared" si="26"/>
        <v>596.6</v>
      </c>
      <c r="AJ245" s="28">
        <f t="shared" si="27"/>
        <v>299.3</v>
      </c>
      <c r="AK245" s="28">
        <f t="shared" si="28"/>
        <v>290.17096774193567</v>
      </c>
      <c r="AL245" s="28">
        <f t="shared" si="29"/>
        <v>2071.8000000000002</v>
      </c>
      <c r="AM245" s="28">
        <f t="shared" si="30"/>
        <v>149.15</v>
      </c>
      <c r="AN245" s="28">
        <f t="shared" si="31"/>
        <v>145.08548387096783</v>
      </c>
      <c r="AO245" s="31">
        <v>147.98571428571429</v>
      </c>
    </row>
    <row r="246" spans="1:41" x14ac:dyDescent="0.3">
      <c r="A246" s="26" t="s">
        <v>2</v>
      </c>
      <c r="B246" s="21">
        <v>2019</v>
      </c>
      <c r="C246" s="21" t="s">
        <v>14</v>
      </c>
      <c r="D246" s="21" t="str">
        <f t="shared" si="24"/>
        <v>Nov-19</v>
      </c>
      <c r="E246" s="32">
        <v>43770</v>
      </c>
      <c r="F246" s="21" t="s">
        <v>84</v>
      </c>
      <c r="G246" s="21">
        <v>144.1</v>
      </c>
      <c r="H246" s="21">
        <v>162.4</v>
      </c>
      <c r="I246" s="21">
        <v>148.4</v>
      </c>
      <c r="J246" s="21">
        <v>145.9</v>
      </c>
      <c r="K246" s="21">
        <v>121.5</v>
      </c>
      <c r="L246" s="21">
        <v>148.80000000000001</v>
      </c>
      <c r="M246" s="21">
        <v>215.7</v>
      </c>
      <c r="N246" s="21">
        <v>134.6</v>
      </c>
      <c r="O246" s="21">
        <v>115</v>
      </c>
      <c r="P246" s="21">
        <v>146.30000000000001</v>
      </c>
      <c r="Q246" s="21">
        <v>130.5</v>
      </c>
      <c r="R246" s="21">
        <v>157.19999999999999</v>
      </c>
      <c r="S246" s="21">
        <v>153.6</v>
      </c>
      <c r="T246" s="21">
        <v>169.9</v>
      </c>
      <c r="U246" s="21">
        <v>146.30000000000001</v>
      </c>
      <c r="V246" s="21">
        <v>132.6</v>
      </c>
      <c r="W246" s="21">
        <v>144.19999999999999</v>
      </c>
      <c r="X246" s="21">
        <v>153.5</v>
      </c>
      <c r="Y246" s="21">
        <v>132.19999999999999</v>
      </c>
      <c r="Z246" s="21">
        <v>139.1</v>
      </c>
      <c r="AA246" s="21">
        <v>142.80000000000001</v>
      </c>
      <c r="AB246" s="21">
        <v>121.7</v>
      </c>
      <c r="AC246" s="21">
        <v>136.69999999999999</v>
      </c>
      <c r="AD246" s="21">
        <v>151.80000000000001</v>
      </c>
      <c r="AE246" s="21">
        <v>139.80000000000001</v>
      </c>
      <c r="AF246" s="21">
        <v>136.30000000000001</v>
      </c>
      <c r="AG246" s="21">
        <v>147</v>
      </c>
      <c r="AH246" s="28">
        <f t="shared" si="25"/>
        <v>3626.7</v>
      </c>
      <c r="AI246" s="28">
        <f t="shared" si="26"/>
        <v>564.6</v>
      </c>
      <c r="AJ246" s="28">
        <f t="shared" si="27"/>
        <v>278.89999999999998</v>
      </c>
      <c r="AK246" s="28">
        <f t="shared" si="28"/>
        <v>292.60000000000002</v>
      </c>
      <c r="AL246" s="28">
        <f t="shared" si="29"/>
        <v>2093.8999999999996</v>
      </c>
      <c r="AM246" s="28">
        <f t="shared" si="30"/>
        <v>141.15</v>
      </c>
      <c r="AN246" s="28">
        <f t="shared" si="31"/>
        <v>146.30000000000001</v>
      </c>
      <c r="AO246" s="29">
        <v>149.56428571428569</v>
      </c>
    </row>
    <row r="247" spans="1:41" x14ac:dyDescent="0.3">
      <c r="A247" s="27" t="s">
        <v>3</v>
      </c>
      <c r="B247" s="20">
        <v>2019</v>
      </c>
      <c r="C247" s="20" t="s">
        <v>14</v>
      </c>
      <c r="D247" s="21" t="str">
        <f t="shared" si="24"/>
        <v>Nov-19</v>
      </c>
      <c r="E247" s="33">
        <v>43770</v>
      </c>
      <c r="F247" s="20" t="s">
        <v>84</v>
      </c>
      <c r="G247" s="20">
        <v>142.5</v>
      </c>
      <c r="H247" s="20">
        <v>163.19999999999999</v>
      </c>
      <c r="I247" s="20">
        <v>145.6</v>
      </c>
      <c r="J247" s="20">
        <v>146.69999999999999</v>
      </c>
      <c r="K247" s="20">
        <v>124.3</v>
      </c>
      <c r="L247" s="20">
        <v>147.4</v>
      </c>
      <c r="M247" s="20">
        <v>199.6</v>
      </c>
      <c r="N247" s="20">
        <v>135.69999999999999</v>
      </c>
      <c r="O247" s="20">
        <v>114.2</v>
      </c>
      <c r="P247" s="20">
        <v>147</v>
      </c>
      <c r="Q247" s="20">
        <v>135.30000000000001</v>
      </c>
      <c r="R247" s="20">
        <v>157.5</v>
      </c>
      <c r="S247" s="20">
        <v>151.9</v>
      </c>
      <c r="T247" s="20">
        <v>167.9</v>
      </c>
      <c r="U247" s="20">
        <v>149.9</v>
      </c>
      <c r="V247" s="20">
        <v>141</v>
      </c>
      <c r="W247" s="20">
        <v>148.6</v>
      </c>
      <c r="X247" s="20">
        <v>153.5</v>
      </c>
      <c r="Y247" s="20">
        <v>142.30000000000001</v>
      </c>
      <c r="Z247" s="20">
        <v>145.30000000000001</v>
      </c>
      <c r="AA247" s="20">
        <v>149.9</v>
      </c>
      <c r="AB247" s="20">
        <v>126.6</v>
      </c>
      <c r="AC247" s="20">
        <v>142.1</v>
      </c>
      <c r="AD247" s="20">
        <v>155.5</v>
      </c>
      <c r="AE247" s="20">
        <v>140.30000000000001</v>
      </c>
      <c r="AF247" s="20">
        <v>141.30000000000001</v>
      </c>
      <c r="AG247" s="20">
        <v>148.6</v>
      </c>
      <c r="AH247" s="28">
        <f t="shared" si="25"/>
        <v>3666.5</v>
      </c>
      <c r="AI247" s="28">
        <f t="shared" si="26"/>
        <v>579.20000000000005</v>
      </c>
      <c r="AJ247" s="28">
        <f t="shared" si="27"/>
        <v>290.89999999999998</v>
      </c>
      <c r="AK247" s="28">
        <f t="shared" si="28"/>
        <v>298.8</v>
      </c>
      <c r="AL247" s="28">
        <f t="shared" si="29"/>
        <v>2078.8000000000002</v>
      </c>
      <c r="AM247" s="28">
        <f t="shared" si="30"/>
        <v>144.80000000000001</v>
      </c>
      <c r="AN247" s="28">
        <f t="shared" si="31"/>
        <v>149.4</v>
      </c>
      <c r="AO247" s="31">
        <v>148.48571428571429</v>
      </c>
    </row>
    <row r="248" spans="1:41" x14ac:dyDescent="0.3">
      <c r="A248" s="26" t="s">
        <v>0</v>
      </c>
      <c r="B248" s="21">
        <v>2019</v>
      </c>
      <c r="C248" s="21" t="s">
        <v>15</v>
      </c>
      <c r="D248" s="21" t="str">
        <f t="shared" si="24"/>
        <v>Dec-19</v>
      </c>
      <c r="E248" s="32">
        <v>43800</v>
      </c>
      <c r="F248" s="21" t="s">
        <v>84</v>
      </c>
      <c r="G248" s="21">
        <v>142.80000000000001</v>
      </c>
      <c r="H248" s="21">
        <v>165.3</v>
      </c>
      <c r="I248" s="21">
        <v>149.5</v>
      </c>
      <c r="J248" s="21">
        <v>148.69999999999999</v>
      </c>
      <c r="K248" s="21">
        <v>127.5</v>
      </c>
      <c r="L248" s="21">
        <v>144.30000000000001</v>
      </c>
      <c r="M248" s="21">
        <v>209.5</v>
      </c>
      <c r="N248" s="21">
        <v>138.80000000000001</v>
      </c>
      <c r="O248" s="21">
        <v>113.6</v>
      </c>
      <c r="P248" s="21">
        <v>149.1</v>
      </c>
      <c r="Q248" s="21">
        <v>139.30000000000001</v>
      </c>
      <c r="R248" s="21">
        <v>158.30000000000001</v>
      </c>
      <c r="S248" s="21">
        <v>154.30000000000001</v>
      </c>
      <c r="T248" s="21">
        <v>167.8</v>
      </c>
      <c r="U248" s="21">
        <v>152.6</v>
      </c>
      <c r="V248" s="21">
        <v>147.30000000000001</v>
      </c>
      <c r="W248" s="21">
        <v>151.9</v>
      </c>
      <c r="X248" s="28">
        <f>'Handle missing value sheet only'!$C$1</f>
        <v>139.27096774193564</v>
      </c>
      <c r="Y248" s="21">
        <v>149.9</v>
      </c>
      <c r="Z248" s="21">
        <v>151.19999999999999</v>
      </c>
      <c r="AA248" s="21">
        <v>154.80000000000001</v>
      </c>
      <c r="AB248" s="21">
        <v>135</v>
      </c>
      <c r="AC248" s="21">
        <v>149.5</v>
      </c>
      <c r="AD248" s="21">
        <v>161.1</v>
      </c>
      <c r="AE248" s="21">
        <v>140.6</v>
      </c>
      <c r="AF248" s="21">
        <v>147.1</v>
      </c>
      <c r="AG248" s="21">
        <v>152.30000000000001</v>
      </c>
      <c r="AH248" s="28">
        <f t="shared" si="25"/>
        <v>3737.1709677419362</v>
      </c>
      <c r="AI248" s="28">
        <f t="shared" si="26"/>
        <v>598.29999999999995</v>
      </c>
      <c r="AJ248" s="28">
        <f t="shared" si="27"/>
        <v>299.89999999999998</v>
      </c>
      <c r="AK248" s="28">
        <f t="shared" si="28"/>
        <v>290.47096774193562</v>
      </c>
      <c r="AL248" s="28">
        <f t="shared" si="29"/>
        <v>2108.7999999999997</v>
      </c>
      <c r="AM248" s="28">
        <f t="shared" si="30"/>
        <v>149.57499999999999</v>
      </c>
      <c r="AN248" s="28">
        <f t="shared" si="31"/>
        <v>145.23548387096781</v>
      </c>
      <c r="AO248" s="29">
        <v>150.62857142857141</v>
      </c>
    </row>
    <row r="249" spans="1:41" x14ac:dyDescent="0.3">
      <c r="A249" s="27" t="s">
        <v>2</v>
      </c>
      <c r="B249" s="20">
        <v>2019</v>
      </c>
      <c r="C249" s="20" t="s">
        <v>15</v>
      </c>
      <c r="D249" s="21" t="str">
        <f t="shared" si="24"/>
        <v>Dec-19</v>
      </c>
      <c r="E249" s="33">
        <v>43800</v>
      </c>
      <c r="F249" s="20" t="s">
        <v>84</v>
      </c>
      <c r="G249" s="20">
        <v>144.9</v>
      </c>
      <c r="H249" s="20">
        <v>164.5</v>
      </c>
      <c r="I249" s="20">
        <v>153.69999999999999</v>
      </c>
      <c r="J249" s="20">
        <v>147.5</v>
      </c>
      <c r="K249" s="20">
        <v>122.7</v>
      </c>
      <c r="L249" s="20">
        <v>147.19999999999999</v>
      </c>
      <c r="M249" s="20">
        <v>231.5</v>
      </c>
      <c r="N249" s="20">
        <v>137.19999999999999</v>
      </c>
      <c r="O249" s="20">
        <v>114.7</v>
      </c>
      <c r="P249" s="20">
        <v>148</v>
      </c>
      <c r="Q249" s="20">
        <v>130.80000000000001</v>
      </c>
      <c r="R249" s="20">
        <v>157.69999999999999</v>
      </c>
      <c r="S249" s="20">
        <v>156.30000000000001</v>
      </c>
      <c r="T249" s="20">
        <v>170.4</v>
      </c>
      <c r="U249" s="20">
        <v>146.80000000000001</v>
      </c>
      <c r="V249" s="20">
        <v>132.80000000000001</v>
      </c>
      <c r="W249" s="20">
        <v>144.6</v>
      </c>
      <c r="X249" s="20">
        <v>152.80000000000001</v>
      </c>
      <c r="Y249" s="20">
        <v>133.6</v>
      </c>
      <c r="Z249" s="20">
        <v>139.80000000000001</v>
      </c>
      <c r="AA249" s="20">
        <v>143.19999999999999</v>
      </c>
      <c r="AB249" s="20">
        <v>125.2</v>
      </c>
      <c r="AC249" s="20">
        <v>136.80000000000001</v>
      </c>
      <c r="AD249" s="20">
        <v>151.9</v>
      </c>
      <c r="AE249" s="20">
        <v>140.19999999999999</v>
      </c>
      <c r="AF249" s="20">
        <v>137.69999999999999</v>
      </c>
      <c r="AG249" s="20">
        <v>148.30000000000001</v>
      </c>
      <c r="AH249" s="28">
        <f t="shared" si="25"/>
        <v>3667.9000000000005</v>
      </c>
      <c r="AI249" s="28">
        <f t="shared" si="26"/>
        <v>566.59999999999991</v>
      </c>
      <c r="AJ249" s="28">
        <f t="shared" si="27"/>
        <v>279.60000000000002</v>
      </c>
      <c r="AK249" s="28">
        <f t="shared" si="28"/>
        <v>292.60000000000002</v>
      </c>
      <c r="AL249" s="28">
        <f t="shared" si="29"/>
        <v>2127.1</v>
      </c>
      <c r="AM249" s="28">
        <f t="shared" si="30"/>
        <v>141.64999999999998</v>
      </c>
      <c r="AN249" s="28">
        <f t="shared" si="31"/>
        <v>146.30000000000001</v>
      </c>
      <c r="AO249" s="31">
        <v>151.93571428571428</v>
      </c>
    </row>
    <row r="250" spans="1:41" x14ac:dyDescent="0.3">
      <c r="A250" s="26" t="s">
        <v>3</v>
      </c>
      <c r="B250" s="21">
        <v>2019</v>
      </c>
      <c r="C250" s="21" t="s">
        <v>15</v>
      </c>
      <c r="D250" s="21" t="str">
        <f t="shared" si="24"/>
        <v>Dec-19</v>
      </c>
      <c r="E250" s="32">
        <v>43800</v>
      </c>
      <c r="F250" s="21" t="s">
        <v>84</v>
      </c>
      <c r="G250" s="21">
        <v>143.5</v>
      </c>
      <c r="H250" s="21">
        <v>165</v>
      </c>
      <c r="I250" s="21">
        <v>151.1</v>
      </c>
      <c r="J250" s="21">
        <v>148.30000000000001</v>
      </c>
      <c r="K250" s="21">
        <v>125.7</v>
      </c>
      <c r="L250" s="21">
        <v>145.69999999999999</v>
      </c>
      <c r="M250" s="21">
        <v>217</v>
      </c>
      <c r="N250" s="21">
        <v>138.30000000000001</v>
      </c>
      <c r="O250" s="21">
        <v>114</v>
      </c>
      <c r="P250" s="21">
        <v>148.69999999999999</v>
      </c>
      <c r="Q250" s="21">
        <v>135.80000000000001</v>
      </c>
      <c r="R250" s="21">
        <v>158</v>
      </c>
      <c r="S250" s="21">
        <v>155</v>
      </c>
      <c r="T250" s="21">
        <v>168.5</v>
      </c>
      <c r="U250" s="21">
        <v>150.30000000000001</v>
      </c>
      <c r="V250" s="21">
        <v>141.30000000000001</v>
      </c>
      <c r="W250" s="21">
        <v>149</v>
      </c>
      <c r="X250" s="21">
        <v>152.80000000000001</v>
      </c>
      <c r="Y250" s="21">
        <v>143.69999999999999</v>
      </c>
      <c r="Z250" s="21">
        <v>145.80000000000001</v>
      </c>
      <c r="AA250" s="21">
        <v>150.4</v>
      </c>
      <c r="AB250" s="21">
        <v>129.80000000000001</v>
      </c>
      <c r="AC250" s="21">
        <v>142.30000000000001</v>
      </c>
      <c r="AD250" s="21">
        <v>155.69999999999999</v>
      </c>
      <c r="AE250" s="21">
        <v>140.4</v>
      </c>
      <c r="AF250" s="21">
        <v>142.5</v>
      </c>
      <c r="AG250" s="21">
        <v>150.4</v>
      </c>
      <c r="AH250" s="28">
        <f t="shared" si="25"/>
        <v>3709.6000000000004</v>
      </c>
      <c r="AI250" s="28">
        <f t="shared" si="26"/>
        <v>580.9</v>
      </c>
      <c r="AJ250" s="28">
        <f t="shared" si="27"/>
        <v>291.60000000000002</v>
      </c>
      <c r="AK250" s="28">
        <f t="shared" si="28"/>
        <v>298.60000000000002</v>
      </c>
      <c r="AL250" s="28">
        <f t="shared" si="29"/>
        <v>2114.6000000000004</v>
      </c>
      <c r="AM250" s="28">
        <f t="shared" si="30"/>
        <v>145.22499999999999</v>
      </c>
      <c r="AN250" s="28">
        <f t="shared" si="31"/>
        <v>149.30000000000001</v>
      </c>
      <c r="AO250" s="29">
        <v>151.04285714285717</v>
      </c>
    </row>
    <row r="251" spans="1:41" x14ac:dyDescent="0.3">
      <c r="A251" s="27" t="s">
        <v>0</v>
      </c>
      <c r="B251" s="20">
        <v>2020</v>
      </c>
      <c r="C251" s="20" t="s">
        <v>1</v>
      </c>
      <c r="D251" s="21" t="str">
        <f t="shared" si="24"/>
        <v>Jan-20</v>
      </c>
      <c r="E251" s="33">
        <v>43831</v>
      </c>
      <c r="F251" s="20" t="s">
        <v>84</v>
      </c>
      <c r="G251" s="20">
        <v>143.69999999999999</v>
      </c>
      <c r="H251" s="20">
        <v>167.3</v>
      </c>
      <c r="I251" s="20">
        <v>153.5</v>
      </c>
      <c r="J251" s="20">
        <v>150.5</v>
      </c>
      <c r="K251" s="20">
        <v>132</v>
      </c>
      <c r="L251" s="20">
        <v>142.19999999999999</v>
      </c>
      <c r="M251" s="20">
        <v>191.5</v>
      </c>
      <c r="N251" s="20">
        <v>141.1</v>
      </c>
      <c r="O251" s="20">
        <v>113.8</v>
      </c>
      <c r="P251" s="20">
        <v>151.6</v>
      </c>
      <c r="Q251" s="20">
        <v>139.69999999999999</v>
      </c>
      <c r="R251" s="20">
        <v>158.69999999999999</v>
      </c>
      <c r="S251" s="20">
        <v>153</v>
      </c>
      <c r="T251" s="20">
        <v>168.6</v>
      </c>
      <c r="U251" s="20">
        <v>152.80000000000001</v>
      </c>
      <c r="V251" s="20">
        <v>147.4</v>
      </c>
      <c r="W251" s="20">
        <v>152.1</v>
      </c>
      <c r="X251" s="30">
        <f>'Handle missing value sheet only'!$C$1</f>
        <v>139.27096774193564</v>
      </c>
      <c r="Y251" s="20">
        <v>150.4</v>
      </c>
      <c r="Z251" s="20">
        <v>151.69999999999999</v>
      </c>
      <c r="AA251" s="20">
        <v>155.69999999999999</v>
      </c>
      <c r="AB251" s="20">
        <v>136.30000000000001</v>
      </c>
      <c r="AC251" s="20">
        <v>150.1</v>
      </c>
      <c r="AD251" s="20">
        <v>161.69999999999999</v>
      </c>
      <c r="AE251" s="20">
        <v>142.5</v>
      </c>
      <c r="AF251" s="20">
        <v>148.1</v>
      </c>
      <c r="AG251" s="20">
        <v>151.9</v>
      </c>
      <c r="AH251" s="28">
        <f t="shared" si="25"/>
        <v>3743.1709677419349</v>
      </c>
      <c r="AI251" s="28">
        <f t="shared" si="26"/>
        <v>602.4</v>
      </c>
      <c r="AJ251" s="28">
        <f t="shared" si="27"/>
        <v>300.20000000000005</v>
      </c>
      <c r="AK251" s="28">
        <f t="shared" si="28"/>
        <v>290.97096774193562</v>
      </c>
      <c r="AL251" s="28">
        <f t="shared" si="29"/>
        <v>2107.1999999999998</v>
      </c>
      <c r="AM251" s="28">
        <f t="shared" si="30"/>
        <v>150.6</v>
      </c>
      <c r="AN251" s="28">
        <f t="shared" si="31"/>
        <v>145.48548387096781</v>
      </c>
      <c r="AO251" s="31">
        <v>150.51428571428571</v>
      </c>
    </row>
    <row r="252" spans="1:41" x14ac:dyDescent="0.3">
      <c r="A252" s="26" t="s">
        <v>2</v>
      </c>
      <c r="B252" s="21">
        <v>2020</v>
      </c>
      <c r="C252" s="21" t="s">
        <v>1</v>
      </c>
      <c r="D252" s="21" t="str">
        <f t="shared" si="24"/>
        <v>Jan-20</v>
      </c>
      <c r="E252" s="32">
        <v>43831</v>
      </c>
      <c r="F252" s="21" t="s">
        <v>84</v>
      </c>
      <c r="G252" s="21">
        <v>145.6</v>
      </c>
      <c r="H252" s="21">
        <v>167.6</v>
      </c>
      <c r="I252" s="21">
        <v>157</v>
      </c>
      <c r="J252" s="21">
        <v>149.30000000000001</v>
      </c>
      <c r="K252" s="21">
        <v>126.3</v>
      </c>
      <c r="L252" s="21">
        <v>144.4</v>
      </c>
      <c r="M252" s="21">
        <v>207.8</v>
      </c>
      <c r="N252" s="21">
        <v>139.1</v>
      </c>
      <c r="O252" s="21">
        <v>114.8</v>
      </c>
      <c r="P252" s="21">
        <v>149.5</v>
      </c>
      <c r="Q252" s="21">
        <v>131.1</v>
      </c>
      <c r="R252" s="21">
        <v>158.5</v>
      </c>
      <c r="S252" s="21">
        <v>154.4</v>
      </c>
      <c r="T252" s="21">
        <v>170.8</v>
      </c>
      <c r="U252" s="21">
        <v>147</v>
      </c>
      <c r="V252" s="21">
        <v>133.19999999999999</v>
      </c>
      <c r="W252" s="21">
        <v>144.9</v>
      </c>
      <c r="X252" s="21">
        <v>153.9</v>
      </c>
      <c r="Y252" s="21">
        <v>135.1</v>
      </c>
      <c r="Z252" s="21">
        <v>140.1</v>
      </c>
      <c r="AA252" s="21">
        <v>143.80000000000001</v>
      </c>
      <c r="AB252" s="21">
        <v>126.1</v>
      </c>
      <c r="AC252" s="21">
        <v>137.19999999999999</v>
      </c>
      <c r="AD252" s="21">
        <v>152.1</v>
      </c>
      <c r="AE252" s="21">
        <v>142.1</v>
      </c>
      <c r="AF252" s="21">
        <v>138.4</v>
      </c>
      <c r="AG252" s="21">
        <v>148.19999999999999</v>
      </c>
      <c r="AH252" s="28">
        <f t="shared" si="25"/>
        <v>3665.2000000000003</v>
      </c>
      <c r="AI252" s="28">
        <f t="shared" si="26"/>
        <v>569.79999999999995</v>
      </c>
      <c r="AJ252" s="28">
        <f t="shared" si="27"/>
        <v>280.2</v>
      </c>
      <c r="AK252" s="28">
        <f t="shared" si="28"/>
        <v>294</v>
      </c>
      <c r="AL252" s="28">
        <f t="shared" si="29"/>
        <v>2116.1999999999998</v>
      </c>
      <c r="AM252" s="28">
        <f t="shared" si="30"/>
        <v>142.44999999999999</v>
      </c>
      <c r="AN252" s="28">
        <f t="shared" si="31"/>
        <v>147</v>
      </c>
      <c r="AO252" s="29">
        <v>151.15714285714284</v>
      </c>
    </row>
    <row r="253" spans="1:41" x14ac:dyDescent="0.3">
      <c r="A253" s="27" t="s">
        <v>3</v>
      </c>
      <c r="B253" s="20">
        <v>2020</v>
      </c>
      <c r="C253" s="20" t="s">
        <v>1</v>
      </c>
      <c r="D253" s="21" t="str">
        <f t="shared" si="24"/>
        <v>Jan-20</v>
      </c>
      <c r="E253" s="33">
        <v>43831</v>
      </c>
      <c r="F253" s="20" t="s">
        <v>84</v>
      </c>
      <c r="G253" s="20">
        <v>144.30000000000001</v>
      </c>
      <c r="H253" s="20">
        <v>167.4</v>
      </c>
      <c r="I253" s="20">
        <v>154.9</v>
      </c>
      <c r="J253" s="20">
        <v>150.1</v>
      </c>
      <c r="K253" s="20">
        <v>129.9</v>
      </c>
      <c r="L253" s="20">
        <v>143.19999999999999</v>
      </c>
      <c r="M253" s="20">
        <v>197</v>
      </c>
      <c r="N253" s="20">
        <v>140.4</v>
      </c>
      <c r="O253" s="20">
        <v>114.1</v>
      </c>
      <c r="P253" s="20">
        <v>150.9</v>
      </c>
      <c r="Q253" s="20">
        <v>136.1</v>
      </c>
      <c r="R253" s="20">
        <v>158.6</v>
      </c>
      <c r="S253" s="20">
        <v>153.5</v>
      </c>
      <c r="T253" s="20">
        <v>169.2</v>
      </c>
      <c r="U253" s="20">
        <v>150.5</v>
      </c>
      <c r="V253" s="20">
        <v>141.5</v>
      </c>
      <c r="W253" s="20">
        <v>149.19999999999999</v>
      </c>
      <c r="X253" s="20">
        <v>153.9</v>
      </c>
      <c r="Y253" s="20">
        <v>144.6</v>
      </c>
      <c r="Z253" s="20">
        <v>146.19999999999999</v>
      </c>
      <c r="AA253" s="20">
        <v>151.19999999999999</v>
      </c>
      <c r="AB253" s="20">
        <v>130.9</v>
      </c>
      <c r="AC253" s="20">
        <v>142.80000000000001</v>
      </c>
      <c r="AD253" s="20">
        <v>156.1</v>
      </c>
      <c r="AE253" s="20">
        <v>142.30000000000001</v>
      </c>
      <c r="AF253" s="20">
        <v>143.4</v>
      </c>
      <c r="AG253" s="20">
        <v>150.19999999999999</v>
      </c>
      <c r="AH253" s="28">
        <f t="shared" si="25"/>
        <v>3712.9999999999995</v>
      </c>
      <c r="AI253" s="28">
        <f t="shared" si="26"/>
        <v>584.60000000000014</v>
      </c>
      <c r="AJ253" s="28">
        <f t="shared" si="27"/>
        <v>292</v>
      </c>
      <c r="AK253" s="28">
        <f t="shared" si="28"/>
        <v>300.10000000000002</v>
      </c>
      <c r="AL253" s="28">
        <f t="shared" si="29"/>
        <v>2109.6</v>
      </c>
      <c r="AM253" s="28">
        <f t="shared" si="30"/>
        <v>146.15000000000003</v>
      </c>
      <c r="AN253" s="28">
        <f t="shared" si="31"/>
        <v>150.05000000000001</v>
      </c>
      <c r="AO253" s="31">
        <v>150.68571428571428</v>
      </c>
    </row>
    <row r="254" spans="1:41" x14ac:dyDescent="0.3">
      <c r="A254" s="26" t="s">
        <v>0</v>
      </c>
      <c r="B254" s="21">
        <v>2020</v>
      </c>
      <c r="C254" s="21" t="s">
        <v>4</v>
      </c>
      <c r="D254" s="21" t="str">
        <f t="shared" si="24"/>
        <v>Feb-20</v>
      </c>
      <c r="E254" s="32">
        <v>43862</v>
      </c>
      <c r="F254" s="21" t="s">
        <v>84</v>
      </c>
      <c r="G254" s="21">
        <v>144.19999999999999</v>
      </c>
      <c r="H254" s="21">
        <v>167.5</v>
      </c>
      <c r="I254" s="21">
        <v>150.9</v>
      </c>
      <c r="J254" s="21">
        <v>150.9</v>
      </c>
      <c r="K254" s="21">
        <v>133.69999999999999</v>
      </c>
      <c r="L254" s="21">
        <v>140.69999999999999</v>
      </c>
      <c r="M254" s="21">
        <v>165.1</v>
      </c>
      <c r="N254" s="21">
        <v>141.80000000000001</v>
      </c>
      <c r="O254" s="21">
        <v>113.1</v>
      </c>
      <c r="P254" s="21">
        <v>152.80000000000001</v>
      </c>
      <c r="Q254" s="21">
        <v>140.1</v>
      </c>
      <c r="R254" s="21">
        <v>159.19999999999999</v>
      </c>
      <c r="S254" s="21">
        <v>149.80000000000001</v>
      </c>
      <c r="T254" s="21">
        <v>169.4</v>
      </c>
      <c r="U254" s="21">
        <v>153</v>
      </c>
      <c r="V254" s="21">
        <v>147.5</v>
      </c>
      <c r="W254" s="21">
        <v>152.30000000000001</v>
      </c>
      <c r="X254" s="28">
        <f>'Handle missing value sheet only'!$C$1</f>
        <v>139.27096774193564</v>
      </c>
      <c r="Y254" s="21">
        <v>152.30000000000001</v>
      </c>
      <c r="Z254" s="21">
        <v>151.80000000000001</v>
      </c>
      <c r="AA254" s="21">
        <v>156.19999999999999</v>
      </c>
      <c r="AB254" s="21">
        <v>136</v>
      </c>
      <c r="AC254" s="21">
        <v>150.4</v>
      </c>
      <c r="AD254" s="21">
        <v>161.9</v>
      </c>
      <c r="AE254" s="21">
        <v>143.4</v>
      </c>
      <c r="AF254" s="21">
        <v>148.4</v>
      </c>
      <c r="AG254" s="21">
        <v>150.4</v>
      </c>
      <c r="AH254" s="28">
        <f t="shared" si="25"/>
        <v>3719.3709677419361</v>
      </c>
      <c r="AI254" s="28">
        <f t="shared" si="26"/>
        <v>604.1</v>
      </c>
      <c r="AJ254" s="28">
        <f t="shared" si="27"/>
        <v>300.5</v>
      </c>
      <c r="AK254" s="28">
        <f t="shared" si="28"/>
        <v>291.07096774193565</v>
      </c>
      <c r="AL254" s="28">
        <f t="shared" si="29"/>
        <v>2079.1999999999998</v>
      </c>
      <c r="AM254" s="28">
        <f t="shared" si="30"/>
        <v>151.02500000000001</v>
      </c>
      <c r="AN254" s="28">
        <f t="shared" si="31"/>
        <v>145.53548387096782</v>
      </c>
      <c r="AO254" s="29">
        <v>148.51428571428571</v>
      </c>
    </row>
    <row r="255" spans="1:41" x14ac:dyDescent="0.3">
      <c r="A255" s="27" t="s">
        <v>2</v>
      </c>
      <c r="B255" s="20">
        <v>2020</v>
      </c>
      <c r="C255" s="20" t="s">
        <v>4</v>
      </c>
      <c r="D255" s="21" t="str">
        <f t="shared" si="24"/>
        <v>Feb-20</v>
      </c>
      <c r="E255" s="33">
        <v>43862</v>
      </c>
      <c r="F255" s="20" t="s">
        <v>84</v>
      </c>
      <c r="G255" s="20">
        <v>146.19999999999999</v>
      </c>
      <c r="H255" s="20">
        <v>167.6</v>
      </c>
      <c r="I255" s="20">
        <v>153.1</v>
      </c>
      <c r="J255" s="20">
        <v>150.69999999999999</v>
      </c>
      <c r="K255" s="20">
        <v>127.4</v>
      </c>
      <c r="L255" s="20">
        <v>143.1</v>
      </c>
      <c r="M255" s="20">
        <v>181.7</v>
      </c>
      <c r="N255" s="20">
        <v>139.6</v>
      </c>
      <c r="O255" s="20">
        <v>114.6</v>
      </c>
      <c r="P255" s="20">
        <v>150.4</v>
      </c>
      <c r="Q255" s="20">
        <v>131.5</v>
      </c>
      <c r="R255" s="20">
        <v>159</v>
      </c>
      <c r="S255" s="20">
        <v>151.69999999999999</v>
      </c>
      <c r="T255" s="20">
        <v>172</v>
      </c>
      <c r="U255" s="20">
        <v>147.30000000000001</v>
      </c>
      <c r="V255" s="20">
        <v>133.5</v>
      </c>
      <c r="W255" s="20">
        <v>145.19999999999999</v>
      </c>
      <c r="X255" s="20">
        <v>154.80000000000001</v>
      </c>
      <c r="Y255" s="20">
        <v>138.9</v>
      </c>
      <c r="Z255" s="20">
        <v>140.4</v>
      </c>
      <c r="AA255" s="20">
        <v>144.4</v>
      </c>
      <c r="AB255" s="20">
        <v>125.2</v>
      </c>
      <c r="AC255" s="20">
        <v>137.69999999999999</v>
      </c>
      <c r="AD255" s="20">
        <v>152.19999999999999</v>
      </c>
      <c r="AE255" s="20">
        <v>143.5</v>
      </c>
      <c r="AF255" s="20">
        <v>138.4</v>
      </c>
      <c r="AG255" s="20">
        <v>147.69999999999999</v>
      </c>
      <c r="AH255" s="28">
        <f t="shared" si="25"/>
        <v>3644.9</v>
      </c>
      <c r="AI255" s="28">
        <f t="shared" si="26"/>
        <v>571.79999999999995</v>
      </c>
      <c r="AJ255" s="28">
        <f t="shared" si="27"/>
        <v>280.8</v>
      </c>
      <c r="AK255" s="28">
        <f t="shared" si="28"/>
        <v>295.20000000000005</v>
      </c>
      <c r="AL255" s="28">
        <f t="shared" si="29"/>
        <v>2088.6</v>
      </c>
      <c r="AM255" s="28">
        <f t="shared" si="30"/>
        <v>142.94999999999999</v>
      </c>
      <c r="AN255" s="28">
        <f t="shared" si="31"/>
        <v>147.60000000000002</v>
      </c>
      <c r="AO255" s="31">
        <v>149.18571428571428</v>
      </c>
    </row>
    <row r="256" spans="1:41" x14ac:dyDescent="0.3">
      <c r="A256" s="26" t="s">
        <v>3</v>
      </c>
      <c r="B256" s="21">
        <v>2020</v>
      </c>
      <c r="C256" s="21" t="s">
        <v>4</v>
      </c>
      <c r="D256" s="21" t="str">
        <f t="shared" si="24"/>
        <v>Feb-20</v>
      </c>
      <c r="E256" s="32">
        <v>43862</v>
      </c>
      <c r="F256" s="21" t="s">
        <v>84</v>
      </c>
      <c r="G256" s="21">
        <v>144.80000000000001</v>
      </c>
      <c r="H256" s="21">
        <v>167.5</v>
      </c>
      <c r="I256" s="21">
        <v>151.80000000000001</v>
      </c>
      <c r="J256" s="21">
        <v>150.80000000000001</v>
      </c>
      <c r="K256" s="21">
        <v>131.4</v>
      </c>
      <c r="L256" s="21">
        <v>141.80000000000001</v>
      </c>
      <c r="M256" s="21">
        <v>170.7</v>
      </c>
      <c r="N256" s="21">
        <v>141.1</v>
      </c>
      <c r="O256" s="21">
        <v>113.6</v>
      </c>
      <c r="P256" s="21">
        <v>152</v>
      </c>
      <c r="Q256" s="21">
        <v>136.5</v>
      </c>
      <c r="R256" s="21">
        <v>159.1</v>
      </c>
      <c r="S256" s="21">
        <v>150.5</v>
      </c>
      <c r="T256" s="21">
        <v>170.1</v>
      </c>
      <c r="U256" s="21">
        <v>150.80000000000001</v>
      </c>
      <c r="V256" s="21">
        <v>141.69999999999999</v>
      </c>
      <c r="W256" s="21">
        <v>149.5</v>
      </c>
      <c r="X256" s="21">
        <v>154.80000000000001</v>
      </c>
      <c r="Y256" s="21">
        <v>147.19999999999999</v>
      </c>
      <c r="Z256" s="21">
        <v>146.4</v>
      </c>
      <c r="AA256" s="21">
        <v>151.69999999999999</v>
      </c>
      <c r="AB256" s="21">
        <v>130.30000000000001</v>
      </c>
      <c r="AC256" s="21">
        <v>143.19999999999999</v>
      </c>
      <c r="AD256" s="21">
        <v>156.19999999999999</v>
      </c>
      <c r="AE256" s="21">
        <v>143.4</v>
      </c>
      <c r="AF256" s="21">
        <v>143.6</v>
      </c>
      <c r="AG256" s="21">
        <v>149.1</v>
      </c>
      <c r="AH256" s="28">
        <f t="shared" si="25"/>
        <v>3690.9999999999995</v>
      </c>
      <c r="AI256" s="28">
        <f t="shared" si="26"/>
        <v>586.4</v>
      </c>
      <c r="AJ256" s="28">
        <f t="shared" si="27"/>
        <v>292.5</v>
      </c>
      <c r="AK256" s="28">
        <f t="shared" si="28"/>
        <v>301.20000000000005</v>
      </c>
      <c r="AL256" s="28">
        <f t="shared" si="29"/>
        <v>2081.6999999999998</v>
      </c>
      <c r="AM256" s="28">
        <f t="shared" si="30"/>
        <v>146.6</v>
      </c>
      <c r="AN256" s="28">
        <f t="shared" si="31"/>
        <v>150.60000000000002</v>
      </c>
      <c r="AO256" s="29">
        <v>148.69285714285712</v>
      </c>
    </row>
    <row r="257" spans="1:41" x14ac:dyDescent="0.3">
      <c r="A257" s="27" t="s">
        <v>0</v>
      </c>
      <c r="B257" s="20">
        <v>2020</v>
      </c>
      <c r="C257" s="20" t="s">
        <v>5</v>
      </c>
      <c r="D257" s="21" t="str">
        <f t="shared" si="24"/>
        <v>Mar-20</v>
      </c>
      <c r="E257" s="33">
        <v>43891</v>
      </c>
      <c r="F257" s="20" t="s">
        <v>166</v>
      </c>
      <c r="G257" s="20">
        <v>144.4</v>
      </c>
      <c r="H257" s="20">
        <v>166.8</v>
      </c>
      <c r="I257" s="20">
        <v>147.6</v>
      </c>
      <c r="J257" s="20">
        <v>151.69999999999999</v>
      </c>
      <c r="K257" s="20">
        <v>133.30000000000001</v>
      </c>
      <c r="L257" s="20">
        <v>141.80000000000001</v>
      </c>
      <c r="M257" s="20">
        <v>152.30000000000001</v>
      </c>
      <c r="N257" s="20">
        <v>141.80000000000001</v>
      </c>
      <c r="O257" s="20">
        <v>112.6</v>
      </c>
      <c r="P257" s="20">
        <v>154</v>
      </c>
      <c r="Q257" s="20">
        <v>140.1</v>
      </c>
      <c r="R257" s="20">
        <v>160</v>
      </c>
      <c r="S257" s="20">
        <v>148.19999999999999</v>
      </c>
      <c r="T257" s="20">
        <v>170.5</v>
      </c>
      <c r="U257" s="20">
        <v>153.4</v>
      </c>
      <c r="V257" s="20">
        <v>147.6</v>
      </c>
      <c r="W257" s="20">
        <v>152.5</v>
      </c>
      <c r="X257" s="30">
        <f>'Handle missing value sheet only'!$C$1</f>
        <v>139.27096774193564</v>
      </c>
      <c r="Y257" s="20">
        <v>153.4</v>
      </c>
      <c r="Z257" s="20">
        <v>151.5</v>
      </c>
      <c r="AA257" s="20">
        <v>156.69999999999999</v>
      </c>
      <c r="AB257" s="20">
        <v>135.80000000000001</v>
      </c>
      <c r="AC257" s="20">
        <v>151.19999999999999</v>
      </c>
      <c r="AD257" s="20">
        <v>161.19999999999999</v>
      </c>
      <c r="AE257" s="20">
        <v>145.1</v>
      </c>
      <c r="AF257" s="20">
        <v>148.6</v>
      </c>
      <c r="AG257" s="20">
        <v>149.80000000000001</v>
      </c>
      <c r="AH257" s="28">
        <f t="shared" si="25"/>
        <v>3708.8709677419356</v>
      </c>
      <c r="AI257" s="28">
        <f t="shared" si="26"/>
        <v>606.09999999999991</v>
      </c>
      <c r="AJ257" s="28">
        <f t="shared" si="27"/>
        <v>301</v>
      </c>
      <c r="AK257" s="28">
        <f t="shared" si="28"/>
        <v>290.77096774193564</v>
      </c>
      <c r="AL257" s="28">
        <f t="shared" si="29"/>
        <v>2065.0999999999995</v>
      </c>
      <c r="AM257" s="28">
        <f t="shared" si="30"/>
        <v>151.52499999999998</v>
      </c>
      <c r="AN257" s="28">
        <f t="shared" si="31"/>
        <v>145.38548387096782</v>
      </c>
      <c r="AO257" s="31">
        <v>147.50714285714281</v>
      </c>
    </row>
    <row r="258" spans="1:41" x14ac:dyDescent="0.3">
      <c r="A258" s="26" t="s">
        <v>2</v>
      </c>
      <c r="B258" s="21">
        <v>2020</v>
      </c>
      <c r="C258" s="21" t="s">
        <v>5</v>
      </c>
      <c r="D258" s="21" t="str">
        <f t="shared" si="24"/>
        <v>Mar-20</v>
      </c>
      <c r="E258" s="32">
        <v>43891</v>
      </c>
      <c r="F258" s="20" t="s">
        <v>166</v>
      </c>
      <c r="G258" s="21">
        <v>146.5</v>
      </c>
      <c r="H258" s="21">
        <v>167.5</v>
      </c>
      <c r="I258" s="21">
        <v>148.9</v>
      </c>
      <c r="J258" s="21">
        <v>151.1</v>
      </c>
      <c r="K258" s="21">
        <v>127.5</v>
      </c>
      <c r="L258" s="21">
        <v>143.30000000000001</v>
      </c>
      <c r="M258" s="21">
        <v>167</v>
      </c>
      <c r="N258" s="21">
        <v>139.69999999999999</v>
      </c>
      <c r="O258" s="21">
        <v>114.4</v>
      </c>
      <c r="P258" s="21">
        <v>151.5</v>
      </c>
      <c r="Q258" s="21">
        <v>131.9</v>
      </c>
      <c r="R258" s="21">
        <v>159.1</v>
      </c>
      <c r="S258" s="21">
        <v>150.1</v>
      </c>
      <c r="T258" s="21">
        <v>173.3</v>
      </c>
      <c r="U258" s="21">
        <v>147.69999999999999</v>
      </c>
      <c r="V258" s="21">
        <v>133.80000000000001</v>
      </c>
      <c r="W258" s="21">
        <v>145.6</v>
      </c>
      <c r="X258" s="21">
        <v>154.5</v>
      </c>
      <c r="Y258" s="21">
        <v>141.4</v>
      </c>
      <c r="Z258" s="21">
        <v>140.80000000000001</v>
      </c>
      <c r="AA258" s="21">
        <v>145</v>
      </c>
      <c r="AB258" s="21">
        <v>124.6</v>
      </c>
      <c r="AC258" s="21">
        <v>137.9</v>
      </c>
      <c r="AD258" s="21">
        <v>152.5</v>
      </c>
      <c r="AE258" s="21">
        <v>145.30000000000001</v>
      </c>
      <c r="AF258" s="21">
        <v>138.69999999999999</v>
      </c>
      <c r="AG258" s="21">
        <v>147.30000000000001</v>
      </c>
      <c r="AH258" s="28">
        <f t="shared" si="25"/>
        <v>3634</v>
      </c>
      <c r="AI258" s="28">
        <f t="shared" si="26"/>
        <v>574.4</v>
      </c>
      <c r="AJ258" s="28">
        <f t="shared" si="27"/>
        <v>281.5</v>
      </c>
      <c r="AK258" s="28">
        <f t="shared" si="28"/>
        <v>295.3</v>
      </c>
      <c r="AL258" s="28">
        <f t="shared" si="29"/>
        <v>2071.8000000000002</v>
      </c>
      <c r="AM258" s="28">
        <f t="shared" si="30"/>
        <v>143.6</v>
      </c>
      <c r="AN258" s="28">
        <f t="shared" si="31"/>
        <v>147.65</v>
      </c>
      <c r="AO258" s="29">
        <v>147.98571428571429</v>
      </c>
    </row>
    <row r="259" spans="1:41" x14ac:dyDescent="0.3">
      <c r="A259" s="27" t="s">
        <v>3</v>
      </c>
      <c r="B259" s="20">
        <v>2020</v>
      </c>
      <c r="C259" s="20" t="s">
        <v>5</v>
      </c>
      <c r="D259" s="21" t="str">
        <f t="shared" ref="D259:D322" si="32">TEXT(DATE(B259, MONTH(1&amp;C259), 1), "mmm-yy")</f>
        <v>Mar-20</v>
      </c>
      <c r="E259" s="33">
        <v>43891</v>
      </c>
      <c r="F259" s="20" t="s">
        <v>166</v>
      </c>
      <c r="G259" s="20">
        <v>145.1</v>
      </c>
      <c r="H259" s="20">
        <v>167</v>
      </c>
      <c r="I259" s="20">
        <v>148.1</v>
      </c>
      <c r="J259" s="20">
        <v>151.5</v>
      </c>
      <c r="K259" s="20">
        <v>131.19999999999999</v>
      </c>
      <c r="L259" s="20">
        <v>142.5</v>
      </c>
      <c r="M259" s="20">
        <v>157.30000000000001</v>
      </c>
      <c r="N259" s="20">
        <v>141.1</v>
      </c>
      <c r="O259" s="20">
        <v>113.2</v>
      </c>
      <c r="P259" s="20">
        <v>153.19999999999999</v>
      </c>
      <c r="Q259" s="20">
        <v>136.69999999999999</v>
      </c>
      <c r="R259" s="20">
        <v>159.6</v>
      </c>
      <c r="S259" s="20">
        <v>148.9</v>
      </c>
      <c r="T259" s="20">
        <v>171.2</v>
      </c>
      <c r="U259" s="20">
        <v>151.19999999999999</v>
      </c>
      <c r="V259" s="20">
        <v>141.9</v>
      </c>
      <c r="W259" s="20">
        <v>149.80000000000001</v>
      </c>
      <c r="X259" s="20">
        <v>154.5</v>
      </c>
      <c r="Y259" s="20">
        <v>148.9</v>
      </c>
      <c r="Z259" s="20">
        <v>146.4</v>
      </c>
      <c r="AA259" s="20">
        <v>152.30000000000001</v>
      </c>
      <c r="AB259" s="20">
        <v>129.9</v>
      </c>
      <c r="AC259" s="20">
        <v>143.69999999999999</v>
      </c>
      <c r="AD259" s="20">
        <v>156.1</v>
      </c>
      <c r="AE259" s="20">
        <v>145.19999999999999</v>
      </c>
      <c r="AF259" s="20">
        <v>143.80000000000001</v>
      </c>
      <c r="AG259" s="20">
        <v>148.6</v>
      </c>
      <c r="AH259" s="28">
        <f t="shared" ref="AH259:AH322" si="33">SUM(X259:AF259,G259:V259)</f>
        <v>3680.4999999999986</v>
      </c>
      <c r="AI259" s="28">
        <f t="shared" ref="AI259:AI322" si="34">SUM(AF259,AE259,AD259,AC259)</f>
        <v>588.79999999999995</v>
      </c>
      <c r="AJ259" s="28">
        <f t="shared" ref="AJ259:AJ322" si="35">SUM(V259,U259)</f>
        <v>293.10000000000002</v>
      </c>
      <c r="AK259" s="28">
        <f t="shared" ref="AK259:AK322" si="36">SUM(Z259,X259)</f>
        <v>300.89999999999998</v>
      </c>
      <c r="AL259" s="28">
        <f t="shared" ref="AL259:AL322" si="37">SUM(G259:T259)</f>
        <v>2066.6</v>
      </c>
      <c r="AM259" s="28">
        <f t="shared" ref="AM259:AM322" si="38">AVERAGE(AF259,AE259,AD259,AC259)</f>
        <v>147.19999999999999</v>
      </c>
      <c r="AN259" s="28">
        <f t="shared" ref="AN259:AN322" si="39">AVERAGE(X259,Z259)</f>
        <v>150.44999999999999</v>
      </c>
      <c r="AO259" s="31">
        <v>147.6142857142857</v>
      </c>
    </row>
    <row r="260" spans="1:41" x14ac:dyDescent="0.3">
      <c r="A260" s="26" t="s">
        <v>0</v>
      </c>
      <c r="B260" s="21">
        <v>2020</v>
      </c>
      <c r="C260" s="21" t="s">
        <v>6</v>
      </c>
      <c r="D260" s="21" t="str">
        <f t="shared" si="32"/>
        <v>Apr-20</v>
      </c>
      <c r="E260" s="32">
        <v>43922</v>
      </c>
      <c r="F260" s="21" t="s">
        <v>85</v>
      </c>
      <c r="G260" s="21">
        <v>147.19999999999999</v>
      </c>
      <c r="H260" s="21"/>
      <c r="I260" s="21">
        <v>146.9</v>
      </c>
      <c r="J260" s="21">
        <v>155.6</v>
      </c>
      <c r="K260" s="21">
        <v>137.1</v>
      </c>
      <c r="L260" s="21">
        <v>147.30000000000001</v>
      </c>
      <c r="M260" s="21">
        <v>162.69999999999999</v>
      </c>
      <c r="N260" s="21">
        <v>150.19999999999999</v>
      </c>
      <c r="O260" s="21">
        <v>119.8</v>
      </c>
      <c r="P260" s="21">
        <v>158.69999999999999</v>
      </c>
      <c r="Q260" s="21">
        <v>139.19999999999999</v>
      </c>
      <c r="R260" s="21"/>
      <c r="S260" s="21">
        <v>150.1</v>
      </c>
      <c r="T260" s="21"/>
      <c r="U260" s="21"/>
      <c r="V260" s="21"/>
      <c r="W260" s="21"/>
      <c r="X260" s="28">
        <f>'Handle missing value sheet only'!$C$1</f>
        <v>139.27096774193564</v>
      </c>
      <c r="Y260" s="21">
        <v>148.4</v>
      </c>
      <c r="Z260" s="21"/>
      <c r="AA260" s="21">
        <v>154.30000000000001</v>
      </c>
      <c r="AB260" s="21"/>
      <c r="AC260" s="21"/>
      <c r="AD260" s="21"/>
      <c r="AE260" s="21"/>
      <c r="AF260" s="21"/>
      <c r="AG260" s="21"/>
      <c r="AH260" s="28">
        <f t="shared" si="33"/>
        <v>2056.7709677419357</v>
      </c>
      <c r="AI260" s="28">
        <f t="shared" si="34"/>
        <v>0</v>
      </c>
      <c r="AJ260" s="28">
        <f t="shared" si="35"/>
        <v>0</v>
      </c>
      <c r="AK260" s="28">
        <f t="shared" si="36"/>
        <v>139.27096774193564</v>
      </c>
      <c r="AL260" s="28">
        <f t="shared" si="37"/>
        <v>1614.8000000000002</v>
      </c>
      <c r="AM260" s="28" t="e">
        <f t="shared" si="38"/>
        <v>#DIV/0!</v>
      </c>
      <c r="AN260" s="28">
        <f t="shared" si="39"/>
        <v>139.27096774193564</v>
      </c>
      <c r="AO260" s="29">
        <v>146.80000000000001</v>
      </c>
    </row>
    <row r="261" spans="1:41" x14ac:dyDescent="0.3">
      <c r="A261" s="27" t="s">
        <v>2</v>
      </c>
      <c r="B261" s="20">
        <v>2020</v>
      </c>
      <c r="C261" s="20" t="s">
        <v>6</v>
      </c>
      <c r="D261" s="21" t="str">
        <f t="shared" si="32"/>
        <v>Apr-20</v>
      </c>
      <c r="E261" s="33">
        <v>43922</v>
      </c>
      <c r="F261" s="20" t="s">
        <v>85</v>
      </c>
      <c r="G261" s="20">
        <v>151.80000000000001</v>
      </c>
      <c r="H261" s="20"/>
      <c r="I261" s="20">
        <v>151.9</v>
      </c>
      <c r="J261" s="20">
        <v>155.5</v>
      </c>
      <c r="K261" s="20">
        <v>131.6</v>
      </c>
      <c r="L261" s="20">
        <v>152.9</v>
      </c>
      <c r="M261" s="20">
        <v>180</v>
      </c>
      <c r="N261" s="20">
        <v>150.80000000000001</v>
      </c>
      <c r="O261" s="20">
        <v>121.2</v>
      </c>
      <c r="P261" s="20">
        <v>154</v>
      </c>
      <c r="Q261" s="20">
        <v>133.5</v>
      </c>
      <c r="R261" s="20"/>
      <c r="S261" s="20">
        <v>153.5</v>
      </c>
      <c r="T261" s="20"/>
      <c r="U261" s="20"/>
      <c r="V261" s="20"/>
      <c r="W261" s="20"/>
      <c r="X261" s="20">
        <v>155.6</v>
      </c>
      <c r="Y261" s="20">
        <v>137.1</v>
      </c>
      <c r="Z261" s="20"/>
      <c r="AA261" s="20">
        <v>144.80000000000001</v>
      </c>
      <c r="AB261" s="20"/>
      <c r="AC261" s="20"/>
      <c r="AD261" s="20"/>
      <c r="AE261" s="20"/>
      <c r="AF261" s="20"/>
      <c r="AG261" s="20"/>
      <c r="AH261" s="28">
        <f t="shared" si="33"/>
        <v>2074.1999999999998</v>
      </c>
      <c r="AI261" s="28">
        <f t="shared" si="34"/>
        <v>0</v>
      </c>
      <c r="AJ261" s="28">
        <f t="shared" si="35"/>
        <v>0</v>
      </c>
      <c r="AK261" s="28">
        <f t="shared" si="36"/>
        <v>155.6</v>
      </c>
      <c r="AL261" s="28">
        <f t="shared" si="37"/>
        <v>1636.7</v>
      </c>
      <c r="AM261" s="28" t="e">
        <f t="shared" si="38"/>
        <v>#DIV/0!</v>
      </c>
      <c r="AN261" s="28">
        <f t="shared" si="39"/>
        <v>155.6</v>
      </c>
      <c r="AO261" s="31">
        <v>148.79090909090908</v>
      </c>
    </row>
    <row r="262" spans="1:41" x14ac:dyDescent="0.3">
      <c r="A262" s="26" t="s">
        <v>3</v>
      </c>
      <c r="B262" s="21">
        <v>2020</v>
      </c>
      <c r="C262" s="21" t="s">
        <v>6</v>
      </c>
      <c r="D262" s="21" t="str">
        <f t="shared" si="32"/>
        <v>Apr-20</v>
      </c>
      <c r="E262" s="32">
        <v>43922</v>
      </c>
      <c r="F262" s="21" t="s">
        <v>85</v>
      </c>
      <c r="G262" s="21">
        <v>148.69999999999999</v>
      </c>
      <c r="H262" s="21"/>
      <c r="I262" s="21">
        <v>148.80000000000001</v>
      </c>
      <c r="J262" s="21">
        <v>155.6</v>
      </c>
      <c r="K262" s="21">
        <v>135.1</v>
      </c>
      <c r="L262" s="21">
        <v>149.9</v>
      </c>
      <c r="M262" s="21">
        <v>168.6</v>
      </c>
      <c r="N262" s="21">
        <v>150.4</v>
      </c>
      <c r="O262" s="21">
        <v>120.3</v>
      </c>
      <c r="P262" s="21">
        <v>157.1</v>
      </c>
      <c r="Q262" s="21">
        <v>136.80000000000001</v>
      </c>
      <c r="R262" s="21"/>
      <c r="S262" s="21">
        <v>151.4</v>
      </c>
      <c r="T262" s="21"/>
      <c r="U262" s="21"/>
      <c r="V262" s="21"/>
      <c r="W262" s="21"/>
      <c r="X262" s="21">
        <v>155.6</v>
      </c>
      <c r="Y262" s="21">
        <v>144.1</v>
      </c>
      <c r="Z262" s="21"/>
      <c r="AA262" s="21">
        <v>150.69999999999999</v>
      </c>
      <c r="AB262" s="21"/>
      <c r="AC262" s="21"/>
      <c r="AD262" s="21"/>
      <c r="AE262" s="21"/>
      <c r="AF262" s="21"/>
      <c r="AG262" s="21"/>
      <c r="AH262" s="28">
        <f t="shared" si="33"/>
        <v>2073.1</v>
      </c>
      <c r="AI262" s="28">
        <f t="shared" si="34"/>
        <v>0</v>
      </c>
      <c r="AJ262" s="28">
        <f t="shared" si="35"/>
        <v>0</v>
      </c>
      <c r="AK262" s="28">
        <f t="shared" si="36"/>
        <v>155.6</v>
      </c>
      <c r="AL262" s="28">
        <f t="shared" si="37"/>
        <v>1622.7</v>
      </c>
      <c r="AM262" s="28" t="e">
        <f t="shared" si="38"/>
        <v>#DIV/0!</v>
      </c>
      <c r="AN262" s="28">
        <f t="shared" si="39"/>
        <v>155.6</v>
      </c>
      <c r="AO262" s="29">
        <v>147.51818181818183</v>
      </c>
    </row>
    <row r="263" spans="1:41" x14ac:dyDescent="0.3">
      <c r="A263" s="27" t="s">
        <v>0</v>
      </c>
      <c r="B263" s="20">
        <v>2020</v>
      </c>
      <c r="C263" s="20" t="s">
        <v>7</v>
      </c>
      <c r="D263" s="21" t="str">
        <f t="shared" si="32"/>
        <v>May-20</v>
      </c>
      <c r="E263" s="33">
        <v>43952</v>
      </c>
      <c r="F263" s="20" t="s">
        <v>85</v>
      </c>
      <c r="G263" s="20"/>
      <c r="H263" s="20"/>
      <c r="I263" s="20"/>
      <c r="J263" s="20"/>
      <c r="K263" s="20"/>
      <c r="L263" s="20"/>
      <c r="M263" s="20"/>
      <c r="N263" s="20"/>
      <c r="O263" s="20"/>
      <c r="P263" s="20"/>
      <c r="Q263" s="20"/>
      <c r="R263" s="20"/>
      <c r="S263" s="20"/>
      <c r="T263" s="20"/>
      <c r="U263" s="20"/>
      <c r="V263" s="20"/>
      <c r="W263" s="20"/>
      <c r="X263" s="30">
        <f>'Handle missing value sheet only'!$C$1</f>
        <v>139.27096774193564</v>
      </c>
      <c r="Y263" s="20"/>
      <c r="Z263" s="20"/>
      <c r="AA263" s="20"/>
      <c r="AB263" s="20"/>
      <c r="AC263" s="20"/>
      <c r="AD263" s="20"/>
      <c r="AE263" s="20"/>
      <c r="AF263" s="20"/>
      <c r="AG263" s="20"/>
      <c r="AH263" s="28">
        <f t="shared" si="33"/>
        <v>139.27096774193564</v>
      </c>
      <c r="AI263" s="28">
        <f t="shared" si="34"/>
        <v>0</v>
      </c>
      <c r="AJ263" s="28">
        <f t="shared" si="35"/>
        <v>0</v>
      </c>
      <c r="AK263" s="28">
        <f t="shared" si="36"/>
        <v>139.27096774193564</v>
      </c>
      <c r="AL263" s="28">
        <f t="shared" si="37"/>
        <v>0</v>
      </c>
      <c r="AM263" s="28" t="e">
        <f t="shared" si="38"/>
        <v>#DIV/0!</v>
      </c>
      <c r="AN263" s="28">
        <f t="shared" si="39"/>
        <v>139.27096774193564</v>
      </c>
      <c r="AO263" s="23"/>
    </row>
    <row r="264" spans="1:41" x14ac:dyDescent="0.3">
      <c r="A264" s="26" t="s">
        <v>2</v>
      </c>
      <c r="B264" s="21">
        <v>2020</v>
      </c>
      <c r="C264" s="21" t="s">
        <v>7</v>
      </c>
      <c r="D264" s="21" t="str">
        <f t="shared" si="32"/>
        <v>May-20</v>
      </c>
      <c r="E264" s="32">
        <v>43952</v>
      </c>
      <c r="F264" s="21" t="s">
        <v>85</v>
      </c>
      <c r="G264" s="21"/>
      <c r="H264" s="21"/>
      <c r="I264" s="21"/>
      <c r="J264" s="21"/>
      <c r="K264" s="21"/>
      <c r="L264" s="21"/>
      <c r="M264" s="21"/>
      <c r="N264" s="21"/>
      <c r="O264" s="21"/>
      <c r="P264" s="21"/>
      <c r="Q264" s="21"/>
      <c r="R264" s="21"/>
      <c r="S264" s="21"/>
      <c r="T264" s="21"/>
      <c r="U264" s="21"/>
      <c r="V264" s="21"/>
      <c r="W264" s="21"/>
      <c r="X264" s="28">
        <f>'Handle missing value sheet only'!$C$1</f>
        <v>139.27096774193564</v>
      </c>
      <c r="Y264" s="21"/>
      <c r="Z264" s="21"/>
      <c r="AA264" s="21"/>
      <c r="AB264" s="21"/>
      <c r="AC264" s="21"/>
      <c r="AD264" s="21"/>
      <c r="AE264" s="21"/>
      <c r="AF264" s="21"/>
      <c r="AG264" s="21"/>
      <c r="AH264" s="28">
        <f t="shared" si="33"/>
        <v>139.27096774193564</v>
      </c>
      <c r="AI264" s="28">
        <f t="shared" si="34"/>
        <v>0</v>
      </c>
      <c r="AJ264" s="28">
        <f t="shared" si="35"/>
        <v>0</v>
      </c>
      <c r="AK264" s="28">
        <f t="shared" si="36"/>
        <v>139.27096774193564</v>
      </c>
      <c r="AL264" s="28">
        <f t="shared" si="37"/>
        <v>0</v>
      </c>
      <c r="AM264" s="28" t="e">
        <f t="shared" si="38"/>
        <v>#DIV/0!</v>
      </c>
      <c r="AN264" s="28">
        <f t="shared" si="39"/>
        <v>139.27096774193564</v>
      </c>
      <c r="AO264" s="22"/>
    </row>
    <row r="265" spans="1:41" x14ac:dyDescent="0.3">
      <c r="A265" s="27" t="s">
        <v>3</v>
      </c>
      <c r="B265" s="20">
        <v>2020</v>
      </c>
      <c r="C265" s="20" t="s">
        <v>7</v>
      </c>
      <c r="D265" s="21" t="str">
        <f t="shared" si="32"/>
        <v>May-20</v>
      </c>
      <c r="E265" s="33">
        <v>43952</v>
      </c>
      <c r="F265" s="20" t="s">
        <v>85</v>
      </c>
      <c r="G265" s="20"/>
      <c r="H265" s="20"/>
      <c r="I265" s="20"/>
      <c r="J265" s="20"/>
      <c r="K265" s="20"/>
      <c r="L265" s="20"/>
      <c r="M265" s="20"/>
      <c r="N265" s="20"/>
      <c r="O265" s="20"/>
      <c r="P265" s="20"/>
      <c r="Q265" s="20"/>
      <c r="R265" s="20"/>
      <c r="S265" s="20"/>
      <c r="T265" s="20"/>
      <c r="U265" s="20"/>
      <c r="V265" s="20"/>
      <c r="W265" s="20"/>
      <c r="X265" s="30">
        <f>'Handle missing value sheet only'!$C$1</f>
        <v>139.27096774193564</v>
      </c>
      <c r="Y265" s="20"/>
      <c r="Z265" s="20"/>
      <c r="AA265" s="20"/>
      <c r="AB265" s="20"/>
      <c r="AC265" s="20"/>
      <c r="AD265" s="20"/>
      <c r="AE265" s="20"/>
      <c r="AF265" s="20"/>
      <c r="AG265" s="20"/>
      <c r="AH265" s="28">
        <f t="shared" si="33"/>
        <v>139.27096774193564</v>
      </c>
      <c r="AI265" s="28">
        <f t="shared" si="34"/>
        <v>0</v>
      </c>
      <c r="AJ265" s="28">
        <f t="shared" si="35"/>
        <v>0</v>
      </c>
      <c r="AK265" s="28">
        <f t="shared" si="36"/>
        <v>139.27096774193564</v>
      </c>
      <c r="AL265" s="28">
        <f t="shared" si="37"/>
        <v>0</v>
      </c>
      <c r="AM265" s="28" t="e">
        <f t="shared" si="38"/>
        <v>#DIV/0!</v>
      </c>
      <c r="AN265" s="28">
        <f t="shared" si="39"/>
        <v>139.27096774193564</v>
      </c>
      <c r="AO265" s="23"/>
    </row>
    <row r="266" spans="1:41" x14ac:dyDescent="0.3">
      <c r="A266" s="26" t="s">
        <v>0</v>
      </c>
      <c r="B266" s="21">
        <v>2020</v>
      </c>
      <c r="C266" s="21" t="s">
        <v>8</v>
      </c>
      <c r="D266" s="21" t="str">
        <f t="shared" si="32"/>
        <v>Jun-20</v>
      </c>
      <c r="E266" s="32">
        <v>43983</v>
      </c>
      <c r="F266" s="21" t="s">
        <v>85</v>
      </c>
      <c r="G266" s="21">
        <v>148.19999999999999</v>
      </c>
      <c r="H266" s="21">
        <v>190.3</v>
      </c>
      <c r="I266" s="21">
        <v>149.4</v>
      </c>
      <c r="J266" s="21">
        <v>153.30000000000001</v>
      </c>
      <c r="K266" s="21">
        <v>138.19999999999999</v>
      </c>
      <c r="L266" s="21">
        <v>143.19999999999999</v>
      </c>
      <c r="M266" s="21">
        <v>148.9</v>
      </c>
      <c r="N266" s="21">
        <v>150.30000000000001</v>
      </c>
      <c r="O266" s="21">
        <v>113.2</v>
      </c>
      <c r="P266" s="21">
        <v>159.80000000000001</v>
      </c>
      <c r="Q266" s="21">
        <v>142.1</v>
      </c>
      <c r="R266" s="21">
        <v>161.80000000000001</v>
      </c>
      <c r="S266" s="21">
        <v>152.30000000000001</v>
      </c>
      <c r="T266" s="21">
        <v>182.4</v>
      </c>
      <c r="U266" s="21">
        <v>154.69999999999999</v>
      </c>
      <c r="V266" s="21">
        <v>150</v>
      </c>
      <c r="W266" s="21">
        <v>154.1</v>
      </c>
      <c r="X266" s="28">
        <f>'Handle missing value sheet only'!$C$1</f>
        <v>139.27096774193564</v>
      </c>
      <c r="Y266" s="21">
        <v>144.9</v>
      </c>
      <c r="Z266" s="21">
        <v>151.69999999999999</v>
      </c>
      <c r="AA266" s="21">
        <v>158.19999999999999</v>
      </c>
      <c r="AB266" s="21">
        <v>141.4</v>
      </c>
      <c r="AC266" s="21">
        <v>153.19999999999999</v>
      </c>
      <c r="AD266" s="21">
        <v>161.80000000000001</v>
      </c>
      <c r="AE266" s="21">
        <v>151.19999999999999</v>
      </c>
      <c r="AF266" s="21">
        <v>151.69999999999999</v>
      </c>
      <c r="AG266" s="21">
        <v>152.69999999999999</v>
      </c>
      <c r="AH266" s="28">
        <f t="shared" si="33"/>
        <v>3791.470967741936</v>
      </c>
      <c r="AI266" s="28">
        <f t="shared" si="34"/>
        <v>617.9</v>
      </c>
      <c r="AJ266" s="28">
        <f t="shared" si="35"/>
        <v>304.7</v>
      </c>
      <c r="AK266" s="28">
        <f t="shared" si="36"/>
        <v>290.97096774193562</v>
      </c>
      <c r="AL266" s="28">
        <f t="shared" si="37"/>
        <v>2133.4</v>
      </c>
      <c r="AM266" s="28">
        <f t="shared" si="38"/>
        <v>154.47499999999999</v>
      </c>
      <c r="AN266" s="28">
        <f t="shared" si="39"/>
        <v>145.48548387096781</v>
      </c>
      <c r="AO266" s="22">
        <v>152.3857142857143</v>
      </c>
    </row>
    <row r="267" spans="1:41" x14ac:dyDescent="0.3">
      <c r="A267" s="27" t="s">
        <v>2</v>
      </c>
      <c r="B267" s="20">
        <v>2020</v>
      </c>
      <c r="C267" s="20" t="s">
        <v>8</v>
      </c>
      <c r="D267" s="21" t="str">
        <f t="shared" si="32"/>
        <v>Jun-20</v>
      </c>
      <c r="E267" s="33">
        <v>43983</v>
      </c>
      <c r="F267" s="20" t="s">
        <v>85</v>
      </c>
      <c r="G267" s="20">
        <v>152.69999999999999</v>
      </c>
      <c r="H267" s="20">
        <v>197</v>
      </c>
      <c r="I267" s="20">
        <v>154.6</v>
      </c>
      <c r="J267" s="20">
        <v>153.4</v>
      </c>
      <c r="K267" s="20">
        <v>132.9</v>
      </c>
      <c r="L267" s="20">
        <v>151.80000000000001</v>
      </c>
      <c r="M267" s="20">
        <v>171.2</v>
      </c>
      <c r="N267" s="20">
        <v>152</v>
      </c>
      <c r="O267" s="20">
        <v>116.3</v>
      </c>
      <c r="P267" s="20">
        <v>158.80000000000001</v>
      </c>
      <c r="Q267" s="20">
        <v>135.6</v>
      </c>
      <c r="R267" s="20">
        <v>161.69999999999999</v>
      </c>
      <c r="S267" s="20">
        <v>157</v>
      </c>
      <c r="T267" s="20">
        <v>186.7</v>
      </c>
      <c r="U267" s="20">
        <v>149.1</v>
      </c>
      <c r="V267" s="20">
        <v>136.6</v>
      </c>
      <c r="W267" s="20">
        <v>147.19999999999999</v>
      </c>
      <c r="X267" s="20">
        <v>154.69999999999999</v>
      </c>
      <c r="Y267" s="20">
        <v>137.1</v>
      </c>
      <c r="Z267" s="20">
        <v>140.4</v>
      </c>
      <c r="AA267" s="20">
        <v>148.1</v>
      </c>
      <c r="AB267" s="20">
        <v>129.30000000000001</v>
      </c>
      <c r="AC267" s="20">
        <v>144.5</v>
      </c>
      <c r="AD267" s="20">
        <v>152.5</v>
      </c>
      <c r="AE267" s="20">
        <v>152.19999999999999</v>
      </c>
      <c r="AF267" s="20">
        <v>142</v>
      </c>
      <c r="AG267" s="20">
        <v>150.80000000000001</v>
      </c>
      <c r="AH267" s="28">
        <f t="shared" si="33"/>
        <v>3768.2</v>
      </c>
      <c r="AI267" s="28">
        <f t="shared" si="34"/>
        <v>591.20000000000005</v>
      </c>
      <c r="AJ267" s="28">
        <f t="shared" si="35"/>
        <v>285.7</v>
      </c>
      <c r="AK267" s="28">
        <f t="shared" si="36"/>
        <v>295.10000000000002</v>
      </c>
      <c r="AL267" s="28">
        <f t="shared" si="37"/>
        <v>2181.6999999999998</v>
      </c>
      <c r="AM267" s="28">
        <f t="shared" si="38"/>
        <v>147.80000000000001</v>
      </c>
      <c r="AN267" s="28">
        <f t="shared" si="39"/>
        <v>147.55000000000001</v>
      </c>
      <c r="AO267" s="23">
        <v>155.83571428571426</v>
      </c>
    </row>
    <row r="268" spans="1:41" x14ac:dyDescent="0.3">
      <c r="A268" s="26" t="s">
        <v>3</v>
      </c>
      <c r="B268" s="21">
        <v>2020</v>
      </c>
      <c r="C268" s="21" t="s">
        <v>8</v>
      </c>
      <c r="D268" s="21" t="str">
        <f t="shared" si="32"/>
        <v>Jun-20</v>
      </c>
      <c r="E268" s="32">
        <v>43983</v>
      </c>
      <c r="F268" s="21" t="s">
        <v>85</v>
      </c>
      <c r="G268" s="21">
        <v>149.6</v>
      </c>
      <c r="H268" s="21">
        <v>192.7</v>
      </c>
      <c r="I268" s="21">
        <v>151.4</v>
      </c>
      <c r="J268" s="21">
        <v>153.30000000000001</v>
      </c>
      <c r="K268" s="21">
        <v>136.30000000000001</v>
      </c>
      <c r="L268" s="21">
        <v>147.19999999999999</v>
      </c>
      <c r="M268" s="21">
        <v>156.5</v>
      </c>
      <c r="N268" s="21">
        <v>150.9</v>
      </c>
      <c r="O268" s="21">
        <v>114.2</v>
      </c>
      <c r="P268" s="21">
        <v>159.5</v>
      </c>
      <c r="Q268" s="21">
        <v>139.4</v>
      </c>
      <c r="R268" s="21">
        <v>161.80000000000001</v>
      </c>
      <c r="S268" s="21">
        <v>154</v>
      </c>
      <c r="T268" s="21">
        <v>183.5</v>
      </c>
      <c r="U268" s="21">
        <v>152.5</v>
      </c>
      <c r="V268" s="21">
        <v>144.4</v>
      </c>
      <c r="W268" s="21">
        <v>151.4</v>
      </c>
      <c r="X268" s="21">
        <v>154.69999999999999</v>
      </c>
      <c r="Y268" s="21">
        <v>141.9</v>
      </c>
      <c r="Z268" s="21">
        <v>146.4</v>
      </c>
      <c r="AA268" s="21">
        <v>154.4</v>
      </c>
      <c r="AB268" s="21">
        <v>135</v>
      </c>
      <c r="AC268" s="21">
        <v>148.30000000000001</v>
      </c>
      <c r="AD268" s="21">
        <v>156.4</v>
      </c>
      <c r="AE268" s="21">
        <v>151.6</v>
      </c>
      <c r="AF268" s="21">
        <v>147</v>
      </c>
      <c r="AG268" s="21">
        <v>151.80000000000001</v>
      </c>
      <c r="AH268" s="28">
        <f t="shared" si="33"/>
        <v>3782.9</v>
      </c>
      <c r="AI268" s="28">
        <f t="shared" si="34"/>
        <v>603.29999999999995</v>
      </c>
      <c r="AJ268" s="28">
        <f t="shared" si="35"/>
        <v>296.89999999999998</v>
      </c>
      <c r="AK268" s="28">
        <f t="shared" si="36"/>
        <v>301.10000000000002</v>
      </c>
      <c r="AL268" s="28">
        <f t="shared" si="37"/>
        <v>2150.3000000000002</v>
      </c>
      <c r="AM268" s="28">
        <f t="shared" si="38"/>
        <v>150.82499999999999</v>
      </c>
      <c r="AN268" s="28">
        <f t="shared" si="39"/>
        <v>150.55000000000001</v>
      </c>
      <c r="AO268" s="22">
        <v>153.59285714285716</v>
      </c>
    </row>
    <row r="269" spans="1:41" x14ac:dyDescent="0.3">
      <c r="A269" s="27" t="s">
        <v>0</v>
      </c>
      <c r="B269" s="20">
        <v>2020</v>
      </c>
      <c r="C269" s="20" t="s">
        <v>9</v>
      </c>
      <c r="D269" s="21" t="str">
        <f t="shared" si="32"/>
        <v>Jul-20</v>
      </c>
      <c r="E269" s="33">
        <v>44013</v>
      </c>
      <c r="F269" s="20" t="s">
        <v>85</v>
      </c>
      <c r="G269" s="20">
        <v>148.19999999999999</v>
      </c>
      <c r="H269" s="20">
        <v>190.3</v>
      </c>
      <c r="I269" s="20">
        <v>149.4</v>
      </c>
      <c r="J269" s="20">
        <v>153.30000000000001</v>
      </c>
      <c r="K269" s="20">
        <v>138.19999999999999</v>
      </c>
      <c r="L269" s="20">
        <v>143.19999999999999</v>
      </c>
      <c r="M269" s="20">
        <v>148.9</v>
      </c>
      <c r="N269" s="20">
        <v>150.30000000000001</v>
      </c>
      <c r="O269" s="20">
        <v>113.2</v>
      </c>
      <c r="P269" s="20">
        <v>159.80000000000001</v>
      </c>
      <c r="Q269" s="20">
        <v>142.1</v>
      </c>
      <c r="R269" s="20">
        <v>161.80000000000001</v>
      </c>
      <c r="S269" s="20">
        <v>152.30000000000001</v>
      </c>
      <c r="T269" s="20">
        <v>182.4</v>
      </c>
      <c r="U269" s="20">
        <v>154.69999999999999</v>
      </c>
      <c r="V269" s="20">
        <v>150</v>
      </c>
      <c r="W269" s="20">
        <v>154.1</v>
      </c>
      <c r="X269" s="30">
        <f>'Handle missing value sheet only'!$C$1</f>
        <v>139.27096774193564</v>
      </c>
      <c r="Y269" s="20">
        <v>144.9</v>
      </c>
      <c r="Z269" s="20">
        <v>151.69999999999999</v>
      </c>
      <c r="AA269" s="20">
        <v>158.19999999999999</v>
      </c>
      <c r="AB269" s="20">
        <v>141.4</v>
      </c>
      <c r="AC269" s="20">
        <v>153.19999999999999</v>
      </c>
      <c r="AD269" s="20">
        <v>161.80000000000001</v>
      </c>
      <c r="AE269" s="20">
        <v>151.19999999999999</v>
      </c>
      <c r="AF269" s="20">
        <v>151.69999999999999</v>
      </c>
      <c r="AG269" s="20">
        <v>152.69999999999999</v>
      </c>
      <c r="AH269" s="28">
        <f t="shared" si="33"/>
        <v>3791.470967741936</v>
      </c>
      <c r="AI269" s="28">
        <f t="shared" si="34"/>
        <v>617.9</v>
      </c>
      <c r="AJ269" s="28">
        <f t="shared" si="35"/>
        <v>304.7</v>
      </c>
      <c r="AK269" s="28">
        <f t="shared" si="36"/>
        <v>290.97096774193562</v>
      </c>
      <c r="AL269" s="28">
        <f t="shared" si="37"/>
        <v>2133.4</v>
      </c>
      <c r="AM269" s="28">
        <f t="shared" si="38"/>
        <v>154.47499999999999</v>
      </c>
      <c r="AN269" s="28">
        <f t="shared" si="39"/>
        <v>145.48548387096781</v>
      </c>
      <c r="AO269" s="23">
        <v>152.3857142857143</v>
      </c>
    </row>
    <row r="270" spans="1:41" x14ac:dyDescent="0.3">
      <c r="A270" s="26" t="s">
        <v>2</v>
      </c>
      <c r="B270" s="21">
        <v>2020</v>
      </c>
      <c r="C270" s="21" t="s">
        <v>9</v>
      </c>
      <c r="D270" s="21" t="str">
        <f t="shared" si="32"/>
        <v>Jul-20</v>
      </c>
      <c r="E270" s="32">
        <v>44013</v>
      </c>
      <c r="F270" s="21" t="s">
        <v>85</v>
      </c>
      <c r="G270" s="21">
        <v>152.69999999999999</v>
      </c>
      <c r="H270" s="21">
        <v>197</v>
      </c>
      <c r="I270" s="21">
        <v>154.6</v>
      </c>
      <c r="J270" s="21">
        <v>153.4</v>
      </c>
      <c r="K270" s="21">
        <v>132.9</v>
      </c>
      <c r="L270" s="21">
        <v>151.80000000000001</v>
      </c>
      <c r="M270" s="21">
        <v>171.2</v>
      </c>
      <c r="N270" s="21">
        <v>152</v>
      </c>
      <c r="O270" s="21">
        <v>116.3</v>
      </c>
      <c r="P270" s="21">
        <v>158.80000000000001</v>
      </c>
      <c r="Q270" s="21">
        <v>135.6</v>
      </c>
      <c r="R270" s="21">
        <v>161.69999999999999</v>
      </c>
      <c r="S270" s="21">
        <v>157</v>
      </c>
      <c r="T270" s="21">
        <v>186.7</v>
      </c>
      <c r="U270" s="21">
        <v>149.1</v>
      </c>
      <c r="V270" s="21">
        <v>136.6</v>
      </c>
      <c r="W270" s="21">
        <v>147.19999999999999</v>
      </c>
      <c r="X270" s="21">
        <v>154.69999999999999</v>
      </c>
      <c r="Y270" s="21">
        <v>137.1</v>
      </c>
      <c r="Z270" s="21">
        <v>140.4</v>
      </c>
      <c r="AA270" s="21">
        <v>148.1</v>
      </c>
      <c r="AB270" s="21">
        <v>129.30000000000001</v>
      </c>
      <c r="AC270" s="21">
        <v>144.5</v>
      </c>
      <c r="AD270" s="21">
        <v>152.5</v>
      </c>
      <c r="AE270" s="21">
        <v>152.19999999999999</v>
      </c>
      <c r="AF270" s="21">
        <v>142</v>
      </c>
      <c r="AG270" s="21">
        <v>150.80000000000001</v>
      </c>
      <c r="AH270" s="28">
        <f t="shared" si="33"/>
        <v>3768.2</v>
      </c>
      <c r="AI270" s="28">
        <f t="shared" si="34"/>
        <v>591.20000000000005</v>
      </c>
      <c r="AJ270" s="28">
        <f t="shared" si="35"/>
        <v>285.7</v>
      </c>
      <c r="AK270" s="28">
        <f t="shared" si="36"/>
        <v>295.10000000000002</v>
      </c>
      <c r="AL270" s="28">
        <f t="shared" si="37"/>
        <v>2181.6999999999998</v>
      </c>
      <c r="AM270" s="28">
        <f t="shared" si="38"/>
        <v>147.80000000000001</v>
      </c>
      <c r="AN270" s="28">
        <f t="shared" si="39"/>
        <v>147.55000000000001</v>
      </c>
      <c r="AO270" s="22">
        <v>155.83571428571426</v>
      </c>
    </row>
    <row r="271" spans="1:41" x14ac:dyDescent="0.3">
      <c r="A271" s="27" t="s">
        <v>3</v>
      </c>
      <c r="B271" s="20">
        <v>2020</v>
      </c>
      <c r="C271" s="20" t="s">
        <v>9</v>
      </c>
      <c r="D271" s="21" t="str">
        <f t="shared" si="32"/>
        <v>Jul-20</v>
      </c>
      <c r="E271" s="33">
        <v>44013</v>
      </c>
      <c r="F271" s="20" t="s">
        <v>85</v>
      </c>
      <c r="G271" s="20">
        <v>149.6</v>
      </c>
      <c r="H271" s="20">
        <v>192.7</v>
      </c>
      <c r="I271" s="20">
        <v>151.4</v>
      </c>
      <c r="J271" s="20">
        <v>153.30000000000001</v>
      </c>
      <c r="K271" s="20">
        <v>136.30000000000001</v>
      </c>
      <c r="L271" s="20">
        <v>147.19999999999999</v>
      </c>
      <c r="M271" s="20">
        <v>156.5</v>
      </c>
      <c r="N271" s="20">
        <v>150.9</v>
      </c>
      <c r="O271" s="20">
        <v>114.2</v>
      </c>
      <c r="P271" s="20">
        <v>159.5</v>
      </c>
      <c r="Q271" s="20">
        <v>139.4</v>
      </c>
      <c r="R271" s="20">
        <v>161.80000000000001</v>
      </c>
      <c r="S271" s="20">
        <v>154</v>
      </c>
      <c r="T271" s="20">
        <v>183.5</v>
      </c>
      <c r="U271" s="20">
        <v>152.5</v>
      </c>
      <c r="V271" s="20">
        <v>144.4</v>
      </c>
      <c r="W271" s="20">
        <v>151.4</v>
      </c>
      <c r="X271" s="20">
        <v>154.69999999999999</v>
      </c>
      <c r="Y271" s="20">
        <v>141.9</v>
      </c>
      <c r="Z271" s="20">
        <v>146.4</v>
      </c>
      <c r="AA271" s="20">
        <v>154.4</v>
      </c>
      <c r="AB271" s="20">
        <v>135</v>
      </c>
      <c r="AC271" s="20">
        <v>148.30000000000001</v>
      </c>
      <c r="AD271" s="20">
        <v>156.4</v>
      </c>
      <c r="AE271" s="20">
        <v>151.6</v>
      </c>
      <c r="AF271" s="20">
        <v>147</v>
      </c>
      <c r="AG271" s="20">
        <v>151.80000000000001</v>
      </c>
      <c r="AH271" s="28">
        <f t="shared" si="33"/>
        <v>3782.9</v>
      </c>
      <c r="AI271" s="28">
        <f t="shared" si="34"/>
        <v>603.29999999999995</v>
      </c>
      <c r="AJ271" s="28">
        <f t="shared" si="35"/>
        <v>296.89999999999998</v>
      </c>
      <c r="AK271" s="28">
        <f t="shared" si="36"/>
        <v>301.10000000000002</v>
      </c>
      <c r="AL271" s="28">
        <f t="shared" si="37"/>
        <v>2150.3000000000002</v>
      </c>
      <c r="AM271" s="28">
        <f t="shared" si="38"/>
        <v>150.82499999999999</v>
      </c>
      <c r="AN271" s="28">
        <f t="shared" si="39"/>
        <v>150.55000000000001</v>
      </c>
      <c r="AO271" s="23">
        <v>153.59285714285716</v>
      </c>
    </row>
    <row r="272" spans="1:41" x14ac:dyDescent="0.3">
      <c r="A272" s="26" t="s">
        <v>0</v>
      </c>
      <c r="B272" s="21">
        <v>2020</v>
      </c>
      <c r="C272" s="21" t="s">
        <v>10</v>
      </c>
      <c r="D272" s="21" t="str">
        <f t="shared" si="32"/>
        <v>Aug-20</v>
      </c>
      <c r="E272" s="32">
        <v>44044</v>
      </c>
      <c r="F272" s="21" t="s">
        <v>85</v>
      </c>
      <c r="G272" s="21">
        <v>147.6</v>
      </c>
      <c r="H272" s="21">
        <v>187.2</v>
      </c>
      <c r="I272" s="21">
        <v>148.4</v>
      </c>
      <c r="J272" s="21">
        <v>153.30000000000001</v>
      </c>
      <c r="K272" s="21">
        <v>139.80000000000001</v>
      </c>
      <c r="L272" s="21">
        <v>146.9</v>
      </c>
      <c r="M272" s="21">
        <v>171</v>
      </c>
      <c r="N272" s="21">
        <v>149.9</v>
      </c>
      <c r="O272" s="21">
        <v>114.2</v>
      </c>
      <c r="P272" s="21">
        <v>160</v>
      </c>
      <c r="Q272" s="21">
        <v>143.5</v>
      </c>
      <c r="R272" s="21">
        <v>161.5</v>
      </c>
      <c r="S272" s="21">
        <v>155.30000000000001</v>
      </c>
      <c r="T272" s="21">
        <v>180.9</v>
      </c>
      <c r="U272" s="21">
        <v>155.1</v>
      </c>
      <c r="V272" s="21">
        <v>149.30000000000001</v>
      </c>
      <c r="W272" s="21">
        <v>154.30000000000001</v>
      </c>
      <c r="X272" s="28">
        <f>'Handle missing value sheet only'!$C$1</f>
        <v>139.27096774193564</v>
      </c>
      <c r="Y272" s="21">
        <v>145.80000000000001</v>
      </c>
      <c r="Z272" s="21">
        <v>151.9</v>
      </c>
      <c r="AA272" s="21">
        <v>158.80000000000001</v>
      </c>
      <c r="AB272" s="21">
        <v>143.6</v>
      </c>
      <c r="AC272" s="21">
        <v>152.19999999999999</v>
      </c>
      <c r="AD272" s="21">
        <v>162.69999999999999</v>
      </c>
      <c r="AE272" s="21">
        <v>153.6</v>
      </c>
      <c r="AF272" s="21">
        <v>153</v>
      </c>
      <c r="AG272" s="21">
        <v>154.69999999999999</v>
      </c>
      <c r="AH272" s="28">
        <f t="shared" si="33"/>
        <v>3824.7709677419361</v>
      </c>
      <c r="AI272" s="28">
        <f t="shared" si="34"/>
        <v>621.5</v>
      </c>
      <c r="AJ272" s="28">
        <f t="shared" si="35"/>
        <v>304.39999999999998</v>
      </c>
      <c r="AK272" s="28">
        <f t="shared" si="36"/>
        <v>291.17096774193567</v>
      </c>
      <c r="AL272" s="28">
        <f t="shared" si="37"/>
        <v>2159.5</v>
      </c>
      <c r="AM272" s="28">
        <f t="shared" si="38"/>
        <v>155.375</v>
      </c>
      <c r="AN272" s="28">
        <f t="shared" si="39"/>
        <v>145.58548387096783</v>
      </c>
      <c r="AO272" s="22">
        <v>154.25</v>
      </c>
    </row>
    <row r="273" spans="1:41" x14ac:dyDescent="0.3">
      <c r="A273" s="27" t="s">
        <v>2</v>
      </c>
      <c r="B273" s="20">
        <v>2020</v>
      </c>
      <c r="C273" s="20" t="s">
        <v>10</v>
      </c>
      <c r="D273" s="21" t="str">
        <f t="shared" si="32"/>
        <v>Aug-20</v>
      </c>
      <c r="E273" s="33">
        <v>44044</v>
      </c>
      <c r="F273" s="20" t="s">
        <v>85</v>
      </c>
      <c r="G273" s="20">
        <v>151.6</v>
      </c>
      <c r="H273" s="20">
        <v>197.8</v>
      </c>
      <c r="I273" s="20">
        <v>154.5</v>
      </c>
      <c r="J273" s="20">
        <v>153.4</v>
      </c>
      <c r="K273" s="20">
        <v>133.4</v>
      </c>
      <c r="L273" s="20">
        <v>154.5</v>
      </c>
      <c r="M273" s="20">
        <v>191.9</v>
      </c>
      <c r="N273" s="20">
        <v>151.30000000000001</v>
      </c>
      <c r="O273" s="20">
        <v>116.8</v>
      </c>
      <c r="P273" s="20">
        <v>160</v>
      </c>
      <c r="Q273" s="20">
        <v>136.5</v>
      </c>
      <c r="R273" s="20">
        <v>163.30000000000001</v>
      </c>
      <c r="S273" s="20">
        <v>159.9</v>
      </c>
      <c r="T273" s="20">
        <v>187.2</v>
      </c>
      <c r="U273" s="20">
        <v>150</v>
      </c>
      <c r="V273" s="20">
        <v>135.19999999999999</v>
      </c>
      <c r="W273" s="20">
        <v>147.80000000000001</v>
      </c>
      <c r="X273" s="20">
        <v>155.5</v>
      </c>
      <c r="Y273" s="20">
        <v>138.30000000000001</v>
      </c>
      <c r="Z273" s="20">
        <v>144.5</v>
      </c>
      <c r="AA273" s="20">
        <v>148.69999999999999</v>
      </c>
      <c r="AB273" s="20">
        <v>133.9</v>
      </c>
      <c r="AC273" s="20">
        <v>141.19999999999999</v>
      </c>
      <c r="AD273" s="20">
        <v>155.5</v>
      </c>
      <c r="AE273" s="20">
        <v>155.19999999999999</v>
      </c>
      <c r="AF273" s="20">
        <v>144.80000000000001</v>
      </c>
      <c r="AG273" s="20">
        <v>152.9</v>
      </c>
      <c r="AH273" s="28">
        <f t="shared" si="33"/>
        <v>3814.9</v>
      </c>
      <c r="AI273" s="28">
        <f t="shared" si="34"/>
        <v>596.70000000000005</v>
      </c>
      <c r="AJ273" s="28">
        <f t="shared" si="35"/>
        <v>285.2</v>
      </c>
      <c r="AK273" s="28">
        <f t="shared" si="36"/>
        <v>300</v>
      </c>
      <c r="AL273" s="28">
        <f t="shared" si="37"/>
        <v>2212.1</v>
      </c>
      <c r="AM273" s="28">
        <f t="shared" si="38"/>
        <v>149.17500000000001</v>
      </c>
      <c r="AN273" s="28">
        <f t="shared" si="39"/>
        <v>150</v>
      </c>
      <c r="AO273" s="23">
        <v>158.00714285714284</v>
      </c>
    </row>
    <row r="274" spans="1:41" x14ac:dyDescent="0.3">
      <c r="A274" s="26" t="s">
        <v>3</v>
      </c>
      <c r="B274" s="21">
        <v>2020</v>
      </c>
      <c r="C274" s="21" t="s">
        <v>10</v>
      </c>
      <c r="D274" s="21" t="str">
        <f t="shared" si="32"/>
        <v>Aug-20</v>
      </c>
      <c r="E274" s="32">
        <v>44044</v>
      </c>
      <c r="F274" s="21" t="s">
        <v>85</v>
      </c>
      <c r="G274" s="21">
        <v>148.9</v>
      </c>
      <c r="H274" s="21">
        <v>190.9</v>
      </c>
      <c r="I274" s="21">
        <v>150.80000000000001</v>
      </c>
      <c r="J274" s="21">
        <v>153.30000000000001</v>
      </c>
      <c r="K274" s="21">
        <v>137.4</v>
      </c>
      <c r="L274" s="21">
        <v>150.4</v>
      </c>
      <c r="M274" s="21">
        <v>178.1</v>
      </c>
      <c r="N274" s="21">
        <v>150.4</v>
      </c>
      <c r="O274" s="21">
        <v>115.1</v>
      </c>
      <c r="P274" s="21">
        <v>160</v>
      </c>
      <c r="Q274" s="21">
        <v>140.6</v>
      </c>
      <c r="R274" s="21">
        <v>162.30000000000001</v>
      </c>
      <c r="S274" s="21">
        <v>157</v>
      </c>
      <c r="T274" s="21">
        <v>182.6</v>
      </c>
      <c r="U274" s="21">
        <v>153.1</v>
      </c>
      <c r="V274" s="21">
        <v>143.4</v>
      </c>
      <c r="W274" s="21">
        <v>151.69999999999999</v>
      </c>
      <c r="X274" s="21">
        <v>155.5</v>
      </c>
      <c r="Y274" s="21">
        <v>143</v>
      </c>
      <c r="Z274" s="21">
        <v>148.4</v>
      </c>
      <c r="AA274" s="21">
        <v>155</v>
      </c>
      <c r="AB274" s="21">
        <v>138.5</v>
      </c>
      <c r="AC274" s="21">
        <v>146</v>
      </c>
      <c r="AD274" s="21">
        <v>158.5</v>
      </c>
      <c r="AE274" s="21">
        <v>154.30000000000001</v>
      </c>
      <c r="AF274" s="21">
        <v>149</v>
      </c>
      <c r="AG274" s="21">
        <v>153.9</v>
      </c>
      <c r="AH274" s="28">
        <f t="shared" si="33"/>
        <v>3822.5</v>
      </c>
      <c r="AI274" s="28">
        <f t="shared" si="34"/>
        <v>607.79999999999995</v>
      </c>
      <c r="AJ274" s="28">
        <f t="shared" si="35"/>
        <v>296.5</v>
      </c>
      <c r="AK274" s="28">
        <f t="shared" si="36"/>
        <v>303.89999999999998</v>
      </c>
      <c r="AL274" s="28">
        <f t="shared" si="37"/>
        <v>2177.7999999999997</v>
      </c>
      <c r="AM274" s="28">
        <f t="shared" si="38"/>
        <v>151.94999999999999</v>
      </c>
      <c r="AN274" s="28">
        <f t="shared" si="39"/>
        <v>151.94999999999999</v>
      </c>
      <c r="AO274" s="22">
        <v>155.55714285714285</v>
      </c>
    </row>
    <row r="275" spans="1:41" x14ac:dyDescent="0.3">
      <c r="A275" s="27" t="s">
        <v>0</v>
      </c>
      <c r="B275" s="20">
        <v>2020</v>
      </c>
      <c r="C275" s="20" t="s">
        <v>11</v>
      </c>
      <c r="D275" s="21" t="str">
        <f t="shared" si="32"/>
        <v>Sep-20</v>
      </c>
      <c r="E275" s="33">
        <v>44075</v>
      </c>
      <c r="F275" s="20" t="s">
        <v>85</v>
      </c>
      <c r="G275" s="20">
        <v>146.9</v>
      </c>
      <c r="H275" s="20">
        <v>183.9</v>
      </c>
      <c r="I275" s="20">
        <v>149.5</v>
      </c>
      <c r="J275" s="20">
        <v>153.4</v>
      </c>
      <c r="K275" s="20">
        <v>140.4</v>
      </c>
      <c r="L275" s="20">
        <v>147</v>
      </c>
      <c r="M275" s="20">
        <v>178.8</v>
      </c>
      <c r="N275" s="20">
        <v>149.30000000000001</v>
      </c>
      <c r="O275" s="20">
        <v>115.1</v>
      </c>
      <c r="P275" s="20">
        <v>160</v>
      </c>
      <c r="Q275" s="20">
        <v>145.4</v>
      </c>
      <c r="R275" s="20">
        <v>161.6</v>
      </c>
      <c r="S275" s="20">
        <v>156.1</v>
      </c>
      <c r="T275" s="20">
        <v>182.9</v>
      </c>
      <c r="U275" s="20">
        <v>155.4</v>
      </c>
      <c r="V275" s="20">
        <v>149.9</v>
      </c>
      <c r="W275" s="20">
        <v>154.6</v>
      </c>
      <c r="X275" s="30">
        <f>'Handle missing value sheet only'!$C$1</f>
        <v>139.27096774193564</v>
      </c>
      <c r="Y275" s="20">
        <v>146.4</v>
      </c>
      <c r="Z275" s="20">
        <v>151.6</v>
      </c>
      <c r="AA275" s="20">
        <v>159.1</v>
      </c>
      <c r="AB275" s="20">
        <v>144.6</v>
      </c>
      <c r="AC275" s="20">
        <v>152.80000000000001</v>
      </c>
      <c r="AD275" s="20">
        <v>161.1</v>
      </c>
      <c r="AE275" s="20">
        <v>157.4</v>
      </c>
      <c r="AF275" s="20">
        <v>153.69999999999999</v>
      </c>
      <c r="AG275" s="20">
        <v>155.4</v>
      </c>
      <c r="AH275" s="28">
        <f t="shared" si="33"/>
        <v>3841.5709677419363</v>
      </c>
      <c r="AI275" s="28">
        <f t="shared" si="34"/>
        <v>625</v>
      </c>
      <c r="AJ275" s="28">
        <f t="shared" si="35"/>
        <v>305.3</v>
      </c>
      <c r="AK275" s="28">
        <f t="shared" si="36"/>
        <v>290.8709677419356</v>
      </c>
      <c r="AL275" s="28">
        <f t="shared" si="37"/>
        <v>2170.2999999999997</v>
      </c>
      <c r="AM275" s="28">
        <f t="shared" si="38"/>
        <v>156.25</v>
      </c>
      <c r="AN275" s="28">
        <f t="shared" si="39"/>
        <v>145.4354838709678</v>
      </c>
      <c r="AO275" s="23">
        <v>155.02142857142854</v>
      </c>
    </row>
    <row r="276" spans="1:41" x14ac:dyDescent="0.3">
      <c r="A276" s="26" t="s">
        <v>2</v>
      </c>
      <c r="B276" s="21">
        <v>2020</v>
      </c>
      <c r="C276" s="21" t="s">
        <v>11</v>
      </c>
      <c r="D276" s="21" t="str">
        <f t="shared" si="32"/>
        <v>Sep-20</v>
      </c>
      <c r="E276" s="32">
        <v>44075</v>
      </c>
      <c r="F276" s="21" t="s">
        <v>85</v>
      </c>
      <c r="G276" s="21">
        <v>151.5</v>
      </c>
      <c r="H276" s="21">
        <v>193.1</v>
      </c>
      <c r="I276" s="21">
        <v>157.30000000000001</v>
      </c>
      <c r="J276" s="21">
        <v>153.9</v>
      </c>
      <c r="K276" s="21">
        <v>134.4</v>
      </c>
      <c r="L276" s="21">
        <v>155.4</v>
      </c>
      <c r="M276" s="21">
        <v>202</v>
      </c>
      <c r="N276" s="21">
        <v>150.80000000000001</v>
      </c>
      <c r="O276" s="21">
        <v>118.9</v>
      </c>
      <c r="P276" s="21">
        <v>160.9</v>
      </c>
      <c r="Q276" s="21">
        <v>137.69999999999999</v>
      </c>
      <c r="R276" s="21">
        <v>164.4</v>
      </c>
      <c r="S276" s="21">
        <v>161.30000000000001</v>
      </c>
      <c r="T276" s="21">
        <v>188.7</v>
      </c>
      <c r="U276" s="21">
        <v>150.19999999999999</v>
      </c>
      <c r="V276" s="21">
        <v>136.30000000000001</v>
      </c>
      <c r="W276" s="21">
        <v>148.1</v>
      </c>
      <c r="X276" s="21">
        <v>156.30000000000001</v>
      </c>
      <c r="Y276" s="21">
        <v>137.19999999999999</v>
      </c>
      <c r="Z276" s="21">
        <v>145.4</v>
      </c>
      <c r="AA276" s="21">
        <v>150</v>
      </c>
      <c r="AB276" s="21">
        <v>135.1</v>
      </c>
      <c r="AC276" s="21">
        <v>141.80000000000001</v>
      </c>
      <c r="AD276" s="21">
        <v>154.9</v>
      </c>
      <c r="AE276" s="21">
        <v>159.80000000000001</v>
      </c>
      <c r="AF276" s="21">
        <v>146</v>
      </c>
      <c r="AG276" s="21">
        <v>154</v>
      </c>
      <c r="AH276" s="28">
        <f t="shared" si="33"/>
        <v>3843.3</v>
      </c>
      <c r="AI276" s="28">
        <f t="shared" si="34"/>
        <v>602.5</v>
      </c>
      <c r="AJ276" s="28">
        <f t="shared" si="35"/>
        <v>286.5</v>
      </c>
      <c r="AK276" s="28">
        <f t="shared" si="36"/>
        <v>301.70000000000005</v>
      </c>
      <c r="AL276" s="28">
        <f t="shared" si="37"/>
        <v>2230.3000000000002</v>
      </c>
      <c r="AM276" s="28">
        <f t="shared" si="38"/>
        <v>150.625</v>
      </c>
      <c r="AN276" s="28">
        <f t="shared" si="39"/>
        <v>150.85000000000002</v>
      </c>
      <c r="AO276" s="22">
        <v>159.30714285714288</v>
      </c>
    </row>
    <row r="277" spans="1:41" x14ac:dyDescent="0.3">
      <c r="A277" s="27" t="s">
        <v>3</v>
      </c>
      <c r="B277" s="20">
        <v>2020</v>
      </c>
      <c r="C277" s="20" t="s">
        <v>11</v>
      </c>
      <c r="D277" s="21" t="str">
        <f t="shared" si="32"/>
        <v>Sep-20</v>
      </c>
      <c r="E277" s="33">
        <v>44075</v>
      </c>
      <c r="F277" s="20" t="s">
        <v>85</v>
      </c>
      <c r="G277" s="20">
        <v>148.4</v>
      </c>
      <c r="H277" s="20">
        <v>187.1</v>
      </c>
      <c r="I277" s="20">
        <v>152.5</v>
      </c>
      <c r="J277" s="20">
        <v>153.6</v>
      </c>
      <c r="K277" s="20">
        <v>138.19999999999999</v>
      </c>
      <c r="L277" s="20">
        <v>150.9</v>
      </c>
      <c r="M277" s="20">
        <v>186.7</v>
      </c>
      <c r="N277" s="20">
        <v>149.80000000000001</v>
      </c>
      <c r="O277" s="20">
        <v>116.4</v>
      </c>
      <c r="P277" s="20">
        <v>160.30000000000001</v>
      </c>
      <c r="Q277" s="20">
        <v>142.19999999999999</v>
      </c>
      <c r="R277" s="20">
        <v>162.9</v>
      </c>
      <c r="S277" s="20">
        <v>158</v>
      </c>
      <c r="T277" s="20">
        <v>184.4</v>
      </c>
      <c r="U277" s="20">
        <v>153.4</v>
      </c>
      <c r="V277" s="20">
        <v>144.30000000000001</v>
      </c>
      <c r="W277" s="20">
        <v>152</v>
      </c>
      <c r="X277" s="20">
        <v>156.30000000000001</v>
      </c>
      <c r="Y277" s="20">
        <v>142.9</v>
      </c>
      <c r="Z277" s="20">
        <v>148.69999999999999</v>
      </c>
      <c r="AA277" s="20">
        <v>155.6</v>
      </c>
      <c r="AB277" s="20">
        <v>139.6</v>
      </c>
      <c r="AC277" s="20">
        <v>146.6</v>
      </c>
      <c r="AD277" s="20">
        <v>157.5</v>
      </c>
      <c r="AE277" s="20">
        <v>158.4</v>
      </c>
      <c r="AF277" s="20">
        <v>150</v>
      </c>
      <c r="AG277" s="20">
        <v>154.69999999999999</v>
      </c>
      <c r="AH277" s="28">
        <f t="shared" si="33"/>
        <v>3844.7000000000007</v>
      </c>
      <c r="AI277" s="28">
        <f t="shared" si="34"/>
        <v>612.5</v>
      </c>
      <c r="AJ277" s="28">
        <f t="shared" si="35"/>
        <v>297.70000000000005</v>
      </c>
      <c r="AK277" s="28">
        <f t="shared" si="36"/>
        <v>305</v>
      </c>
      <c r="AL277" s="28">
        <f t="shared" si="37"/>
        <v>2191.4</v>
      </c>
      <c r="AM277" s="28">
        <f t="shared" si="38"/>
        <v>153.125</v>
      </c>
      <c r="AN277" s="28">
        <f t="shared" si="39"/>
        <v>152.5</v>
      </c>
      <c r="AO277" s="23">
        <v>156.52857142857144</v>
      </c>
    </row>
    <row r="278" spans="1:41" x14ac:dyDescent="0.3">
      <c r="A278" s="26" t="s">
        <v>0</v>
      </c>
      <c r="B278" s="21">
        <v>2020</v>
      </c>
      <c r="C278" s="21" t="s">
        <v>12</v>
      </c>
      <c r="D278" s="21" t="str">
        <f t="shared" si="32"/>
        <v>Oct-20</v>
      </c>
      <c r="E278" s="32">
        <v>44105</v>
      </c>
      <c r="F278" s="21" t="s">
        <v>85</v>
      </c>
      <c r="G278" s="21">
        <v>146</v>
      </c>
      <c r="H278" s="21">
        <v>186.3</v>
      </c>
      <c r="I278" s="21">
        <v>159.19999999999999</v>
      </c>
      <c r="J278" s="21">
        <v>153.6</v>
      </c>
      <c r="K278" s="21">
        <v>142.6</v>
      </c>
      <c r="L278" s="21">
        <v>147.19999999999999</v>
      </c>
      <c r="M278" s="21">
        <v>200.6</v>
      </c>
      <c r="N278" s="21">
        <v>150.30000000000001</v>
      </c>
      <c r="O278" s="21">
        <v>115.3</v>
      </c>
      <c r="P278" s="21">
        <v>160.9</v>
      </c>
      <c r="Q278" s="21">
        <v>147.4</v>
      </c>
      <c r="R278" s="21">
        <v>161.9</v>
      </c>
      <c r="S278" s="21">
        <v>159.6</v>
      </c>
      <c r="T278" s="21">
        <v>182.7</v>
      </c>
      <c r="U278" s="21">
        <v>155.69999999999999</v>
      </c>
      <c r="V278" s="21">
        <v>150.6</v>
      </c>
      <c r="W278" s="21">
        <v>155</v>
      </c>
      <c r="X278" s="28">
        <f>'Handle missing value sheet only'!$C$1</f>
        <v>139.27096774193564</v>
      </c>
      <c r="Y278" s="21">
        <v>146.80000000000001</v>
      </c>
      <c r="Z278" s="21">
        <v>152</v>
      </c>
      <c r="AA278" s="21">
        <v>159.5</v>
      </c>
      <c r="AB278" s="21">
        <v>146.4</v>
      </c>
      <c r="AC278" s="21">
        <v>152.4</v>
      </c>
      <c r="AD278" s="21">
        <v>162.5</v>
      </c>
      <c r="AE278" s="21">
        <v>156.19999999999999</v>
      </c>
      <c r="AF278" s="21">
        <v>154.30000000000001</v>
      </c>
      <c r="AG278" s="21">
        <v>157.5</v>
      </c>
      <c r="AH278" s="28">
        <f t="shared" si="33"/>
        <v>3889.2709677419352</v>
      </c>
      <c r="AI278" s="28">
        <f t="shared" si="34"/>
        <v>625.4</v>
      </c>
      <c r="AJ278" s="28">
        <f t="shared" si="35"/>
        <v>306.29999999999995</v>
      </c>
      <c r="AK278" s="28">
        <f t="shared" si="36"/>
        <v>291.27096774193564</v>
      </c>
      <c r="AL278" s="28">
        <f t="shared" si="37"/>
        <v>2213.6</v>
      </c>
      <c r="AM278" s="28">
        <f t="shared" si="38"/>
        <v>156.35</v>
      </c>
      <c r="AN278" s="28">
        <f t="shared" si="39"/>
        <v>145.63548387096782</v>
      </c>
      <c r="AO278" s="22">
        <v>158.1142857142857</v>
      </c>
    </row>
    <row r="279" spans="1:41" x14ac:dyDescent="0.3">
      <c r="A279" s="27" t="s">
        <v>2</v>
      </c>
      <c r="B279" s="20">
        <v>2020</v>
      </c>
      <c r="C279" s="20" t="s">
        <v>12</v>
      </c>
      <c r="D279" s="21" t="str">
        <f t="shared" si="32"/>
        <v>Oct-20</v>
      </c>
      <c r="E279" s="33">
        <v>44105</v>
      </c>
      <c r="F279" s="20" t="s">
        <v>85</v>
      </c>
      <c r="G279" s="20">
        <v>150.6</v>
      </c>
      <c r="H279" s="20">
        <v>193.7</v>
      </c>
      <c r="I279" s="20">
        <v>164.8</v>
      </c>
      <c r="J279" s="20">
        <v>153.69999999999999</v>
      </c>
      <c r="K279" s="20">
        <v>135.69999999999999</v>
      </c>
      <c r="L279" s="20">
        <v>155.69999999999999</v>
      </c>
      <c r="M279" s="20">
        <v>226</v>
      </c>
      <c r="N279" s="20">
        <v>152.19999999999999</v>
      </c>
      <c r="O279" s="20">
        <v>118.1</v>
      </c>
      <c r="P279" s="20">
        <v>161.30000000000001</v>
      </c>
      <c r="Q279" s="20">
        <v>139.19999999999999</v>
      </c>
      <c r="R279" s="20">
        <v>164.8</v>
      </c>
      <c r="S279" s="20">
        <v>164.4</v>
      </c>
      <c r="T279" s="20">
        <v>188.7</v>
      </c>
      <c r="U279" s="20">
        <v>150.5</v>
      </c>
      <c r="V279" s="20">
        <v>136.1</v>
      </c>
      <c r="W279" s="20">
        <v>148.30000000000001</v>
      </c>
      <c r="X279" s="20">
        <v>156.5</v>
      </c>
      <c r="Y279" s="20">
        <v>137.1</v>
      </c>
      <c r="Z279" s="20">
        <v>145.1</v>
      </c>
      <c r="AA279" s="20">
        <v>151</v>
      </c>
      <c r="AB279" s="20">
        <v>135.4</v>
      </c>
      <c r="AC279" s="20">
        <v>142</v>
      </c>
      <c r="AD279" s="20">
        <v>155.69999999999999</v>
      </c>
      <c r="AE279" s="20">
        <v>158.1</v>
      </c>
      <c r="AF279" s="20">
        <v>146.19999999999999</v>
      </c>
      <c r="AG279" s="20">
        <v>155.19999999999999</v>
      </c>
      <c r="AH279" s="28">
        <f t="shared" si="33"/>
        <v>3882.5999999999995</v>
      </c>
      <c r="AI279" s="28">
        <f t="shared" si="34"/>
        <v>602</v>
      </c>
      <c r="AJ279" s="28">
        <f t="shared" si="35"/>
        <v>286.60000000000002</v>
      </c>
      <c r="AK279" s="28">
        <f t="shared" si="36"/>
        <v>301.60000000000002</v>
      </c>
      <c r="AL279" s="28">
        <f t="shared" si="37"/>
        <v>2268.8999999999996</v>
      </c>
      <c r="AM279" s="28">
        <f t="shared" si="38"/>
        <v>150.5</v>
      </c>
      <c r="AN279" s="28">
        <f t="shared" si="39"/>
        <v>150.80000000000001</v>
      </c>
      <c r="AO279" s="23">
        <v>162.06428571428569</v>
      </c>
    </row>
    <row r="280" spans="1:41" x14ac:dyDescent="0.3">
      <c r="A280" s="26" t="s">
        <v>3</v>
      </c>
      <c r="B280" s="21">
        <v>2020</v>
      </c>
      <c r="C280" s="21" t="s">
        <v>12</v>
      </c>
      <c r="D280" s="21" t="str">
        <f t="shared" si="32"/>
        <v>Oct-20</v>
      </c>
      <c r="E280" s="32">
        <v>44105</v>
      </c>
      <c r="F280" s="21" t="s">
        <v>85</v>
      </c>
      <c r="G280" s="21">
        <v>147.5</v>
      </c>
      <c r="H280" s="21">
        <v>188.9</v>
      </c>
      <c r="I280" s="21">
        <v>161.4</v>
      </c>
      <c r="J280" s="21">
        <v>153.6</v>
      </c>
      <c r="K280" s="21">
        <v>140.1</v>
      </c>
      <c r="L280" s="21">
        <v>151.19999999999999</v>
      </c>
      <c r="M280" s="21">
        <v>209.2</v>
      </c>
      <c r="N280" s="21">
        <v>150.9</v>
      </c>
      <c r="O280" s="21">
        <v>116.2</v>
      </c>
      <c r="P280" s="21">
        <v>161</v>
      </c>
      <c r="Q280" s="21">
        <v>144</v>
      </c>
      <c r="R280" s="21">
        <v>163.19999999999999</v>
      </c>
      <c r="S280" s="21">
        <v>161.4</v>
      </c>
      <c r="T280" s="21">
        <v>184.3</v>
      </c>
      <c r="U280" s="21">
        <v>153.69999999999999</v>
      </c>
      <c r="V280" s="21">
        <v>144.6</v>
      </c>
      <c r="W280" s="21">
        <v>152.30000000000001</v>
      </c>
      <c r="X280" s="21">
        <v>156.5</v>
      </c>
      <c r="Y280" s="21">
        <v>143.1</v>
      </c>
      <c r="Z280" s="21">
        <v>148.69999999999999</v>
      </c>
      <c r="AA280" s="21">
        <v>156.30000000000001</v>
      </c>
      <c r="AB280" s="21">
        <v>140.6</v>
      </c>
      <c r="AC280" s="21">
        <v>146.5</v>
      </c>
      <c r="AD280" s="21">
        <v>158.5</v>
      </c>
      <c r="AE280" s="21">
        <v>157</v>
      </c>
      <c r="AF280" s="21">
        <v>150.4</v>
      </c>
      <c r="AG280" s="21">
        <v>156.4</v>
      </c>
      <c r="AH280" s="28">
        <f t="shared" si="33"/>
        <v>3888.7999999999997</v>
      </c>
      <c r="AI280" s="28">
        <f t="shared" si="34"/>
        <v>612.4</v>
      </c>
      <c r="AJ280" s="28">
        <f t="shared" si="35"/>
        <v>298.29999999999995</v>
      </c>
      <c r="AK280" s="28">
        <f t="shared" si="36"/>
        <v>305.2</v>
      </c>
      <c r="AL280" s="28">
        <f t="shared" si="37"/>
        <v>2232.9000000000005</v>
      </c>
      <c r="AM280" s="28">
        <f t="shared" si="38"/>
        <v>153.1</v>
      </c>
      <c r="AN280" s="28">
        <f t="shared" si="39"/>
        <v>152.6</v>
      </c>
      <c r="AO280" s="22">
        <v>159.49285714285719</v>
      </c>
    </row>
    <row r="281" spans="1:41" x14ac:dyDescent="0.3">
      <c r="A281" s="27" t="s">
        <v>0</v>
      </c>
      <c r="B281" s="20">
        <v>2020</v>
      </c>
      <c r="C281" s="20" t="s">
        <v>14</v>
      </c>
      <c r="D281" s="21" t="str">
        <f t="shared" si="32"/>
        <v>Nov-20</v>
      </c>
      <c r="E281" s="33">
        <v>44136</v>
      </c>
      <c r="F281" s="20" t="s">
        <v>85</v>
      </c>
      <c r="G281" s="20">
        <v>145.4</v>
      </c>
      <c r="H281" s="20">
        <v>188.6</v>
      </c>
      <c r="I281" s="20">
        <v>171.6</v>
      </c>
      <c r="J281" s="20">
        <v>153.80000000000001</v>
      </c>
      <c r="K281" s="20">
        <v>145.4</v>
      </c>
      <c r="L281" s="20">
        <v>146.5</v>
      </c>
      <c r="M281" s="20">
        <v>222.2</v>
      </c>
      <c r="N281" s="20">
        <v>155.9</v>
      </c>
      <c r="O281" s="20">
        <v>114.9</v>
      </c>
      <c r="P281" s="20">
        <v>162</v>
      </c>
      <c r="Q281" s="20">
        <v>150</v>
      </c>
      <c r="R281" s="20">
        <v>162.69999999999999</v>
      </c>
      <c r="S281" s="20">
        <v>163.4</v>
      </c>
      <c r="T281" s="20">
        <v>183.4</v>
      </c>
      <c r="U281" s="20">
        <v>156.30000000000001</v>
      </c>
      <c r="V281" s="20">
        <v>151</v>
      </c>
      <c r="W281" s="20">
        <v>155.5</v>
      </c>
      <c r="X281" s="30">
        <f>'Handle missing value sheet only'!$C$1</f>
        <v>139.27096774193564</v>
      </c>
      <c r="Y281" s="20">
        <v>147.5</v>
      </c>
      <c r="Z281" s="20">
        <v>152.80000000000001</v>
      </c>
      <c r="AA281" s="20">
        <v>160.4</v>
      </c>
      <c r="AB281" s="20">
        <v>146.1</v>
      </c>
      <c r="AC281" s="20">
        <v>153.6</v>
      </c>
      <c r="AD281" s="20">
        <v>161.6</v>
      </c>
      <c r="AE281" s="20">
        <v>156.19999999999999</v>
      </c>
      <c r="AF281" s="20">
        <v>154.5</v>
      </c>
      <c r="AG281" s="20">
        <v>159.80000000000001</v>
      </c>
      <c r="AH281" s="28">
        <f t="shared" si="33"/>
        <v>3945.0709677419359</v>
      </c>
      <c r="AI281" s="28">
        <f t="shared" si="34"/>
        <v>625.9</v>
      </c>
      <c r="AJ281" s="28">
        <f t="shared" si="35"/>
        <v>307.3</v>
      </c>
      <c r="AK281" s="28">
        <f t="shared" si="36"/>
        <v>292.07096774193565</v>
      </c>
      <c r="AL281" s="28">
        <f t="shared" si="37"/>
        <v>2265.8000000000002</v>
      </c>
      <c r="AM281" s="28">
        <f t="shared" si="38"/>
        <v>156.47499999999999</v>
      </c>
      <c r="AN281" s="28">
        <f t="shared" si="39"/>
        <v>146.03548387096782</v>
      </c>
      <c r="AO281" s="23">
        <v>161.84285714285716</v>
      </c>
    </row>
    <row r="282" spans="1:41" x14ac:dyDescent="0.3">
      <c r="A282" s="26" t="s">
        <v>2</v>
      </c>
      <c r="B282" s="21">
        <v>2020</v>
      </c>
      <c r="C282" s="21" t="s">
        <v>14</v>
      </c>
      <c r="D282" s="21" t="str">
        <f t="shared" si="32"/>
        <v>Nov-20</v>
      </c>
      <c r="E282" s="32">
        <v>44136</v>
      </c>
      <c r="F282" s="21" t="s">
        <v>85</v>
      </c>
      <c r="G282" s="21">
        <v>149.69999999999999</v>
      </c>
      <c r="H282" s="21">
        <v>195.5</v>
      </c>
      <c r="I282" s="21">
        <v>176.9</v>
      </c>
      <c r="J282" s="21">
        <v>153.9</v>
      </c>
      <c r="K282" s="21">
        <v>138</v>
      </c>
      <c r="L282" s="21">
        <v>150.5</v>
      </c>
      <c r="M282" s="21">
        <v>245.3</v>
      </c>
      <c r="N282" s="21">
        <v>158.69999999999999</v>
      </c>
      <c r="O282" s="21">
        <v>117.2</v>
      </c>
      <c r="P282" s="21">
        <v>161.4</v>
      </c>
      <c r="Q282" s="21">
        <v>141.5</v>
      </c>
      <c r="R282" s="21">
        <v>165.1</v>
      </c>
      <c r="S282" s="21">
        <v>167</v>
      </c>
      <c r="T282" s="21">
        <v>188.8</v>
      </c>
      <c r="U282" s="21">
        <v>151.1</v>
      </c>
      <c r="V282" s="21">
        <v>136.4</v>
      </c>
      <c r="W282" s="21">
        <v>148.80000000000001</v>
      </c>
      <c r="X282" s="21">
        <v>158</v>
      </c>
      <c r="Y282" s="21">
        <v>137.30000000000001</v>
      </c>
      <c r="Z282" s="21">
        <v>145.1</v>
      </c>
      <c r="AA282" s="21">
        <v>152</v>
      </c>
      <c r="AB282" s="21">
        <v>135.19999999999999</v>
      </c>
      <c r="AC282" s="21">
        <v>144.4</v>
      </c>
      <c r="AD282" s="21">
        <v>156.4</v>
      </c>
      <c r="AE282" s="21">
        <v>157.9</v>
      </c>
      <c r="AF282" s="21">
        <v>146.6</v>
      </c>
      <c r="AG282" s="21">
        <v>156.69999999999999</v>
      </c>
      <c r="AH282" s="28">
        <f t="shared" si="33"/>
        <v>3929.9</v>
      </c>
      <c r="AI282" s="28">
        <f t="shared" si="34"/>
        <v>605.29999999999995</v>
      </c>
      <c r="AJ282" s="28">
        <f t="shared" si="35"/>
        <v>287.5</v>
      </c>
      <c r="AK282" s="28">
        <f t="shared" si="36"/>
        <v>303.10000000000002</v>
      </c>
      <c r="AL282" s="28">
        <f t="shared" si="37"/>
        <v>2309.5</v>
      </c>
      <c r="AM282" s="28">
        <f t="shared" si="38"/>
        <v>151.32499999999999</v>
      </c>
      <c r="AN282" s="28">
        <f t="shared" si="39"/>
        <v>151.55000000000001</v>
      </c>
      <c r="AO282" s="22">
        <v>164.96428571428572</v>
      </c>
    </row>
    <row r="283" spans="1:41" x14ac:dyDescent="0.3">
      <c r="A283" s="27" t="s">
        <v>3</v>
      </c>
      <c r="B283" s="20">
        <v>2020</v>
      </c>
      <c r="C283" s="20" t="s">
        <v>14</v>
      </c>
      <c r="D283" s="21" t="str">
        <f t="shared" si="32"/>
        <v>Nov-20</v>
      </c>
      <c r="E283" s="33">
        <v>44136</v>
      </c>
      <c r="F283" s="20" t="s">
        <v>85</v>
      </c>
      <c r="G283" s="20">
        <v>146.80000000000001</v>
      </c>
      <c r="H283" s="20">
        <v>191</v>
      </c>
      <c r="I283" s="20">
        <v>173.6</v>
      </c>
      <c r="J283" s="20">
        <v>153.80000000000001</v>
      </c>
      <c r="K283" s="20">
        <v>142.69999999999999</v>
      </c>
      <c r="L283" s="20">
        <v>148.4</v>
      </c>
      <c r="M283" s="20">
        <v>230</v>
      </c>
      <c r="N283" s="20">
        <v>156.80000000000001</v>
      </c>
      <c r="O283" s="20">
        <v>115.7</v>
      </c>
      <c r="P283" s="20">
        <v>161.80000000000001</v>
      </c>
      <c r="Q283" s="20">
        <v>146.5</v>
      </c>
      <c r="R283" s="20">
        <v>163.80000000000001</v>
      </c>
      <c r="S283" s="20">
        <v>164.7</v>
      </c>
      <c r="T283" s="20">
        <v>184.8</v>
      </c>
      <c r="U283" s="20">
        <v>154.30000000000001</v>
      </c>
      <c r="V283" s="20">
        <v>144.9</v>
      </c>
      <c r="W283" s="20">
        <v>152.80000000000001</v>
      </c>
      <c r="X283" s="20">
        <v>158</v>
      </c>
      <c r="Y283" s="20">
        <v>143.6</v>
      </c>
      <c r="Z283" s="20">
        <v>149.19999999999999</v>
      </c>
      <c r="AA283" s="20">
        <v>157.19999999999999</v>
      </c>
      <c r="AB283" s="20">
        <v>140.4</v>
      </c>
      <c r="AC283" s="20">
        <v>148.4</v>
      </c>
      <c r="AD283" s="20">
        <v>158.6</v>
      </c>
      <c r="AE283" s="20">
        <v>156.9</v>
      </c>
      <c r="AF283" s="20">
        <v>150.69999999999999</v>
      </c>
      <c r="AG283" s="20">
        <v>158.4</v>
      </c>
      <c r="AH283" s="28">
        <f t="shared" si="33"/>
        <v>3942.6000000000004</v>
      </c>
      <c r="AI283" s="28">
        <f t="shared" si="34"/>
        <v>614.6</v>
      </c>
      <c r="AJ283" s="28">
        <f t="shared" si="35"/>
        <v>299.20000000000005</v>
      </c>
      <c r="AK283" s="28">
        <f t="shared" si="36"/>
        <v>307.2</v>
      </c>
      <c r="AL283" s="28">
        <f t="shared" si="37"/>
        <v>2280.4</v>
      </c>
      <c r="AM283" s="28">
        <f t="shared" si="38"/>
        <v>153.65</v>
      </c>
      <c r="AN283" s="28">
        <f t="shared" si="39"/>
        <v>153.6</v>
      </c>
      <c r="AO283" s="23">
        <v>162.8857142857143</v>
      </c>
    </row>
    <row r="284" spans="1:41" x14ac:dyDescent="0.3">
      <c r="A284" s="26" t="s">
        <v>0</v>
      </c>
      <c r="B284" s="21">
        <v>2020</v>
      </c>
      <c r="C284" s="21" t="s">
        <v>15</v>
      </c>
      <c r="D284" s="21" t="str">
        <f t="shared" si="32"/>
        <v>Dec-20</v>
      </c>
      <c r="E284" s="32">
        <v>44166</v>
      </c>
      <c r="F284" s="21" t="s">
        <v>85</v>
      </c>
      <c r="G284" s="21">
        <v>144.6</v>
      </c>
      <c r="H284" s="21">
        <v>188.5</v>
      </c>
      <c r="I284" s="21">
        <v>173.4</v>
      </c>
      <c r="J284" s="21">
        <v>154</v>
      </c>
      <c r="K284" s="21">
        <v>150</v>
      </c>
      <c r="L284" s="21">
        <v>145.9</v>
      </c>
      <c r="M284" s="21">
        <v>225.2</v>
      </c>
      <c r="N284" s="21">
        <v>159.5</v>
      </c>
      <c r="O284" s="21">
        <v>114.4</v>
      </c>
      <c r="P284" s="21">
        <v>163.5</v>
      </c>
      <c r="Q284" s="21">
        <v>153.4</v>
      </c>
      <c r="R284" s="21">
        <v>163.6</v>
      </c>
      <c r="S284" s="21">
        <v>164.5</v>
      </c>
      <c r="T284" s="21">
        <v>183.6</v>
      </c>
      <c r="U284" s="21">
        <v>157</v>
      </c>
      <c r="V284" s="21">
        <v>151.6</v>
      </c>
      <c r="W284" s="21">
        <v>156.30000000000001</v>
      </c>
      <c r="X284" s="28">
        <f>'Handle missing value sheet only'!$C$1</f>
        <v>139.27096774193564</v>
      </c>
      <c r="Y284" s="21">
        <v>148.69999999999999</v>
      </c>
      <c r="Z284" s="21">
        <v>153.4</v>
      </c>
      <c r="AA284" s="21">
        <v>161.6</v>
      </c>
      <c r="AB284" s="21">
        <v>146.4</v>
      </c>
      <c r="AC284" s="21">
        <v>153.9</v>
      </c>
      <c r="AD284" s="21">
        <v>162.9</v>
      </c>
      <c r="AE284" s="21">
        <v>156.6</v>
      </c>
      <c r="AF284" s="21">
        <v>155.19999999999999</v>
      </c>
      <c r="AG284" s="21">
        <v>160.69999999999999</v>
      </c>
      <c r="AH284" s="28">
        <f t="shared" si="33"/>
        <v>3970.6709677419353</v>
      </c>
      <c r="AI284" s="28">
        <f t="shared" si="34"/>
        <v>628.59999999999991</v>
      </c>
      <c r="AJ284" s="28">
        <f t="shared" si="35"/>
        <v>308.60000000000002</v>
      </c>
      <c r="AK284" s="28">
        <f t="shared" si="36"/>
        <v>292.67096774193567</v>
      </c>
      <c r="AL284" s="28">
        <f t="shared" si="37"/>
        <v>2284.1</v>
      </c>
      <c r="AM284" s="28">
        <f t="shared" si="38"/>
        <v>157.14999999999998</v>
      </c>
      <c r="AN284" s="28">
        <f t="shared" si="39"/>
        <v>146.33548387096783</v>
      </c>
      <c r="AO284" s="22">
        <v>163.15</v>
      </c>
    </row>
    <row r="285" spans="1:41" x14ac:dyDescent="0.3">
      <c r="A285" s="27" t="s">
        <v>2</v>
      </c>
      <c r="B285" s="20">
        <v>2020</v>
      </c>
      <c r="C285" s="20" t="s">
        <v>15</v>
      </c>
      <c r="D285" s="21" t="str">
        <f t="shared" si="32"/>
        <v>Dec-20</v>
      </c>
      <c r="E285" s="33">
        <v>44166</v>
      </c>
      <c r="F285" s="20" t="s">
        <v>85</v>
      </c>
      <c r="G285" s="20">
        <v>149</v>
      </c>
      <c r="H285" s="20">
        <v>195.7</v>
      </c>
      <c r="I285" s="20">
        <v>178.3</v>
      </c>
      <c r="J285" s="20">
        <v>154.19999999999999</v>
      </c>
      <c r="K285" s="20">
        <v>140.69999999999999</v>
      </c>
      <c r="L285" s="20">
        <v>149.69999999999999</v>
      </c>
      <c r="M285" s="20">
        <v>240.9</v>
      </c>
      <c r="N285" s="20">
        <v>161.5</v>
      </c>
      <c r="O285" s="20">
        <v>117.1</v>
      </c>
      <c r="P285" s="20">
        <v>161.9</v>
      </c>
      <c r="Q285" s="20">
        <v>143.30000000000001</v>
      </c>
      <c r="R285" s="20">
        <v>166.1</v>
      </c>
      <c r="S285" s="20">
        <v>167</v>
      </c>
      <c r="T285" s="20">
        <v>190.2</v>
      </c>
      <c r="U285" s="20">
        <v>151.9</v>
      </c>
      <c r="V285" s="20">
        <v>136.69999999999999</v>
      </c>
      <c r="W285" s="20">
        <v>149.6</v>
      </c>
      <c r="X285" s="20">
        <v>158.4</v>
      </c>
      <c r="Y285" s="20">
        <v>137.9</v>
      </c>
      <c r="Z285" s="20">
        <v>145.5</v>
      </c>
      <c r="AA285" s="20">
        <v>152.9</v>
      </c>
      <c r="AB285" s="20">
        <v>135.5</v>
      </c>
      <c r="AC285" s="20">
        <v>144.30000000000001</v>
      </c>
      <c r="AD285" s="20">
        <v>156.9</v>
      </c>
      <c r="AE285" s="20">
        <v>157.9</v>
      </c>
      <c r="AF285" s="20">
        <v>146.9</v>
      </c>
      <c r="AG285" s="20">
        <v>156.9</v>
      </c>
      <c r="AH285" s="28">
        <f t="shared" si="33"/>
        <v>3940.4</v>
      </c>
      <c r="AI285" s="28">
        <f t="shared" si="34"/>
        <v>606</v>
      </c>
      <c r="AJ285" s="28">
        <f t="shared" si="35"/>
        <v>288.60000000000002</v>
      </c>
      <c r="AK285" s="28">
        <f t="shared" si="36"/>
        <v>303.89999999999998</v>
      </c>
      <c r="AL285" s="28">
        <f t="shared" si="37"/>
        <v>2315.6</v>
      </c>
      <c r="AM285" s="28">
        <f t="shared" si="38"/>
        <v>151.5</v>
      </c>
      <c r="AN285" s="28">
        <f t="shared" si="39"/>
        <v>151.94999999999999</v>
      </c>
      <c r="AO285" s="23">
        <v>165.4</v>
      </c>
    </row>
    <row r="286" spans="1:41" x14ac:dyDescent="0.3">
      <c r="A286" s="26" t="s">
        <v>3</v>
      </c>
      <c r="B286" s="21">
        <v>2020</v>
      </c>
      <c r="C286" s="21" t="s">
        <v>15</v>
      </c>
      <c r="D286" s="21" t="str">
        <f t="shared" si="32"/>
        <v>Dec-20</v>
      </c>
      <c r="E286" s="32">
        <v>44166</v>
      </c>
      <c r="F286" s="21" t="s">
        <v>85</v>
      </c>
      <c r="G286" s="21">
        <v>146</v>
      </c>
      <c r="H286" s="21">
        <v>191</v>
      </c>
      <c r="I286" s="21">
        <v>175.3</v>
      </c>
      <c r="J286" s="21">
        <v>154.1</v>
      </c>
      <c r="K286" s="21">
        <v>146.6</v>
      </c>
      <c r="L286" s="21">
        <v>147.69999999999999</v>
      </c>
      <c r="M286" s="21">
        <v>230.5</v>
      </c>
      <c r="N286" s="21">
        <v>160.19999999999999</v>
      </c>
      <c r="O286" s="21">
        <v>115.3</v>
      </c>
      <c r="P286" s="21">
        <v>163</v>
      </c>
      <c r="Q286" s="21">
        <v>149.19999999999999</v>
      </c>
      <c r="R286" s="21">
        <v>164.8</v>
      </c>
      <c r="S286" s="21">
        <v>165.4</v>
      </c>
      <c r="T286" s="21">
        <v>185.4</v>
      </c>
      <c r="U286" s="21">
        <v>155</v>
      </c>
      <c r="V286" s="21">
        <v>145.4</v>
      </c>
      <c r="W286" s="21">
        <v>153.6</v>
      </c>
      <c r="X286" s="21">
        <v>158.4</v>
      </c>
      <c r="Y286" s="21">
        <v>144.6</v>
      </c>
      <c r="Z286" s="21">
        <v>149.69999999999999</v>
      </c>
      <c r="AA286" s="21">
        <v>158.30000000000001</v>
      </c>
      <c r="AB286" s="21">
        <v>140.69999999999999</v>
      </c>
      <c r="AC286" s="21">
        <v>148.5</v>
      </c>
      <c r="AD286" s="21">
        <v>159.4</v>
      </c>
      <c r="AE286" s="21">
        <v>157.1</v>
      </c>
      <c r="AF286" s="21">
        <v>151.19999999999999</v>
      </c>
      <c r="AG286" s="21">
        <v>158.9</v>
      </c>
      <c r="AH286" s="28">
        <f t="shared" si="33"/>
        <v>3962.8</v>
      </c>
      <c r="AI286" s="28">
        <f t="shared" si="34"/>
        <v>616.19999999999993</v>
      </c>
      <c r="AJ286" s="28">
        <f t="shared" si="35"/>
        <v>300.39999999999998</v>
      </c>
      <c r="AK286" s="28">
        <f t="shared" si="36"/>
        <v>308.10000000000002</v>
      </c>
      <c r="AL286" s="28">
        <f t="shared" si="37"/>
        <v>2294.5</v>
      </c>
      <c r="AM286" s="28">
        <f t="shared" si="38"/>
        <v>154.04999999999998</v>
      </c>
      <c r="AN286" s="28">
        <f t="shared" si="39"/>
        <v>154.05000000000001</v>
      </c>
      <c r="AO286" s="22">
        <v>163.89285714285714</v>
      </c>
    </row>
    <row r="287" spans="1:41" x14ac:dyDescent="0.3">
      <c r="A287" s="27" t="s">
        <v>0</v>
      </c>
      <c r="B287" s="20">
        <v>2021</v>
      </c>
      <c r="C287" s="20" t="s">
        <v>1</v>
      </c>
      <c r="D287" s="21" t="str">
        <f t="shared" si="32"/>
        <v>Jan-21</v>
      </c>
      <c r="E287" s="33">
        <v>44197</v>
      </c>
      <c r="F287" s="20" t="s">
        <v>85</v>
      </c>
      <c r="G287" s="20">
        <v>143.4</v>
      </c>
      <c r="H287" s="20">
        <v>187.5</v>
      </c>
      <c r="I287" s="20">
        <v>173.4</v>
      </c>
      <c r="J287" s="20">
        <v>154</v>
      </c>
      <c r="K287" s="20">
        <v>154.80000000000001</v>
      </c>
      <c r="L287" s="20">
        <v>147</v>
      </c>
      <c r="M287" s="20">
        <v>187.8</v>
      </c>
      <c r="N287" s="20">
        <v>159.5</v>
      </c>
      <c r="O287" s="20">
        <v>113.8</v>
      </c>
      <c r="P287" s="20">
        <v>164.5</v>
      </c>
      <c r="Q287" s="20">
        <v>156.1</v>
      </c>
      <c r="R287" s="20">
        <v>164.3</v>
      </c>
      <c r="S287" s="20">
        <v>159.6</v>
      </c>
      <c r="T287" s="20">
        <v>184.6</v>
      </c>
      <c r="U287" s="20">
        <v>157.5</v>
      </c>
      <c r="V287" s="20">
        <v>152.4</v>
      </c>
      <c r="W287" s="20">
        <v>156.80000000000001</v>
      </c>
      <c r="X287" s="30">
        <f>'Handle missing value sheet only'!$C$1</f>
        <v>139.27096774193564</v>
      </c>
      <c r="Y287" s="20">
        <v>150.9</v>
      </c>
      <c r="Z287" s="20">
        <v>153.9</v>
      </c>
      <c r="AA287" s="20">
        <v>162.5</v>
      </c>
      <c r="AB287" s="20">
        <v>147.5</v>
      </c>
      <c r="AC287" s="20">
        <v>155.1</v>
      </c>
      <c r="AD287" s="20">
        <v>163.5</v>
      </c>
      <c r="AE287" s="20">
        <v>156.19999999999999</v>
      </c>
      <c r="AF287" s="20">
        <v>155.9</v>
      </c>
      <c r="AG287" s="20">
        <v>158.5</v>
      </c>
      <c r="AH287" s="28">
        <f t="shared" si="33"/>
        <v>3944.9709677419364</v>
      </c>
      <c r="AI287" s="28">
        <f t="shared" si="34"/>
        <v>630.70000000000005</v>
      </c>
      <c r="AJ287" s="28">
        <f t="shared" si="35"/>
        <v>309.89999999999998</v>
      </c>
      <c r="AK287" s="28">
        <f t="shared" si="36"/>
        <v>293.17096774193567</v>
      </c>
      <c r="AL287" s="28">
        <f t="shared" si="37"/>
        <v>2250.2999999999997</v>
      </c>
      <c r="AM287" s="28">
        <f t="shared" si="38"/>
        <v>157.67500000000001</v>
      </c>
      <c r="AN287" s="28">
        <f t="shared" si="39"/>
        <v>146.58548387096783</v>
      </c>
      <c r="AO287" s="23">
        <v>160.73571428571427</v>
      </c>
    </row>
    <row r="288" spans="1:41" x14ac:dyDescent="0.3">
      <c r="A288" s="26" t="s">
        <v>2</v>
      </c>
      <c r="B288" s="21">
        <v>2021</v>
      </c>
      <c r="C288" s="21" t="s">
        <v>1</v>
      </c>
      <c r="D288" s="21" t="str">
        <f t="shared" si="32"/>
        <v>Jan-21</v>
      </c>
      <c r="E288" s="32">
        <v>44197</v>
      </c>
      <c r="F288" s="21" t="s">
        <v>85</v>
      </c>
      <c r="G288" s="21">
        <v>148</v>
      </c>
      <c r="H288" s="21">
        <v>194.8</v>
      </c>
      <c r="I288" s="21">
        <v>178.4</v>
      </c>
      <c r="J288" s="21">
        <v>154.4</v>
      </c>
      <c r="K288" s="21">
        <v>144.1</v>
      </c>
      <c r="L288" s="21">
        <v>152.6</v>
      </c>
      <c r="M288" s="21">
        <v>206.8</v>
      </c>
      <c r="N288" s="21">
        <v>162.1</v>
      </c>
      <c r="O288" s="21">
        <v>116.3</v>
      </c>
      <c r="P288" s="21">
        <v>163</v>
      </c>
      <c r="Q288" s="21">
        <v>145.9</v>
      </c>
      <c r="R288" s="21">
        <v>167.2</v>
      </c>
      <c r="S288" s="21">
        <v>163.4</v>
      </c>
      <c r="T288" s="21">
        <v>191.8</v>
      </c>
      <c r="U288" s="21">
        <v>152.5</v>
      </c>
      <c r="V288" s="21">
        <v>137.30000000000001</v>
      </c>
      <c r="W288" s="21">
        <v>150.19999999999999</v>
      </c>
      <c r="X288" s="21">
        <v>157.69999999999999</v>
      </c>
      <c r="Y288" s="21">
        <v>142.9</v>
      </c>
      <c r="Z288" s="21">
        <v>145.69999999999999</v>
      </c>
      <c r="AA288" s="21">
        <v>154.1</v>
      </c>
      <c r="AB288" s="21">
        <v>136.9</v>
      </c>
      <c r="AC288" s="21">
        <v>145.4</v>
      </c>
      <c r="AD288" s="21">
        <v>156.1</v>
      </c>
      <c r="AE288" s="21">
        <v>157.69999999999999</v>
      </c>
      <c r="AF288" s="21">
        <v>147.6</v>
      </c>
      <c r="AG288" s="21">
        <v>156</v>
      </c>
      <c r="AH288" s="28">
        <f t="shared" si="33"/>
        <v>3922.7000000000007</v>
      </c>
      <c r="AI288" s="28">
        <f t="shared" si="34"/>
        <v>606.79999999999995</v>
      </c>
      <c r="AJ288" s="28">
        <f t="shared" si="35"/>
        <v>289.8</v>
      </c>
      <c r="AK288" s="28">
        <f t="shared" si="36"/>
        <v>303.39999999999998</v>
      </c>
      <c r="AL288" s="28">
        <f t="shared" si="37"/>
        <v>2288.8000000000002</v>
      </c>
      <c r="AM288" s="28">
        <f t="shared" si="38"/>
        <v>151.69999999999999</v>
      </c>
      <c r="AN288" s="28">
        <f t="shared" si="39"/>
        <v>151.69999999999999</v>
      </c>
      <c r="AO288" s="22">
        <v>163.48571428571429</v>
      </c>
    </row>
    <row r="289" spans="1:41" x14ac:dyDescent="0.3">
      <c r="A289" s="27" t="s">
        <v>3</v>
      </c>
      <c r="B289" s="20">
        <v>2021</v>
      </c>
      <c r="C289" s="20" t="s">
        <v>1</v>
      </c>
      <c r="D289" s="21" t="str">
        <f t="shared" si="32"/>
        <v>Jan-21</v>
      </c>
      <c r="E289" s="33">
        <v>44197</v>
      </c>
      <c r="F289" s="20" t="s">
        <v>85</v>
      </c>
      <c r="G289" s="20">
        <v>144.9</v>
      </c>
      <c r="H289" s="20">
        <v>190.1</v>
      </c>
      <c r="I289" s="20">
        <v>175.3</v>
      </c>
      <c r="J289" s="20">
        <v>154.1</v>
      </c>
      <c r="K289" s="20">
        <v>150.9</v>
      </c>
      <c r="L289" s="20">
        <v>149.6</v>
      </c>
      <c r="M289" s="20">
        <v>194.2</v>
      </c>
      <c r="N289" s="20">
        <v>160.4</v>
      </c>
      <c r="O289" s="20">
        <v>114.6</v>
      </c>
      <c r="P289" s="20">
        <v>164</v>
      </c>
      <c r="Q289" s="20">
        <v>151.80000000000001</v>
      </c>
      <c r="R289" s="20">
        <v>165.6</v>
      </c>
      <c r="S289" s="20">
        <v>161</v>
      </c>
      <c r="T289" s="20">
        <v>186.5</v>
      </c>
      <c r="U289" s="20">
        <v>155.5</v>
      </c>
      <c r="V289" s="20">
        <v>146.1</v>
      </c>
      <c r="W289" s="20">
        <v>154.19999999999999</v>
      </c>
      <c r="X289" s="20">
        <v>157.69999999999999</v>
      </c>
      <c r="Y289" s="20">
        <v>147.9</v>
      </c>
      <c r="Z289" s="20">
        <v>150</v>
      </c>
      <c r="AA289" s="20">
        <v>159.30000000000001</v>
      </c>
      <c r="AB289" s="20">
        <v>141.9</v>
      </c>
      <c r="AC289" s="20">
        <v>149.6</v>
      </c>
      <c r="AD289" s="20">
        <v>159.19999999999999</v>
      </c>
      <c r="AE289" s="20">
        <v>156.80000000000001</v>
      </c>
      <c r="AF289" s="20">
        <v>151.9</v>
      </c>
      <c r="AG289" s="20">
        <v>157.30000000000001</v>
      </c>
      <c r="AH289" s="28">
        <f t="shared" si="33"/>
        <v>3938.8999999999996</v>
      </c>
      <c r="AI289" s="28">
        <f t="shared" si="34"/>
        <v>617.5</v>
      </c>
      <c r="AJ289" s="28">
        <f t="shared" si="35"/>
        <v>301.60000000000002</v>
      </c>
      <c r="AK289" s="28">
        <f t="shared" si="36"/>
        <v>307.7</v>
      </c>
      <c r="AL289" s="28">
        <f t="shared" si="37"/>
        <v>2263</v>
      </c>
      <c r="AM289" s="28">
        <f t="shared" si="38"/>
        <v>154.375</v>
      </c>
      <c r="AN289" s="28">
        <f t="shared" si="39"/>
        <v>153.85</v>
      </c>
      <c r="AO289" s="23">
        <v>161.64285714285714</v>
      </c>
    </row>
    <row r="290" spans="1:41" x14ac:dyDescent="0.3">
      <c r="A290" s="26" t="s">
        <v>0</v>
      </c>
      <c r="B290" s="21">
        <v>2021</v>
      </c>
      <c r="C290" s="21" t="s">
        <v>4</v>
      </c>
      <c r="D290" s="21" t="str">
        <f t="shared" si="32"/>
        <v>Feb-21</v>
      </c>
      <c r="E290" s="32">
        <v>44228</v>
      </c>
      <c r="F290" s="21" t="s">
        <v>85</v>
      </c>
      <c r="G290" s="21">
        <v>142.80000000000001</v>
      </c>
      <c r="H290" s="21">
        <v>184</v>
      </c>
      <c r="I290" s="21">
        <v>168</v>
      </c>
      <c r="J290" s="21">
        <v>154.4</v>
      </c>
      <c r="K290" s="21">
        <v>163</v>
      </c>
      <c r="L290" s="21">
        <v>147.80000000000001</v>
      </c>
      <c r="M290" s="21">
        <v>149.69999999999999</v>
      </c>
      <c r="N290" s="21">
        <v>158.30000000000001</v>
      </c>
      <c r="O290" s="21">
        <v>111.8</v>
      </c>
      <c r="P290" s="21">
        <v>165</v>
      </c>
      <c r="Q290" s="21">
        <v>160</v>
      </c>
      <c r="R290" s="21">
        <v>165.8</v>
      </c>
      <c r="S290" s="21">
        <v>154.69999999999999</v>
      </c>
      <c r="T290" s="21">
        <v>186.5</v>
      </c>
      <c r="U290" s="21">
        <v>159.1</v>
      </c>
      <c r="V290" s="21">
        <v>153.9</v>
      </c>
      <c r="W290" s="21">
        <v>158.4</v>
      </c>
      <c r="X290" s="28">
        <f>'Handle missing value sheet only'!$C$1</f>
        <v>139.27096774193564</v>
      </c>
      <c r="Y290" s="21">
        <v>154.4</v>
      </c>
      <c r="Z290" s="21">
        <v>154.80000000000001</v>
      </c>
      <c r="AA290" s="21">
        <v>164.3</v>
      </c>
      <c r="AB290" s="21">
        <v>150.19999999999999</v>
      </c>
      <c r="AC290" s="21">
        <v>157</v>
      </c>
      <c r="AD290" s="21">
        <v>163.6</v>
      </c>
      <c r="AE290" s="21">
        <v>155.19999999999999</v>
      </c>
      <c r="AF290" s="21">
        <v>157.19999999999999</v>
      </c>
      <c r="AG290" s="21">
        <v>156.69999999999999</v>
      </c>
      <c r="AH290" s="28">
        <f t="shared" si="33"/>
        <v>3920.7709677419361</v>
      </c>
      <c r="AI290" s="28">
        <f t="shared" si="34"/>
        <v>633</v>
      </c>
      <c r="AJ290" s="28">
        <f t="shared" si="35"/>
        <v>313</v>
      </c>
      <c r="AK290" s="28">
        <f t="shared" si="36"/>
        <v>294.07096774193565</v>
      </c>
      <c r="AL290" s="28">
        <f t="shared" si="37"/>
        <v>2211.8000000000002</v>
      </c>
      <c r="AM290" s="28">
        <f t="shared" si="38"/>
        <v>158.25</v>
      </c>
      <c r="AN290" s="28">
        <f t="shared" si="39"/>
        <v>147.03548387096782</v>
      </c>
      <c r="AO290" s="22">
        <v>157.98571428571429</v>
      </c>
    </row>
    <row r="291" spans="1:41" x14ac:dyDescent="0.3">
      <c r="A291" s="27" t="s">
        <v>2</v>
      </c>
      <c r="B291" s="20">
        <v>2021</v>
      </c>
      <c r="C291" s="20" t="s">
        <v>4</v>
      </c>
      <c r="D291" s="21" t="str">
        <f t="shared" si="32"/>
        <v>Feb-21</v>
      </c>
      <c r="E291" s="33">
        <v>44228</v>
      </c>
      <c r="F291" s="20" t="s">
        <v>85</v>
      </c>
      <c r="G291" s="20">
        <v>147.6</v>
      </c>
      <c r="H291" s="20">
        <v>191.2</v>
      </c>
      <c r="I291" s="20">
        <v>169.9</v>
      </c>
      <c r="J291" s="20">
        <v>155.1</v>
      </c>
      <c r="K291" s="20">
        <v>151.4</v>
      </c>
      <c r="L291" s="20">
        <v>154</v>
      </c>
      <c r="M291" s="20">
        <v>180.2</v>
      </c>
      <c r="N291" s="20">
        <v>159.80000000000001</v>
      </c>
      <c r="O291" s="20">
        <v>114.9</v>
      </c>
      <c r="P291" s="20">
        <v>162.5</v>
      </c>
      <c r="Q291" s="20">
        <v>149.19999999999999</v>
      </c>
      <c r="R291" s="20">
        <v>169.4</v>
      </c>
      <c r="S291" s="20">
        <v>160.80000000000001</v>
      </c>
      <c r="T291" s="20">
        <v>193.3</v>
      </c>
      <c r="U291" s="20">
        <v>154.19999999999999</v>
      </c>
      <c r="V291" s="20">
        <v>138.19999999999999</v>
      </c>
      <c r="W291" s="20">
        <v>151.80000000000001</v>
      </c>
      <c r="X291" s="20">
        <v>159.80000000000001</v>
      </c>
      <c r="Y291" s="20">
        <v>149.1</v>
      </c>
      <c r="Z291" s="20">
        <v>146.5</v>
      </c>
      <c r="AA291" s="20">
        <v>156.30000000000001</v>
      </c>
      <c r="AB291" s="20">
        <v>140.5</v>
      </c>
      <c r="AC291" s="20">
        <v>147.30000000000001</v>
      </c>
      <c r="AD291" s="20">
        <v>156.6</v>
      </c>
      <c r="AE291" s="20">
        <v>156.69999999999999</v>
      </c>
      <c r="AF291" s="20">
        <v>149.30000000000001</v>
      </c>
      <c r="AG291" s="20">
        <v>156.5</v>
      </c>
      <c r="AH291" s="28">
        <f t="shared" si="33"/>
        <v>3913.7999999999997</v>
      </c>
      <c r="AI291" s="28">
        <f t="shared" si="34"/>
        <v>609.90000000000009</v>
      </c>
      <c r="AJ291" s="28">
        <f t="shared" si="35"/>
        <v>292.39999999999998</v>
      </c>
      <c r="AK291" s="28">
        <f t="shared" si="36"/>
        <v>306.3</v>
      </c>
      <c r="AL291" s="28">
        <f t="shared" si="37"/>
        <v>2259.3000000000002</v>
      </c>
      <c r="AM291" s="28">
        <f t="shared" si="38"/>
        <v>152.47500000000002</v>
      </c>
      <c r="AN291" s="28">
        <f t="shared" si="39"/>
        <v>153.15</v>
      </c>
      <c r="AO291" s="23">
        <v>161.37857142857143</v>
      </c>
    </row>
    <row r="292" spans="1:41" x14ac:dyDescent="0.3">
      <c r="A292" s="26" t="s">
        <v>3</v>
      </c>
      <c r="B292" s="21">
        <v>2021</v>
      </c>
      <c r="C292" s="21" t="s">
        <v>4</v>
      </c>
      <c r="D292" s="21" t="str">
        <f t="shared" si="32"/>
        <v>Feb-21</v>
      </c>
      <c r="E292" s="32">
        <v>44228</v>
      </c>
      <c r="F292" s="21" t="s">
        <v>85</v>
      </c>
      <c r="G292" s="21">
        <v>144.30000000000001</v>
      </c>
      <c r="H292" s="21">
        <v>186.5</v>
      </c>
      <c r="I292" s="21">
        <v>168.7</v>
      </c>
      <c r="J292" s="21">
        <v>154.69999999999999</v>
      </c>
      <c r="K292" s="21">
        <v>158.69999999999999</v>
      </c>
      <c r="L292" s="21">
        <v>150.69999999999999</v>
      </c>
      <c r="M292" s="21">
        <v>160</v>
      </c>
      <c r="N292" s="21">
        <v>158.80000000000001</v>
      </c>
      <c r="O292" s="21">
        <v>112.8</v>
      </c>
      <c r="P292" s="21">
        <v>164.2</v>
      </c>
      <c r="Q292" s="21">
        <v>155.5</v>
      </c>
      <c r="R292" s="21">
        <v>167.5</v>
      </c>
      <c r="S292" s="21">
        <v>156.9</v>
      </c>
      <c r="T292" s="21">
        <v>188.3</v>
      </c>
      <c r="U292" s="21">
        <v>157.19999999999999</v>
      </c>
      <c r="V292" s="21">
        <v>147.4</v>
      </c>
      <c r="W292" s="21">
        <v>155.80000000000001</v>
      </c>
      <c r="X292" s="21">
        <v>159.80000000000001</v>
      </c>
      <c r="Y292" s="21">
        <v>152.4</v>
      </c>
      <c r="Z292" s="21">
        <v>150.9</v>
      </c>
      <c r="AA292" s="21">
        <v>161.30000000000001</v>
      </c>
      <c r="AB292" s="21">
        <v>145.1</v>
      </c>
      <c r="AC292" s="21">
        <v>151.5</v>
      </c>
      <c r="AD292" s="21">
        <v>159.5</v>
      </c>
      <c r="AE292" s="21">
        <v>155.80000000000001</v>
      </c>
      <c r="AF292" s="21">
        <v>153.4</v>
      </c>
      <c r="AG292" s="21">
        <v>156.6</v>
      </c>
      <c r="AH292" s="28">
        <f t="shared" si="33"/>
        <v>3921.9</v>
      </c>
      <c r="AI292" s="28">
        <f t="shared" si="34"/>
        <v>620.20000000000005</v>
      </c>
      <c r="AJ292" s="28">
        <f t="shared" si="35"/>
        <v>304.60000000000002</v>
      </c>
      <c r="AK292" s="28">
        <f t="shared" si="36"/>
        <v>310.70000000000005</v>
      </c>
      <c r="AL292" s="28">
        <f t="shared" si="37"/>
        <v>2227.6000000000004</v>
      </c>
      <c r="AM292" s="28">
        <f t="shared" si="38"/>
        <v>155.05000000000001</v>
      </c>
      <c r="AN292" s="28">
        <f t="shared" si="39"/>
        <v>155.35000000000002</v>
      </c>
      <c r="AO292" s="22">
        <v>159.11428571428573</v>
      </c>
    </row>
    <row r="293" spans="1:41" x14ac:dyDescent="0.3">
      <c r="A293" s="27" t="s">
        <v>0</v>
      </c>
      <c r="B293" s="20">
        <v>2021</v>
      </c>
      <c r="C293" s="20" t="s">
        <v>5</v>
      </c>
      <c r="D293" s="21" t="str">
        <f t="shared" si="32"/>
        <v>Mar-21</v>
      </c>
      <c r="E293" s="33">
        <v>44256</v>
      </c>
      <c r="F293" s="20" t="s">
        <v>85</v>
      </c>
      <c r="G293" s="20">
        <v>142.5</v>
      </c>
      <c r="H293" s="20">
        <v>189.4</v>
      </c>
      <c r="I293" s="20">
        <v>163.19999999999999</v>
      </c>
      <c r="J293" s="20">
        <v>154.5</v>
      </c>
      <c r="K293" s="20">
        <v>168.2</v>
      </c>
      <c r="L293" s="20">
        <v>150.5</v>
      </c>
      <c r="M293" s="20">
        <v>141</v>
      </c>
      <c r="N293" s="20">
        <v>159.19999999999999</v>
      </c>
      <c r="O293" s="20">
        <v>111.7</v>
      </c>
      <c r="P293" s="20">
        <v>164</v>
      </c>
      <c r="Q293" s="20">
        <v>160.6</v>
      </c>
      <c r="R293" s="20">
        <v>166.4</v>
      </c>
      <c r="S293" s="20">
        <v>154.5</v>
      </c>
      <c r="T293" s="20">
        <v>186.1</v>
      </c>
      <c r="U293" s="20">
        <v>159.6</v>
      </c>
      <c r="V293" s="20">
        <v>154.4</v>
      </c>
      <c r="W293" s="20">
        <v>158.9</v>
      </c>
      <c r="X293" s="30">
        <f>'Handle missing value sheet only'!$C$1</f>
        <v>139.27096774193564</v>
      </c>
      <c r="Y293" s="20">
        <v>156</v>
      </c>
      <c r="Z293" s="20">
        <v>154.80000000000001</v>
      </c>
      <c r="AA293" s="20">
        <v>164.6</v>
      </c>
      <c r="AB293" s="20">
        <v>151.30000000000001</v>
      </c>
      <c r="AC293" s="20">
        <v>157.80000000000001</v>
      </c>
      <c r="AD293" s="20">
        <v>163.80000000000001</v>
      </c>
      <c r="AE293" s="20">
        <v>153.1</v>
      </c>
      <c r="AF293" s="20">
        <v>157.30000000000001</v>
      </c>
      <c r="AG293" s="20">
        <v>156.69999999999999</v>
      </c>
      <c r="AH293" s="28">
        <f t="shared" si="33"/>
        <v>3923.7709677419352</v>
      </c>
      <c r="AI293" s="28">
        <f t="shared" si="34"/>
        <v>632</v>
      </c>
      <c r="AJ293" s="28">
        <f t="shared" si="35"/>
        <v>314</v>
      </c>
      <c r="AK293" s="28">
        <f t="shared" si="36"/>
        <v>294.07096774193565</v>
      </c>
      <c r="AL293" s="28">
        <f t="shared" si="37"/>
        <v>2211.8000000000002</v>
      </c>
      <c r="AM293" s="28">
        <f t="shared" si="38"/>
        <v>158</v>
      </c>
      <c r="AN293" s="28">
        <f t="shared" si="39"/>
        <v>147.03548387096782</v>
      </c>
      <c r="AO293" s="23">
        <v>157.98571428571429</v>
      </c>
    </row>
    <row r="294" spans="1:41" x14ac:dyDescent="0.3">
      <c r="A294" s="26" t="s">
        <v>2</v>
      </c>
      <c r="B294" s="21">
        <v>2021</v>
      </c>
      <c r="C294" s="21" t="s">
        <v>5</v>
      </c>
      <c r="D294" s="21" t="str">
        <f t="shared" si="32"/>
        <v>Mar-21</v>
      </c>
      <c r="E294" s="32">
        <v>44256</v>
      </c>
      <c r="F294" s="21" t="s">
        <v>85</v>
      </c>
      <c r="G294" s="21">
        <v>147.5</v>
      </c>
      <c r="H294" s="21">
        <v>197.5</v>
      </c>
      <c r="I294" s="21">
        <v>164.7</v>
      </c>
      <c r="J294" s="21">
        <v>155.6</v>
      </c>
      <c r="K294" s="21">
        <v>156.4</v>
      </c>
      <c r="L294" s="21">
        <v>157.30000000000001</v>
      </c>
      <c r="M294" s="21">
        <v>166.1</v>
      </c>
      <c r="N294" s="21">
        <v>161.1</v>
      </c>
      <c r="O294" s="21">
        <v>114.3</v>
      </c>
      <c r="P294" s="21">
        <v>162.6</v>
      </c>
      <c r="Q294" s="21">
        <v>150.69999999999999</v>
      </c>
      <c r="R294" s="21">
        <v>170.3</v>
      </c>
      <c r="S294" s="21">
        <v>160.4</v>
      </c>
      <c r="T294" s="21">
        <v>193.5</v>
      </c>
      <c r="U294" s="21">
        <v>155.1</v>
      </c>
      <c r="V294" s="21">
        <v>138.69999999999999</v>
      </c>
      <c r="W294" s="21">
        <v>152.6</v>
      </c>
      <c r="X294" s="21">
        <v>159.9</v>
      </c>
      <c r="Y294" s="21">
        <v>154.80000000000001</v>
      </c>
      <c r="Z294" s="21">
        <v>147.19999999999999</v>
      </c>
      <c r="AA294" s="21">
        <v>156.9</v>
      </c>
      <c r="AB294" s="21">
        <v>141.69999999999999</v>
      </c>
      <c r="AC294" s="21">
        <v>148.6</v>
      </c>
      <c r="AD294" s="21">
        <v>157.6</v>
      </c>
      <c r="AE294" s="21">
        <v>154.9</v>
      </c>
      <c r="AF294" s="21">
        <v>150</v>
      </c>
      <c r="AG294" s="21">
        <v>156.9</v>
      </c>
      <c r="AH294" s="28">
        <f t="shared" si="33"/>
        <v>3923.4</v>
      </c>
      <c r="AI294" s="28">
        <f t="shared" si="34"/>
        <v>611.1</v>
      </c>
      <c r="AJ294" s="28">
        <f t="shared" si="35"/>
        <v>293.79999999999995</v>
      </c>
      <c r="AK294" s="28">
        <f t="shared" si="36"/>
        <v>307.10000000000002</v>
      </c>
      <c r="AL294" s="28">
        <f t="shared" si="37"/>
        <v>2257.9999999999995</v>
      </c>
      <c r="AM294" s="28">
        <f t="shared" si="38"/>
        <v>152.77500000000001</v>
      </c>
      <c r="AN294" s="28">
        <f t="shared" si="39"/>
        <v>153.55000000000001</v>
      </c>
      <c r="AO294" s="22">
        <v>161.28571428571425</v>
      </c>
    </row>
    <row r="295" spans="1:41" x14ac:dyDescent="0.3">
      <c r="A295" s="27" t="s">
        <v>3</v>
      </c>
      <c r="B295" s="20">
        <v>2021</v>
      </c>
      <c r="C295" s="20" t="s">
        <v>5</v>
      </c>
      <c r="D295" s="21" t="str">
        <f t="shared" si="32"/>
        <v>Mar-21</v>
      </c>
      <c r="E295" s="33">
        <v>44256</v>
      </c>
      <c r="F295" s="20" t="s">
        <v>85</v>
      </c>
      <c r="G295" s="20">
        <v>144.1</v>
      </c>
      <c r="H295" s="20">
        <v>192.2</v>
      </c>
      <c r="I295" s="20">
        <v>163.80000000000001</v>
      </c>
      <c r="J295" s="20">
        <v>154.9</v>
      </c>
      <c r="K295" s="20">
        <v>163.9</v>
      </c>
      <c r="L295" s="20">
        <v>153.69999999999999</v>
      </c>
      <c r="M295" s="20">
        <v>149.5</v>
      </c>
      <c r="N295" s="20">
        <v>159.80000000000001</v>
      </c>
      <c r="O295" s="20">
        <v>112.6</v>
      </c>
      <c r="P295" s="20">
        <v>163.5</v>
      </c>
      <c r="Q295" s="20">
        <v>156.5</v>
      </c>
      <c r="R295" s="20">
        <v>168.2</v>
      </c>
      <c r="S295" s="20">
        <v>156.69999999999999</v>
      </c>
      <c r="T295" s="20">
        <v>188.1</v>
      </c>
      <c r="U295" s="20">
        <v>157.80000000000001</v>
      </c>
      <c r="V295" s="20">
        <v>147.9</v>
      </c>
      <c r="W295" s="20">
        <v>156.4</v>
      </c>
      <c r="X295" s="20">
        <v>159.9</v>
      </c>
      <c r="Y295" s="20">
        <v>155.5</v>
      </c>
      <c r="Z295" s="20">
        <v>151.19999999999999</v>
      </c>
      <c r="AA295" s="20">
        <v>161.69999999999999</v>
      </c>
      <c r="AB295" s="20">
        <v>146.19999999999999</v>
      </c>
      <c r="AC295" s="20">
        <v>152.6</v>
      </c>
      <c r="AD295" s="20">
        <v>160.19999999999999</v>
      </c>
      <c r="AE295" s="20">
        <v>153.80000000000001</v>
      </c>
      <c r="AF295" s="20">
        <v>153.80000000000001</v>
      </c>
      <c r="AG295" s="20">
        <v>156.80000000000001</v>
      </c>
      <c r="AH295" s="28">
        <f t="shared" si="33"/>
        <v>3928.0999999999995</v>
      </c>
      <c r="AI295" s="28">
        <f t="shared" si="34"/>
        <v>620.4</v>
      </c>
      <c r="AJ295" s="28">
        <f t="shared" si="35"/>
        <v>305.70000000000005</v>
      </c>
      <c r="AK295" s="28">
        <f t="shared" si="36"/>
        <v>311.10000000000002</v>
      </c>
      <c r="AL295" s="28">
        <f t="shared" si="37"/>
        <v>2227.5</v>
      </c>
      <c r="AM295" s="28">
        <f t="shared" si="38"/>
        <v>155.1</v>
      </c>
      <c r="AN295" s="28">
        <f t="shared" si="39"/>
        <v>155.55000000000001</v>
      </c>
      <c r="AO295" s="23">
        <v>159.10714285714286</v>
      </c>
    </row>
    <row r="296" spans="1:41" x14ac:dyDescent="0.3">
      <c r="A296" s="26" t="s">
        <v>0</v>
      </c>
      <c r="B296" s="21">
        <v>2021</v>
      </c>
      <c r="C296" s="21" t="s">
        <v>6</v>
      </c>
      <c r="D296" s="21" t="str">
        <f t="shared" si="32"/>
        <v>Apr-21</v>
      </c>
      <c r="E296" s="32">
        <v>44287</v>
      </c>
      <c r="F296" s="21" t="s">
        <v>85</v>
      </c>
      <c r="G296" s="21">
        <v>142.69999999999999</v>
      </c>
      <c r="H296" s="21">
        <v>195.5</v>
      </c>
      <c r="I296" s="21">
        <v>163.4</v>
      </c>
      <c r="J296" s="21">
        <v>155</v>
      </c>
      <c r="K296" s="21">
        <v>175.2</v>
      </c>
      <c r="L296" s="21">
        <v>160.6</v>
      </c>
      <c r="M296" s="21">
        <v>135.1</v>
      </c>
      <c r="N296" s="21">
        <v>161.1</v>
      </c>
      <c r="O296" s="21">
        <v>112.2</v>
      </c>
      <c r="P296" s="21">
        <v>164.4</v>
      </c>
      <c r="Q296" s="21">
        <v>161.9</v>
      </c>
      <c r="R296" s="21">
        <v>166.8</v>
      </c>
      <c r="S296" s="21">
        <v>155.6</v>
      </c>
      <c r="T296" s="21">
        <v>186.8</v>
      </c>
      <c r="U296" s="21">
        <v>160.69999999999999</v>
      </c>
      <c r="V296" s="21">
        <v>155.1</v>
      </c>
      <c r="W296" s="21">
        <v>159.9</v>
      </c>
      <c r="X296" s="28">
        <f>'Handle missing value sheet only'!$C$1</f>
        <v>139.27096774193564</v>
      </c>
      <c r="Y296" s="21">
        <v>156</v>
      </c>
      <c r="Z296" s="21">
        <v>155.5</v>
      </c>
      <c r="AA296" s="21">
        <v>165.3</v>
      </c>
      <c r="AB296" s="21">
        <v>151.69999999999999</v>
      </c>
      <c r="AC296" s="21">
        <v>158.6</v>
      </c>
      <c r="AD296" s="21">
        <v>164.1</v>
      </c>
      <c r="AE296" s="21">
        <v>154.6</v>
      </c>
      <c r="AF296" s="21">
        <v>158</v>
      </c>
      <c r="AG296" s="21">
        <v>157.6</v>
      </c>
      <c r="AH296" s="28">
        <f t="shared" si="33"/>
        <v>3955.1709677419353</v>
      </c>
      <c r="AI296" s="28">
        <f t="shared" si="34"/>
        <v>635.30000000000007</v>
      </c>
      <c r="AJ296" s="28">
        <f t="shared" si="35"/>
        <v>315.79999999999995</v>
      </c>
      <c r="AK296" s="28">
        <f t="shared" si="36"/>
        <v>294.77096774193564</v>
      </c>
      <c r="AL296" s="28">
        <f t="shared" si="37"/>
        <v>2236.3000000000002</v>
      </c>
      <c r="AM296" s="28">
        <f t="shared" si="38"/>
        <v>158.82500000000002</v>
      </c>
      <c r="AN296" s="28">
        <f t="shared" si="39"/>
        <v>147.38548387096782</v>
      </c>
      <c r="AO296" s="22">
        <v>159.73571428571429</v>
      </c>
    </row>
    <row r="297" spans="1:41" x14ac:dyDescent="0.3">
      <c r="A297" s="27" t="s">
        <v>2</v>
      </c>
      <c r="B297" s="20">
        <v>2021</v>
      </c>
      <c r="C297" s="20" t="s">
        <v>6</v>
      </c>
      <c r="D297" s="21" t="str">
        <f t="shared" si="32"/>
        <v>Apr-21</v>
      </c>
      <c r="E297" s="33">
        <v>44287</v>
      </c>
      <c r="F297" s="20" t="s">
        <v>85</v>
      </c>
      <c r="G297" s="20">
        <v>147.6</v>
      </c>
      <c r="H297" s="20">
        <v>202.5</v>
      </c>
      <c r="I297" s="20">
        <v>166.4</v>
      </c>
      <c r="J297" s="20">
        <v>156</v>
      </c>
      <c r="K297" s="20">
        <v>161.4</v>
      </c>
      <c r="L297" s="20">
        <v>168.8</v>
      </c>
      <c r="M297" s="20">
        <v>161.6</v>
      </c>
      <c r="N297" s="20">
        <v>162.80000000000001</v>
      </c>
      <c r="O297" s="20">
        <v>114.8</v>
      </c>
      <c r="P297" s="20">
        <v>162.80000000000001</v>
      </c>
      <c r="Q297" s="20">
        <v>151.5</v>
      </c>
      <c r="R297" s="20">
        <v>171.4</v>
      </c>
      <c r="S297" s="20">
        <v>162</v>
      </c>
      <c r="T297" s="20">
        <v>194.4</v>
      </c>
      <c r="U297" s="20">
        <v>155.9</v>
      </c>
      <c r="V297" s="20">
        <v>139.30000000000001</v>
      </c>
      <c r="W297" s="20">
        <v>153.4</v>
      </c>
      <c r="X297" s="20">
        <v>161.4</v>
      </c>
      <c r="Y297" s="20">
        <v>154.9</v>
      </c>
      <c r="Z297" s="20">
        <v>147.6</v>
      </c>
      <c r="AA297" s="20">
        <v>157.5</v>
      </c>
      <c r="AB297" s="20">
        <v>142.1</v>
      </c>
      <c r="AC297" s="20">
        <v>149.1</v>
      </c>
      <c r="AD297" s="20">
        <v>157.6</v>
      </c>
      <c r="AE297" s="20">
        <v>156.6</v>
      </c>
      <c r="AF297" s="20">
        <v>150.5</v>
      </c>
      <c r="AG297" s="20">
        <v>158</v>
      </c>
      <c r="AH297" s="28">
        <f t="shared" si="33"/>
        <v>3956.5000000000014</v>
      </c>
      <c r="AI297" s="28">
        <f t="shared" si="34"/>
        <v>613.80000000000007</v>
      </c>
      <c r="AJ297" s="28">
        <f t="shared" si="35"/>
        <v>295.20000000000005</v>
      </c>
      <c r="AK297" s="28">
        <f t="shared" si="36"/>
        <v>309</v>
      </c>
      <c r="AL297" s="28">
        <f t="shared" si="37"/>
        <v>2284</v>
      </c>
      <c r="AM297" s="28">
        <f t="shared" si="38"/>
        <v>153.45000000000002</v>
      </c>
      <c r="AN297" s="28">
        <f t="shared" si="39"/>
        <v>154.5</v>
      </c>
      <c r="AO297" s="23">
        <v>163.14285714285714</v>
      </c>
    </row>
    <row r="298" spans="1:41" x14ac:dyDescent="0.3">
      <c r="A298" s="26" t="s">
        <v>3</v>
      </c>
      <c r="B298" s="21">
        <v>2021</v>
      </c>
      <c r="C298" s="21" t="s">
        <v>6</v>
      </c>
      <c r="D298" s="21" t="str">
        <f t="shared" si="32"/>
        <v>Apr-21</v>
      </c>
      <c r="E298" s="32">
        <v>44287</v>
      </c>
      <c r="F298" s="21" t="s">
        <v>85</v>
      </c>
      <c r="G298" s="21">
        <v>144.30000000000001</v>
      </c>
      <c r="H298" s="21">
        <v>198</v>
      </c>
      <c r="I298" s="21">
        <v>164.6</v>
      </c>
      <c r="J298" s="21">
        <v>155.4</v>
      </c>
      <c r="K298" s="21">
        <v>170.1</v>
      </c>
      <c r="L298" s="21">
        <v>164.4</v>
      </c>
      <c r="M298" s="21">
        <v>144.1</v>
      </c>
      <c r="N298" s="21">
        <v>161.69999999999999</v>
      </c>
      <c r="O298" s="21">
        <v>113.1</v>
      </c>
      <c r="P298" s="21">
        <v>163.9</v>
      </c>
      <c r="Q298" s="21">
        <v>157.6</v>
      </c>
      <c r="R298" s="21">
        <v>168.9</v>
      </c>
      <c r="S298" s="21">
        <v>158</v>
      </c>
      <c r="T298" s="21">
        <v>188.8</v>
      </c>
      <c r="U298" s="21">
        <v>158.80000000000001</v>
      </c>
      <c r="V298" s="21">
        <v>148.5</v>
      </c>
      <c r="W298" s="21">
        <v>157.30000000000001</v>
      </c>
      <c r="X298" s="21">
        <v>161.4</v>
      </c>
      <c r="Y298" s="21">
        <v>155.6</v>
      </c>
      <c r="Z298" s="21">
        <v>151.80000000000001</v>
      </c>
      <c r="AA298" s="21">
        <v>162.30000000000001</v>
      </c>
      <c r="AB298" s="21">
        <v>146.6</v>
      </c>
      <c r="AC298" s="21">
        <v>153.19999999999999</v>
      </c>
      <c r="AD298" s="21">
        <v>160.30000000000001</v>
      </c>
      <c r="AE298" s="21">
        <v>155.4</v>
      </c>
      <c r="AF298" s="21">
        <v>154.4</v>
      </c>
      <c r="AG298" s="21">
        <v>157.80000000000001</v>
      </c>
      <c r="AH298" s="28">
        <f t="shared" si="33"/>
        <v>3961.2000000000003</v>
      </c>
      <c r="AI298" s="28">
        <f t="shared" si="34"/>
        <v>623.29999999999995</v>
      </c>
      <c r="AJ298" s="28">
        <f t="shared" si="35"/>
        <v>307.3</v>
      </c>
      <c r="AK298" s="28">
        <f t="shared" si="36"/>
        <v>313.20000000000005</v>
      </c>
      <c r="AL298" s="28">
        <f t="shared" si="37"/>
        <v>2252.9</v>
      </c>
      <c r="AM298" s="28">
        <f t="shared" si="38"/>
        <v>155.82499999999999</v>
      </c>
      <c r="AN298" s="28">
        <f t="shared" si="39"/>
        <v>156.60000000000002</v>
      </c>
      <c r="AO298" s="22">
        <v>160.92142857142858</v>
      </c>
    </row>
    <row r="299" spans="1:41" x14ac:dyDescent="0.3">
      <c r="A299" s="27" t="s">
        <v>0</v>
      </c>
      <c r="B299" s="20">
        <v>2021</v>
      </c>
      <c r="C299" s="20" t="s">
        <v>7</v>
      </c>
      <c r="D299" s="21" t="str">
        <f t="shared" si="32"/>
        <v>May-21</v>
      </c>
      <c r="E299" s="33">
        <v>44317</v>
      </c>
      <c r="F299" s="20" t="s">
        <v>85</v>
      </c>
      <c r="G299" s="20">
        <v>145.1</v>
      </c>
      <c r="H299" s="20">
        <v>198.5</v>
      </c>
      <c r="I299" s="20">
        <v>168.6</v>
      </c>
      <c r="J299" s="20">
        <v>155.80000000000001</v>
      </c>
      <c r="K299" s="20">
        <v>184.4</v>
      </c>
      <c r="L299" s="20">
        <v>162.30000000000001</v>
      </c>
      <c r="M299" s="20">
        <v>138.4</v>
      </c>
      <c r="N299" s="20">
        <v>165.1</v>
      </c>
      <c r="O299" s="20">
        <v>114.3</v>
      </c>
      <c r="P299" s="20">
        <v>169.7</v>
      </c>
      <c r="Q299" s="20">
        <v>164.6</v>
      </c>
      <c r="R299" s="20">
        <v>169.8</v>
      </c>
      <c r="S299" s="20">
        <v>158.69999999999999</v>
      </c>
      <c r="T299" s="20">
        <v>189.6</v>
      </c>
      <c r="U299" s="20">
        <v>165.3</v>
      </c>
      <c r="V299" s="20">
        <v>160.6</v>
      </c>
      <c r="W299" s="20">
        <v>164.5</v>
      </c>
      <c r="X299" s="30">
        <f>'Handle missing value sheet only'!$C$1</f>
        <v>139.27096774193564</v>
      </c>
      <c r="Y299" s="20">
        <v>161.69999999999999</v>
      </c>
      <c r="Z299" s="20">
        <v>158.80000000000001</v>
      </c>
      <c r="AA299" s="20">
        <v>169.1</v>
      </c>
      <c r="AB299" s="20">
        <v>153.19999999999999</v>
      </c>
      <c r="AC299" s="20">
        <v>160</v>
      </c>
      <c r="AD299" s="20">
        <v>167.6</v>
      </c>
      <c r="AE299" s="20">
        <v>159.30000000000001</v>
      </c>
      <c r="AF299" s="20">
        <v>161.1</v>
      </c>
      <c r="AG299" s="20">
        <v>161.1</v>
      </c>
      <c r="AH299" s="28">
        <f t="shared" si="33"/>
        <v>4040.8709677419356</v>
      </c>
      <c r="AI299" s="28">
        <f t="shared" si="34"/>
        <v>648</v>
      </c>
      <c r="AJ299" s="28">
        <f t="shared" si="35"/>
        <v>325.89999999999998</v>
      </c>
      <c r="AK299" s="28">
        <f t="shared" si="36"/>
        <v>298.07096774193565</v>
      </c>
      <c r="AL299" s="28">
        <f t="shared" si="37"/>
        <v>2284.8999999999996</v>
      </c>
      <c r="AM299" s="28">
        <f t="shared" si="38"/>
        <v>162</v>
      </c>
      <c r="AN299" s="28">
        <f t="shared" si="39"/>
        <v>149.03548387096782</v>
      </c>
      <c r="AO299" s="23">
        <v>163.20714285714283</v>
      </c>
    </row>
    <row r="300" spans="1:41" x14ac:dyDescent="0.3">
      <c r="A300" s="26" t="s">
        <v>2</v>
      </c>
      <c r="B300" s="21">
        <v>2021</v>
      </c>
      <c r="C300" s="21" t="s">
        <v>7</v>
      </c>
      <c r="D300" s="21" t="str">
        <f t="shared" si="32"/>
        <v>May-21</v>
      </c>
      <c r="E300" s="32">
        <v>44317</v>
      </c>
      <c r="F300" s="21" t="s">
        <v>85</v>
      </c>
      <c r="G300" s="21">
        <v>148.80000000000001</v>
      </c>
      <c r="H300" s="21">
        <v>204.3</v>
      </c>
      <c r="I300" s="21">
        <v>173</v>
      </c>
      <c r="J300" s="21">
        <v>156.5</v>
      </c>
      <c r="K300" s="21">
        <v>168.8</v>
      </c>
      <c r="L300" s="21">
        <v>172.5</v>
      </c>
      <c r="M300" s="21">
        <v>166.5</v>
      </c>
      <c r="N300" s="21">
        <v>165.9</v>
      </c>
      <c r="O300" s="21">
        <v>115.9</v>
      </c>
      <c r="P300" s="21">
        <v>165.2</v>
      </c>
      <c r="Q300" s="21">
        <v>152</v>
      </c>
      <c r="R300" s="21">
        <v>171.1</v>
      </c>
      <c r="S300" s="21">
        <v>164.2</v>
      </c>
      <c r="T300" s="21">
        <v>198.2</v>
      </c>
      <c r="U300" s="21">
        <v>156.5</v>
      </c>
      <c r="V300" s="21">
        <v>140.19999999999999</v>
      </c>
      <c r="W300" s="21">
        <v>154.1</v>
      </c>
      <c r="X300" s="21">
        <v>161.6</v>
      </c>
      <c r="Y300" s="21">
        <v>155.5</v>
      </c>
      <c r="Z300" s="21">
        <v>150.1</v>
      </c>
      <c r="AA300" s="21">
        <v>160.4</v>
      </c>
      <c r="AB300" s="21">
        <v>145</v>
      </c>
      <c r="AC300" s="21">
        <v>152.6</v>
      </c>
      <c r="AD300" s="21">
        <v>156.6</v>
      </c>
      <c r="AE300" s="21">
        <v>157.5</v>
      </c>
      <c r="AF300" s="21">
        <v>152.30000000000001</v>
      </c>
      <c r="AG300" s="21">
        <v>159.5</v>
      </c>
      <c r="AH300" s="28">
        <f t="shared" si="33"/>
        <v>4011.1999999999994</v>
      </c>
      <c r="AI300" s="28">
        <f t="shared" si="34"/>
        <v>619</v>
      </c>
      <c r="AJ300" s="28">
        <f t="shared" si="35"/>
        <v>296.7</v>
      </c>
      <c r="AK300" s="28">
        <f t="shared" si="36"/>
        <v>311.7</v>
      </c>
      <c r="AL300" s="28">
        <f t="shared" si="37"/>
        <v>2322.9</v>
      </c>
      <c r="AM300" s="28">
        <f t="shared" si="38"/>
        <v>154.75</v>
      </c>
      <c r="AN300" s="28">
        <f t="shared" si="39"/>
        <v>155.85</v>
      </c>
      <c r="AO300" s="22">
        <v>165.92142857142858</v>
      </c>
    </row>
    <row r="301" spans="1:41" x14ac:dyDescent="0.3">
      <c r="A301" s="27" t="s">
        <v>3</v>
      </c>
      <c r="B301" s="20">
        <v>2021</v>
      </c>
      <c r="C301" s="20" t="s">
        <v>7</v>
      </c>
      <c r="D301" s="21" t="str">
        <f t="shared" si="32"/>
        <v>May-21</v>
      </c>
      <c r="E301" s="33">
        <v>44317</v>
      </c>
      <c r="F301" s="20" t="s">
        <v>85</v>
      </c>
      <c r="G301" s="20">
        <v>146.30000000000001</v>
      </c>
      <c r="H301" s="20">
        <v>200.5</v>
      </c>
      <c r="I301" s="20">
        <v>170.3</v>
      </c>
      <c r="J301" s="20">
        <v>156.1</v>
      </c>
      <c r="K301" s="20">
        <v>178.7</v>
      </c>
      <c r="L301" s="20">
        <v>167.1</v>
      </c>
      <c r="M301" s="20">
        <v>147.9</v>
      </c>
      <c r="N301" s="20">
        <v>165.4</v>
      </c>
      <c r="O301" s="20">
        <v>114.8</v>
      </c>
      <c r="P301" s="20">
        <v>168.2</v>
      </c>
      <c r="Q301" s="20">
        <v>159.30000000000001</v>
      </c>
      <c r="R301" s="20">
        <v>170.4</v>
      </c>
      <c r="S301" s="20">
        <v>160.69999999999999</v>
      </c>
      <c r="T301" s="20">
        <v>191.9</v>
      </c>
      <c r="U301" s="20">
        <v>161.80000000000001</v>
      </c>
      <c r="V301" s="20">
        <v>152.1</v>
      </c>
      <c r="W301" s="20">
        <v>160.4</v>
      </c>
      <c r="X301" s="20">
        <v>161.6</v>
      </c>
      <c r="Y301" s="20">
        <v>159.4</v>
      </c>
      <c r="Z301" s="20">
        <v>154.69999999999999</v>
      </c>
      <c r="AA301" s="20">
        <v>165.8</v>
      </c>
      <c r="AB301" s="20">
        <v>148.9</v>
      </c>
      <c r="AC301" s="20">
        <v>155.80000000000001</v>
      </c>
      <c r="AD301" s="20">
        <v>161.19999999999999</v>
      </c>
      <c r="AE301" s="20">
        <v>158.6</v>
      </c>
      <c r="AF301" s="20">
        <v>156.80000000000001</v>
      </c>
      <c r="AG301" s="20">
        <v>160.4</v>
      </c>
      <c r="AH301" s="28">
        <f t="shared" si="33"/>
        <v>4034.3</v>
      </c>
      <c r="AI301" s="28">
        <f t="shared" si="34"/>
        <v>632.4</v>
      </c>
      <c r="AJ301" s="28">
        <f t="shared" si="35"/>
        <v>313.89999999999998</v>
      </c>
      <c r="AK301" s="28">
        <f t="shared" si="36"/>
        <v>316.29999999999995</v>
      </c>
      <c r="AL301" s="28">
        <f t="shared" si="37"/>
        <v>2297.6000000000004</v>
      </c>
      <c r="AM301" s="28">
        <f t="shared" si="38"/>
        <v>158.1</v>
      </c>
      <c r="AN301" s="28">
        <f t="shared" si="39"/>
        <v>158.14999999999998</v>
      </c>
      <c r="AO301" s="23">
        <v>164.11428571428573</v>
      </c>
    </row>
    <row r="302" spans="1:41" x14ac:dyDescent="0.3">
      <c r="A302" s="26" t="s">
        <v>0</v>
      </c>
      <c r="B302" s="21">
        <v>2021</v>
      </c>
      <c r="C302" s="21" t="s">
        <v>8</v>
      </c>
      <c r="D302" s="21" t="str">
        <f t="shared" si="32"/>
        <v>Jun-21</v>
      </c>
      <c r="E302" s="32">
        <v>44348</v>
      </c>
      <c r="F302" s="21" t="s">
        <v>85</v>
      </c>
      <c r="G302" s="21">
        <v>145.6</v>
      </c>
      <c r="H302" s="21">
        <v>200.1</v>
      </c>
      <c r="I302" s="21">
        <v>179.3</v>
      </c>
      <c r="J302" s="21">
        <v>156.1</v>
      </c>
      <c r="K302" s="21">
        <v>190.4</v>
      </c>
      <c r="L302" s="21">
        <v>158.6</v>
      </c>
      <c r="M302" s="21">
        <v>144.69999999999999</v>
      </c>
      <c r="N302" s="21">
        <v>165.5</v>
      </c>
      <c r="O302" s="21">
        <v>114.6</v>
      </c>
      <c r="P302" s="21">
        <v>170</v>
      </c>
      <c r="Q302" s="21">
        <v>165.5</v>
      </c>
      <c r="R302" s="21">
        <v>171.7</v>
      </c>
      <c r="S302" s="21">
        <v>160.5</v>
      </c>
      <c r="T302" s="21">
        <v>189.1</v>
      </c>
      <c r="U302" s="21">
        <v>165.3</v>
      </c>
      <c r="V302" s="21">
        <v>159.9</v>
      </c>
      <c r="W302" s="21">
        <v>164.6</v>
      </c>
      <c r="X302" s="28">
        <f>'Handle missing value sheet only'!$C$1</f>
        <v>139.27096774193564</v>
      </c>
      <c r="Y302" s="21">
        <v>162.1</v>
      </c>
      <c r="Z302" s="21">
        <v>159.19999999999999</v>
      </c>
      <c r="AA302" s="21">
        <v>169.7</v>
      </c>
      <c r="AB302" s="21">
        <v>154.19999999999999</v>
      </c>
      <c r="AC302" s="21">
        <v>160.4</v>
      </c>
      <c r="AD302" s="21">
        <v>166.8</v>
      </c>
      <c r="AE302" s="21">
        <v>159.4</v>
      </c>
      <c r="AF302" s="21">
        <v>161.5</v>
      </c>
      <c r="AG302" s="21">
        <v>162.1</v>
      </c>
      <c r="AH302" s="28">
        <f t="shared" si="33"/>
        <v>4069.4709677419351</v>
      </c>
      <c r="AI302" s="28">
        <f t="shared" si="34"/>
        <v>648.1</v>
      </c>
      <c r="AJ302" s="28">
        <f t="shared" si="35"/>
        <v>325.20000000000005</v>
      </c>
      <c r="AK302" s="28">
        <f t="shared" si="36"/>
        <v>298.47096774193562</v>
      </c>
      <c r="AL302" s="28">
        <f t="shared" si="37"/>
        <v>2311.6999999999998</v>
      </c>
      <c r="AM302" s="28">
        <f t="shared" si="38"/>
        <v>162.02500000000001</v>
      </c>
      <c r="AN302" s="28">
        <f t="shared" si="39"/>
        <v>149.23548387096781</v>
      </c>
      <c r="AO302" s="22">
        <v>165.12142857142857</v>
      </c>
    </row>
    <row r="303" spans="1:41" x14ac:dyDescent="0.3">
      <c r="A303" s="27" t="s">
        <v>2</v>
      </c>
      <c r="B303" s="20">
        <v>2021</v>
      </c>
      <c r="C303" s="20" t="s">
        <v>8</v>
      </c>
      <c r="D303" s="21" t="str">
        <f t="shared" si="32"/>
        <v>Jun-21</v>
      </c>
      <c r="E303" s="33">
        <v>44348</v>
      </c>
      <c r="F303" s="20" t="s">
        <v>85</v>
      </c>
      <c r="G303" s="20">
        <v>149.19999999999999</v>
      </c>
      <c r="H303" s="20">
        <v>205.5</v>
      </c>
      <c r="I303" s="20">
        <v>182.8</v>
      </c>
      <c r="J303" s="20">
        <v>156.5</v>
      </c>
      <c r="K303" s="20">
        <v>172.2</v>
      </c>
      <c r="L303" s="20">
        <v>171.5</v>
      </c>
      <c r="M303" s="20">
        <v>176.2</v>
      </c>
      <c r="N303" s="20">
        <v>166.9</v>
      </c>
      <c r="O303" s="20">
        <v>116.1</v>
      </c>
      <c r="P303" s="20">
        <v>165.5</v>
      </c>
      <c r="Q303" s="20">
        <v>152.30000000000001</v>
      </c>
      <c r="R303" s="20">
        <v>173.3</v>
      </c>
      <c r="S303" s="20">
        <v>166.2</v>
      </c>
      <c r="T303" s="20">
        <v>195.6</v>
      </c>
      <c r="U303" s="20">
        <v>157.30000000000001</v>
      </c>
      <c r="V303" s="20">
        <v>140.5</v>
      </c>
      <c r="W303" s="20">
        <v>154.80000000000001</v>
      </c>
      <c r="X303" s="20">
        <v>160.5</v>
      </c>
      <c r="Y303" s="20">
        <v>156.1</v>
      </c>
      <c r="Z303" s="20">
        <v>149.80000000000001</v>
      </c>
      <c r="AA303" s="20">
        <v>160.80000000000001</v>
      </c>
      <c r="AB303" s="20">
        <v>147.5</v>
      </c>
      <c r="AC303" s="20">
        <v>150.69999999999999</v>
      </c>
      <c r="AD303" s="20">
        <v>158.1</v>
      </c>
      <c r="AE303" s="20">
        <v>158</v>
      </c>
      <c r="AF303" s="20">
        <v>153.4</v>
      </c>
      <c r="AG303" s="20">
        <v>160.4</v>
      </c>
      <c r="AH303" s="28">
        <f t="shared" si="33"/>
        <v>4042.5</v>
      </c>
      <c r="AI303" s="28">
        <f t="shared" si="34"/>
        <v>620.20000000000005</v>
      </c>
      <c r="AJ303" s="28">
        <f t="shared" si="35"/>
        <v>297.8</v>
      </c>
      <c r="AK303" s="28">
        <f t="shared" si="36"/>
        <v>310.3</v>
      </c>
      <c r="AL303" s="28">
        <f t="shared" si="37"/>
        <v>2349.7999999999997</v>
      </c>
      <c r="AM303" s="28">
        <f t="shared" si="38"/>
        <v>155.05000000000001</v>
      </c>
      <c r="AN303" s="28">
        <f t="shared" si="39"/>
        <v>155.15</v>
      </c>
      <c r="AO303" s="23">
        <v>167.84285714285713</v>
      </c>
    </row>
    <row r="304" spans="1:41" x14ac:dyDescent="0.3">
      <c r="A304" s="26" t="s">
        <v>3</v>
      </c>
      <c r="B304" s="21">
        <v>2021</v>
      </c>
      <c r="C304" s="21" t="s">
        <v>8</v>
      </c>
      <c r="D304" s="21" t="str">
        <f t="shared" si="32"/>
        <v>Jun-21</v>
      </c>
      <c r="E304" s="32">
        <v>44348</v>
      </c>
      <c r="F304" s="21" t="s">
        <v>85</v>
      </c>
      <c r="G304" s="21">
        <v>146.69999999999999</v>
      </c>
      <c r="H304" s="21">
        <v>202</v>
      </c>
      <c r="I304" s="21">
        <v>180.7</v>
      </c>
      <c r="J304" s="21">
        <v>156.19999999999999</v>
      </c>
      <c r="K304" s="21">
        <v>183.7</v>
      </c>
      <c r="L304" s="21">
        <v>164.6</v>
      </c>
      <c r="M304" s="21">
        <v>155.4</v>
      </c>
      <c r="N304" s="21">
        <v>166</v>
      </c>
      <c r="O304" s="21">
        <v>115.1</v>
      </c>
      <c r="P304" s="21">
        <v>168.5</v>
      </c>
      <c r="Q304" s="21">
        <v>160</v>
      </c>
      <c r="R304" s="21">
        <v>172.4</v>
      </c>
      <c r="S304" s="21">
        <v>162.6</v>
      </c>
      <c r="T304" s="21">
        <v>190.8</v>
      </c>
      <c r="U304" s="21">
        <v>162.19999999999999</v>
      </c>
      <c r="V304" s="21">
        <v>151.80000000000001</v>
      </c>
      <c r="W304" s="21">
        <v>160.69999999999999</v>
      </c>
      <c r="X304" s="21">
        <v>160.5</v>
      </c>
      <c r="Y304" s="21">
        <v>159.80000000000001</v>
      </c>
      <c r="Z304" s="21">
        <v>154.80000000000001</v>
      </c>
      <c r="AA304" s="21">
        <v>166.3</v>
      </c>
      <c r="AB304" s="21">
        <v>150.69999999999999</v>
      </c>
      <c r="AC304" s="21">
        <v>154.9</v>
      </c>
      <c r="AD304" s="21">
        <v>161.69999999999999</v>
      </c>
      <c r="AE304" s="21">
        <v>158.80000000000001</v>
      </c>
      <c r="AF304" s="21">
        <v>157.6</v>
      </c>
      <c r="AG304" s="21">
        <v>161.30000000000001</v>
      </c>
      <c r="AH304" s="28">
        <f t="shared" si="33"/>
        <v>4063.7999999999997</v>
      </c>
      <c r="AI304" s="28">
        <f t="shared" si="34"/>
        <v>633</v>
      </c>
      <c r="AJ304" s="28">
        <f t="shared" si="35"/>
        <v>314</v>
      </c>
      <c r="AK304" s="28">
        <f t="shared" si="36"/>
        <v>315.3</v>
      </c>
      <c r="AL304" s="28">
        <f t="shared" si="37"/>
        <v>2324.7000000000003</v>
      </c>
      <c r="AM304" s="28">
        <f t="shared" si="38"/>
        <v>158.25</v>
      </c>
      <c r="AN304" s="28">
        <f t="shared" si="39"/>
        <v>157.65</v>
      </c>
      <c r="AO304" s="22">
        <v>166.05</v>
      </c>
    </row>
    <row r="305" spans="1:41" x14ac:dyDescent="0.3">
      <c r="A305" s="27" t="s">
        <v>0</v>
      </c>
      <c r="B305" s="20">
        <v>2021</v>
      </c>
      <c r="C305" s="20" t="s">
        <v>9</v>
      </c>
      <c r="D305" s="21" t="str">
        <f t="shared" si="32"/>
        <v>Jul-21</v>
      </c>
      <c r="E305" s="33">
        <v>44378</v>
      </c>
      <c r="F305" s="20" t="s">
        <v>85</v>
      </c>
      <c r="G305" s="20">
        <v>145.1</v>
      </c>
      <c r="H305" s="20">
        <v>204.5</v>
      </c>
      <c r="I305" s="20">
        <v>180.4</v>
      </c>
      <c r="J305" s="20">
        <v>157.1</v>
      </c>
      <c r="K305" s="20">
        <v>188.7</v>
      </c>
      <c r="L305" s="20">
        <v>157.69999999999999</v>
      </c>
      <c r="M305" s="20">
        <v>152.80000000000001</v>
      </c>
      <c r="N305" s="20">
        <v>163.6</v>
      </c>
      <c r="O305" s="20">
        <v>113.9</v>
      </c>
      <c r="P305" s="20">
        <v>169.7</v>
      </c>
      <c r="Q305" s="20">
        <v>166.2</v>
      </c>
      <c r="R305" s="20">
        <v>171</v>
      </c>
      <c r="S305" s="20">
        <v>161.69999999999999</v>
      </c>
      <c r="T305" s="20">
        <v>189.7</v>
      </c>
      <c r="U305" s="20">
        <v>166</v>
      </c>
      <c r="V305" s="20">
        <v>161.1</v>
      </c>
      <c r="W305" s="20">
        <v>165.3</v>
      </c>
      <c r="X305" s="30">
        <f>'Handle missing value sheet only'!$C$1</f>
        <v>139.27096774193564</v>
      </c>
      <c r="Y305" s="20">
        <v>162.5</v>
      </c>
      <c r="Z305" s="20">
        <v>160.30000000000001</v>
      </c>
      <c r="AA305" s="20">
        <v>170.4</v>
      </c>
      <c r="AB305" s="20">
        <v>157.1</v>
      </c>
      <c r="AC305" s="20">
        <v>160.69999999999999</v>
      </c>
      <c r="AD305" s="20">
        <v>167.2</v>
      </c>
      <c r="AE305" s="20">
        <v>160.4</v>
      </c>
      <c r="AF305" s="20">
        <v>162.80000000000001</v>
      </c>
      <c r="AG305" s="20">
        <v>163.19999999999999</v>
      </c>
      <c r="AH305" s="28">
        <f t="shared" si="33"/>
        <v>4089.8709677419347</v>
      </c>
      <c r="AI305" s="28">
        <f t="shared" si="34"/>
        <v>651.1</v>
      </c>
      <c r="AJ305" s="28">
        <f t="shared" si="35"/>
        <v>327.10000000000002</v>
      </c>
      <c r="AK305" s="28">
        <f t="shared" si="36"/>
        <v>299.57096774193565</v>
      </c>
      <c r="AL305" s="28">
        <f t="shared" si="37"/>
        <v>2322.1</v>
      </c>
      <c r="AM305" s="28">
        <f t="shared" si="38"/>
        <v>162.77500000000001</v>
      </c>
      <c r="AN305" s="28">
        <f t="shared" si="39"/>
        <v>149.78548387096782</v>
      </c>
      <c r="AO305" s="23">
        <v>165.8642857142857</v>
      </c>
    </row>
    <row r="306" spans="1:41" x14ac:dyDescent="0.3">
      <c r="A306" s="26" t="s">
        <v>2</v>
      </c>
      <c r="B306" s="21">
        <v>2021</v>
      </c>
      <c r="C306" s="21" t="s">
        <v>9</v>
      </c>
      <c r="D306" s="21" t="str">
        <f t="shared" si="32"/>
        <v>Jul-21</v>
      </c>
      <c r="E306" s="32">
        <v>44378</v>
      </c>
      <c r="F306" s="21" t="s">
        <v>85</v>
      </c>
      <c r="G306" s="21">
        <v>149.1</v>
      </c>
      <c r="H306" s="21">
        <v>210.9</v>
      </c>
      <c r="I306" s="21">
        <v>185</v>
      </c>
      <c r="J306" s="21">
        <v>158.19999999999999</v>
      </c>
      <c r="K306" s="21">
        <v>170.6</v>
      </c>
      <c r="L306" s="21">
        <v>170.9</v>
      </c>
      <c r="M306" s="21">
        <v>186.4</v>
      </c>
      <c r="N306" s="21">
        <v>164.7</v>
      </c>
      <c r="O306" s="21">
        <v>115.7</v>
      </c>
      <c r="P306" s="21">
        <v>165.5</v>
      </c>
      <c r="Q306" s="21">
        <v>153.4</v>
      </c>
      <c r="R306" s="21">
        <v>173.5</v>
      </c>
      <c r="S306" s="21">
        <v>167.9</v>
      </c>
      <c r="T306" s="21">
        <v>195.5</v>
      </c>
      <c r="U306" s="21">
        <v>157.9</v>
      </c>
      <c r="V306" s="21">
        <v>141.9</v>
      </c>
      <c r="W306" s="21">
        <v>155.5</v>
      </c>
      <c r="X306" s="21">
        <v>161.5</v>
      </c>
      <c r="Y306" s="21">
        <v>157.69999999999999</v>
      </c>
      <c r="Z306" s="21">
        <v>150.69999999999999</v>
      </c>
      <c r="AA306" s="21">
        <v>161.5</v>
      </c>
      <c r="AB306" s="21">
        <v>149.5</v>
      </c>
      <c r="AC306" s="21">
        <v>151.19999999999999</v>
      </c>
      <c r="AD306" s="21">
        <v>160.30000000000001</v>
      </c>
      <c r="AE306" s="21">
        <v>159.6</v>
      </c>
      <c r="AF306" s="21">
        <v>155</v>
      </c>
      <c r="AG306" s="21">
        <v>161.80000000000001</v>
      </c>
      <c r="AH306" s="28">
        <f t="shared" si="33"/>
        <v>4074.1</v>
      </c>
      <c r="AI306" s="28">
        <f t="shared" si="34"/>
        <v>626.1</v>
      </c>
      <c r="AJ306" s="28">
        <f t="shared" si="35"/>
        <v>299.8</v>
      </c>
      <c r="AK306" s="28">
        <f t="shared" si="36"/>
        <v>312.2</v>
      </c>
      <c r="AL306" s="28">
        <f t="shared" si="37"/>
        <v>2367.3000000000002</v>
      </c>
      <c r="AM306" s="28">
        <f t="shared" si="38"/>
        <v>156.52500000000001</v>
      </c>
      <c r="AN306" s="28">
        <f t="shared" si="39"/>
        <v>156.1</v>
      </c>
      <c r="AO306" s="22">
        <v>169.09285714285716</v>
      </c>
    </row>
    <row r="307" spans="1:41" x14ac:dyDescent="0.3">
      <c r="A307" s="27" t="s">
        <v>3</v>
      </c>
      <c r="B307" s="20">
        <v>2021</v>
      </c>
      <c r="C307" s="20" t="s">
        <v>9</v>
      </c>
      <c r="D307" s="21" t="str">
        <f t="shared" si="32"/>
        <v>Jul-21</v>
      </c>
      <c r="E307" s="33">
        <v>44378</v>
      </c>
      <c r="F307" s="20" t="s">
        <v>85</v>
      </c>
      <c r="G307" s="20">
        <v>146.4</v>
      </c>
      <c r="H307" s="20">
        <v>206.8</v>
      </c>
      <c r="I307" s="20">
        <v>182.2</v>
      </c>
      <c r="J307" s="20">
        <v>157.5</v>
      </c>
      <c r="K307" s="20">
        <v>182.1</v>
      </c>
      <c r="L307" s="20">
        <v>163.9</v>
      </c>
      <c r="M307" s="20">
        <v>164.2</v>
      </c>
      <c r="N307" s="20">
        <v>164</v>
      </c>
      <c r="O307" s="20">
        <v>114.5</v>
      </c>
      <c r="P307" s="20">
        <v>168.3</v>
      </c>
      <c r="Q307" s="20">
        <v>160.9</v>
      </c>
      <c r="R307" s="20">
        <v>172.2</v>
      </c>
      <c r="S307" s="20">
        <v>164</v>
      </c>
      <c r="T307" s="20">
        <v>191.2</v>
      </c>
      <c r="U307" s="20">
        <v>162.80000000000001</v>
      </c>
      <c r="V307" s="20">
        <v>153.1</v>
      </c>
      <c r="W307" s="20">
        <v>161.4</v>
      </c>
      <c r="X307" s="20">
        <v>161.5</v>
      </c>
      <c r="Y307" s="20">
        <v>160.69999999999999</v>
      </c>
      <c r="Z307" s="20">
        <v>155.80000000000001</v>
      </c>
      <c r="AA307" s="20">
        <v>167</v>
      </c>
      <c r="AB307" s="20">
        <v>153.1</v>
      </c>
      <c r="AC307" s="20">
        <v>155.30000000000001</v>
      </c>
      <c r="AD307" s="20">
        <v>163.19999999999999</v>
      </c>
      <c r="AE307" s="20">
        <v>160.1</v>
      </c>
      <c r="AF307" s="20">
        <v>159</v>
      </c>
      <c r="AG307" s="20">
        <v>162.5</v>
      </c>
      <c r="AH307" s="28">
        <f t="shared" si="33"/>
        <v>4089.8</v>
      </c>
      <c r="AI307" s="28">
        <f t="shared" si="34"/>
        <v>637.6</v>
      </c>
      <c r="AJ307" s="28">
        <f t="shared" si="35"/>
        <v>315.89999999999998</v>
      </c>
      <c r="AK307" s="28">
        <f t="shared" si="36"/>
        <v>317.3</v>
      </c>
      <c r="AL307" s="28">
        <f t="shared" si="37"/>
        <v>2338.1999999999998</v>
      </c>
      <c r="AM307" s="28">
        <f t="shared" si="38"/>
        <v>159.4</v>
      </c>
      <c r="AN307" s="28">
        <f t="shared" si="39"/>
        <v>158.65</v>
      </c>
      <c r="AO307" s="23">
        <v>167.01428571428571</v>
      </c>
    </row>
    <row r="308" spans="1:41" x14ac:dyDescent="0.3">
      <c r="A308" s="26" t="s">
        <v>0</v>
      </c>
      <c r="B308" s="21">
        <v>2021</v>
      </c>
      <c r="C308" s="21" t="s">
        <v>10</v>
      </c>
      <c r="D308" s="21" t="str">
        <f t="shared" si="32"/>
        <v>Aug-21</v>
      </c>
      <c r="E308" s="32">
        <v>44409</v>
      </c>
      <c r="F308" s="21" t="s">
        <v>85</v>
      </c>
      <c r="G308" s="21">
        <v>144.9</v>
      </c>
      <c r="H308" s="21">
        <v>202.3</v>
      </c>
      <c r="I308" s="21">
        <v>176.5</v>
      </c>
      <c r="J308" s="21">
        <v>157.5</v>
      </c>
      <c r="K308" s="21">
        <v>190.9</v>
      </c>
      <c r="L308" s="21">
        <v>155.69999999999999</v>
      </c>
      <c r="M308" s="21">
        <v>153.9</v>
      </c>
      <c r="N308" s="21">
        <v>162.80000000000001</v>
      </c>
      <c r="O308" s="21">
        <v>115.2</v>
      </c>
      <c r="P308" s="21">
        <v>169.8</v>
      </c>
      <c r="Q308" s="21">
        <v>167.6</v>
      </c>
      <c r="R308" s="21">
        <v>171.9</v>
      </c>
      <c r="S308" s="21">
        <v>161.80000000000001</v>
      </c>
      <c r="T308" s="21">
        <v>190.2</v>
      </c>
      <c r="U308" s="21">
        <v>167</v>
      </c>
      <c r="V308" s="21">
        <v>162.6</v>
      </c>
      <c r="W308" s="21">
        <v>166.3</v>
      </c>
      <c r="X308" s="28">
        <f>'Handle missing value sheet only'!$C$1</f>
        <v>139.27096774193564</v>
      </c>
      <c r="Y308" s="21">
        <v>163.1</v>
      </c>
      <c r="Z308" s="21">
        <v>160.9</v>
      </c>
      <c r="AA308" s="21">
        <v>171.1</v>
      </c>
      <c r="AB308" s="21">
        <v>157.69999999999999</v>
      </c>
      <c r="AC308" s="21">
        <v>161.1</v>
      </c>
      <c r="AD308" s="21">
        <v>167.5</v>
      </c>
      <c r="AE308" s="21">
        <v>160.30000000000001</v>
      </c>
      <c r="AF308" s="21">
        <v>163.30000000000001</v>
      </c>
      <c r="AG308" s="21">
        <v>163.6</v>
      </c>
      <c r="AH308" s="28">
        <f t="shared" si="33"/>
        <v>4094.8709677419361</v>
      </c>
      <c r="AI308" s="28">
        <f t="shared" si="34"/>
        <v>652.20000000000005</v>
      </c>
      <c r="AJ308" s="28">
        <f t="shared" si="35"/>
        <v>329.6</v>
      </c>
      <c r="AK308" s="28">
        <f t="shared" si="36"/>
        <v>300.17096774193567</v>
      </c>
      <c r="AL308" s="28">
        <f t="shared" si="37"/>
        <v>2321</v>
      </c>
      <c r="AM308" s="28">
        <f t="shared" si="38"/>
        <v>163.05000000000001</v>
      </c>
      <c r="AN308" s="28">
        <f t="shared" si="39"/>
        <v>150.08548387096783</v>
      </c>
      <c r="AO308" s="22">
        <v>165.78571428571428</v>
      </c>
    </row>
    <row r="309" spans="1:41" x14ac:dyDescent="0.3">
      <c r="A309" s="27" t="s">
        <v>2</v>
      </c>
      <c r="B309" s="20">
        <v>2021</v>
      </c>
      <c r="C309" s="20" t="s">
        <v>10</v>
      </c>
      <c r="D309" s="21" t="str">
        <f t="shared" si="32"/>
        <v>Aug-21</v>
      </c>
      <c r="E309" s="33">
        <v>44409</v>
      </c>
      <c r="F309" s="20" t="s">
        <v>85</v>
      </c>
      <c r="G309" s="20">
        <v>149.30000000000001</v>
      </c>
      <c r="H309" s="20">
        <v>207.4</v>
      </c>
      <c r="I309" s="20">
        <v>174.1</v>
      </c>
      <c r="J309" s="20">
        <v>159.19999999999999</v>
      </c>
      <c r="K309" s="20">
        <v>175</v>
      </c>
      <c r="L309" s="20">
        <v>161.30000000000001</v>
      </c>
      <c r="M309" s="20">
        <v>183.3</v>
      </c>
      <c r="N309" s="20">
        <v>164.5</v>
      </c>
      <c r="O309" s="20">
        <v>120.4</v>
      </c>
      <c r="P309" s="20">
        <v>166.2</v>
      </c>
      <c r="Q309" s="20">
        <v>154.80000000000001</v>
      </c>
      <c r="R309" s="20">
        <v>175.1</v>
      </c>
      <c r="S309" s="20">
        <v>167.3</v>
      </c>
      <c r="T309" s="20">
        <v>196.5</v>
      </c>
      <c r="U309" s="20">
        <v>159.80000000000001</v>
      </c>
      <c r="V309" s="20">
        <v>143.6</v>
      </c>
      <c r="W309" s="20">
        <v>157.30000000000001</v>
      </c>
      <c r="X309" s="20">
        <v>162.1</v>
      </c>
      <c r="Y309" s="20">
        <v>160.69999999999999</v>
      </c>
      <c r="Z309" s="20">
        <v>153.19999999999999</v>
      </c>
      <c r="AA309" s="20">
        <v>162.80000000000001</v>
      </c>
      <c r="AB309" s="20">
        <v>150.4</v>
      </c>
      <c r="AC309" s="20">
        <v>153.69999999999999</v>
      </c>
      <c r="AD309" s="20">
        <v>160.4</v>
      </c>
      <c r="AE309" s="20">
        <v>159.6</v>
      </c>
      <c r="AF309" s="20">
        <v>156</v>
      </c>
      <c r="AG309" s="20">
        <v>162.30000000000001</v>
      </c>
      <c r="AH309" s="28">
        <f t="shared" si="33"/>
        <v>4076.7000000000003</v>
      </c>
      <c r="AI309" s="28">
        <f t="shared" si="34"/>
        <v>629.70000000000005</v>
      </c>
      <c r="AJ309" s="28">
        <f t="shared" si="35"/>
        <v>303.39999999999998</v>
      </c>
      <c r="AK309" s="28">
        <f t="shared" si="36"/>
        <v>315.29999999999995</v>
      </c>
      <c r="AL309" s="28">
        <f t="shared" si="37"/>
        <v>2354.4</v>
      </c>
      <c r="AM309" s="28">
        <f t="shared" si="38"/>
        <v>157.42500000000001</v>
      </c>
      <c r="AN309" s="28">
        <f t="shared" si="39"/>
        <v>157.64999999999998</v>
      </c>
      <c r="AO309" s="23">
        <v>168.17142857142858</v>
      </c>
    </row>
    <row r="310" spans="1:41" x14ac:dyDescent="0.3">
      <c r="A310" s="26" t="s">
        <v>3</v>
      </c>
      <c r="B310" s="21">
        <v>2021</v>
      </c>
      <c r="C310" s="21" t="s">
        <v>10</v>
      </c>
      <c r="D310" s="21" t="str">
        <f t="shared" si="32"/>
        <v>Aug-21</v>
      </c>
      <c r="E310" s="32">
        <v>44409</v>
      </c>
      <c r="F310" s="21" t="s">
        <v>85</v>
      </c>
      <c r="G310" s="21">
        <v>146.6</v>
      </c>
      <c r="H310" s="21">
        <v>204</v>
      </c>
      <c r="I310" s="21">
        <v>172.8</v>
      </c>
      <c r="J310" s="21">
        <v>158.4</v>
      </c>
      <c r="K310" s="21">
        <v>188</v>
      </c>
      <c r="L310" s="21">
        <v>156.80000000000001</v>
      </c>
      <c r="M310" s="21">
        <v>162.19999999999999</v>
      </c>
      <c r="N310" s="21">
        <v>164.1</v>
      </c>
      <c r="O310" s="21">
        <v>119.7</v>
      </c>
      <c r="P310" s="21">
        <v>168.8</v>
      </c>
      <c r="Q310" s="21">
        <v>162.69999999999999</v>
      </c>
      <c r="R310" s="21">
        <v>173.9</v>
      </c>
      <c r="S310" s="21">
        <v>164</v>
      </c>
      <c r="T310" s="21">
        <v>192.1</v>
      </c>
      <c r="U310" s="21">
        <v>164.5</v>
      </c>
      <c r="V310" s="21">
        <v>155.30000000000001</v>
      </c>
      <c r="W310" s="21">
        <v>163.19999999999999</v>
      </c>
      <c r="X310" s="21">
        <v>162.1</v>
      </c>
      <c r="Y310" s="21">
        <v>162.6</v>
      </c>
      <c r="Z310" s="21">
        <v>157.5</v>
      </c>
      <c r="AA310" s="21">
        <v>168.4</v>
      </c>
      <c r="AB310" s="21">
        <v>154</v>
      </c>
      <c r="AC310" s="21">
        <v>157.6</v>
      </c>
      <c r="AD310" s="21">
        <v>163.80000000000001</v>
      </c>
      <c r="AE310" s="21">
        <v>160</v>
      </c>
      <c r="AF310" s="21">
        <v>160</v>
      </c>
      <c r="AG310" s="21">
        <v>163.19999999999999</v>
      </c>
      <c r="AH310" s="28">
        <f t="shared" si="33"/>
        <v>4099.8999999999996</v>
      </c>
      <c r="AI310" s="28">
        <f t="shared" si="34"/>
        <v>641.4</v>
      </c>
      <c r="AJ310" s="28">
        <f t="shared" si="35"/>
        <v>319.8</v>
      </c>
      <c r="AK310" s="28">
        <f t="shared" si="36"/>
        <v>319.60000000000002</v>
      </c>
      <c r="AL310" s="28">
        <f t="shared" si="37"/>
        <v>2334.1</v>
      </c>
      <c r="AM310" s="28">
        <f t="shared" si="38"/>
        <v>160.35</v>
      </c>
      <c r="AN310" s="28">
        <f t="shared" si="39"/>
        <v>159.80000000000001</v>
      </c>
      <c r="AO310" s="22">
        <v>166.72142857142856</v>
      </c>
    </row>
    <row r="311" spans="1:41" x14ac:dyDescent="0.3">
      <c r="A311" s="27" t="s">
        <v>0</v>
      </c>
      <c r="B311" s="20">
        <v>2021</v>
      </c>
      <c r="C311" s="20" t="s">
        <v>11</v>
      </c>
      <c r="D311" s="21" t="str">
        <f t="shared" si="32"/>
        <v>Sep-21</v>
      </c>
      <c r="E311" s="33">
        <v>44440</v>
      </c>
      <c r="F311" s="20" t="s">
        <v>85</v>
      </c>
      <c r="G311" s="20">
        <v>145.4</v>
      </c>
      <c r="H311" s="20">
        <v>202.1</v>
      </c>
      <c r="I311" s="20">
        <v>172</v>
      </c>
      <c r="J311" s="20">
        <v>158</v>
      </c>
      <c r="K311" s="20">
        <v>195.5</v>
      </c>
      <c r="L311" s="20">
        <v>152.69999999999999</v>
      </c>
      <c r="M311" s="20">
        <v>151.4</v>
      </c>
      <c r="N311" s="20">
        <v>163.9</v>
      </c>
      <c r="O311" s="20">
        <v>119.3</v>
      </c>
      <c r="P311" s="20">
        <v>170.1</v>
      </c>
      <c r="Q311" s="20">
        <v>168.3</v>
      </c>
      <c r="R311" s="20">
        <v>172.8</v>
      </c>
      <c r="S311" s="20">
        <v>162.1</v>
      </c>
      <c r="T311" s="20">
        <v>190.5</v>
      </c>
      <c r="U311" s="20">
        <v>167.7</v>
      </c>
      <c r="V311" s="20">
        <v>163.6</v>
      </c>
      <c r="W311" s="20">
        <v>167.1</v>
      </c>
      <c r="X311" s="30">
        <f>'Handle missing value sheet only'!$C$1</f>
        <v>139.27096774193564</v>
      </c>
      <c r="Y311" s="20">
        <v>163.69999999999999</v>
      </c>
      <c r="Z311" s="20">
        <v>161.30000000000001</v>
      </c>
      <c r="AA311" s="20">
        <v>171.9</v>
      </c>
      <c r="AB311" s="20">
        <v>157.80000000000001</v>
      </c>
      <c r="AC311" s="20">
        <v>162.69999999999999</v>
      </c>
      <c r="AD311" s="20">
        <v>168.5</v>
      </c>
      <c r="AE311" s="20">
        <v>160.19999999999999</v>
      </c>
      <c r="AF311" s="20">
        <v>163.80000000000001</v>
      </c>
      <c r="AG311" s="20">
        <v>164</v>
      </c>
      <c r="AH311" s="28">
        <f t="shared" si="33"/>
        <v>4104.5709677419363</v>
      </c>
      <c r="AI311" s="28">
        <f t="shared" si="34"/>
        <v>655.20000000000005</v>
      </c>
      <c r="AJ311" s="28">
        <f t="shared" si="35"/>
        <v>331.29999999999995</v>
      </c>
      <c r="AK311" s="28">
        <f t="shared" si="36"/>
        <v>300.57096774193565</v>
      </c>
      <c r="AL311" s="28">
        <f t="shared" si="37"/>
        <v>2324.1</v>
      </c>
      <c r="AM311" s="28">
        <f t="shared" si="38"/>
        <v>163.80000000000001</v>
      </c>
      <c r="AN311" s="28">
        <f t="shared" si="39"/>
        <v>150.28548387096782</v>
      </c>
      <c r="AO311" s="23">
        <v>166.00714285714284</v>
      </c>
    </row>
    <row r="312" spans="1:41" x14ac:dyDescent="0.3">
      <c r="A312" s="26" t="s">
        <v>2</v>
      </c>
      <c r="B312" s="21">
        <v>2021</v>
      </c>
      <c r="C312" s="21" t="s">
        <v>11</v>
      </c>
      <c r="D312" s="21" t="str">
        <f t="shared" si="32"/>
        <v>Sep-21</v>
      </c>
      <c r="E312" s="32">
        <v>44440</v>
      </c>
      <c r="F312" s="21" t="s">
        <v>85</v>
      </c>
      <c r="G312" s="21">
        <v>149.30000000000001</v>
      </c>
      <c r="H312" s="21">
        <v>207.4</v>
      </c>
      <c r="I312" s="21">
        <v>174.1</v>
      </c>
      <c r="J312" s="21">
        <v>159.1</v>
      </c>
      <c r="K312" s="21">
        <v>175</v>
      </c>
      <c r="L312" s="21">
        <v>161.19999999999999</v>
      </c>
      <c r="M312" s="21">
        <v>183.5</v>
      </c>
      <c r="N312" s="21">
        <v>164.5</v>
      </c>
      <c r="O312" s="21">
        <v>120.4</v>
      </c>
      <c r="P312" s="21">
        <v>166.2</v>
      </c>
      <c r="Q312" s="21">
        <v>154.80000000000001</v>
      </c>
      <c r="R312" s="21">
        <v>175.1</v>
      </c>
      <c r="S312" s="21">
        <v>167.3</v>
      </c>
      <c r="T312" s="21">
        <v>196.5</v>
      </c>
      <c r="U312" s="21">
        <v>159.80000000000001</v>
      </c>
      <c r="V312" s="21">
        <v>143.6</v>
      </c>
      <c r="W312" s="21">
        <v>157.4</v>
      </c>
      <c r="X312" s="21">
        <v>162.1</v>
      </c>
      <c r="Y312" s="21">
        <v>160.80000000000001</v>
      </c>
      <c r="Z312" s="21">
        <v>153.30000000000001</v>
      </c>
      <c r="AA312" s="21">
        <v>162.80000000000001</v>
      </c>
      <c r="AB312" s="21">
        <v>150.5</v>
      </c>
      <c r="AC312" s="21">
        <v>153.9</v>
      </c>
      <c r="AD312" s="21">
        <v>160.30000000000001</v>
      </c>
      <c r="AE312" s="21">
        <v>159.6</v>
      </c>
      <c r="AF312" s="21">
        <v>156</v>
      </c>
      <c r="AG312" s="21">
        <v>162.30000000000001</v>
      </c>
      <c r="AH312" s="28">
        <f t="shared" si="33"/>
        <v>4077.1</v>
      </c>
      <c r="AI312" s="28">
        <f t="shared" si="34"/>
        <v>629.80000000000007</v>
      </c>
      <c r="AJ312" s="28">
        <f t="shared" si="35"/>
        <v>303.39999999999998</v>
      </c>
      <c r="AK312" s="28">
        <f t="shared" si="36"/>
        <v>315.39999999999998</v>
      </c>
      <c r="AL312" s="28">
        <f t="shared" si="37"/>
        <v>2354.4</v>
      </c>
      <c r="AM312" s="28">
        <f t="shared" si="38"/>
        <v>157.45000000000002</v>
      </c>
      <c r="AN312" s="28">
        <f t="shared" si="39"/>
        <v>157.69999999999999</v>
      </c>
      <c r="AO312" s="22">
        <v>168.17142857142858</v>
      </c>
    </row>
    <row r="313" spans="1:41" x14ac:dyDescent="0.3">
      <c r="A313" s="27" t="s">
        <v>3</v>
      </c>
      <c r="B313" s="20">
        <v>2021</v>
      </c>
      <c r="C313" s="20" t="s">
        <v>11</v>
      </c>
      <c r="D313" s="21" t="str">
        <f t="shared" si="32"/>
        <v>Sep-21</v>
      </c>
      <c r="E313" s="33">
        <v>44440</v>
      </c>
      <c r="F313" s="20" t="s">
        <v>85</v>
      </c>
      <c r="G313" s="20">
        <v>146.6</v>
      </c>
      <c r="H313" s="20">
        <v>204</v>
      </c>
      <c r="I313" s="20">
        <v>172.8</v>
      </c>
      <c r="J313" s="20">
        <v>158.4</v>
      </c>
      <c r="K313" s="20">
        <v>188</v>
      </c>
      <c r="L313" s="20">
        <v>156.69999999999999</v>
      </c>
      <c r="M313" s="20">
        <v>162.30000000000001</v>
      </c>
      <c r="N313" s="20">
        <v>164.1</v>
      </c>
      <c r="O313" s="20">
        <v>119.7</v>
      </c>
      <c r="P313" s="20">
        <v>168.8</v>
      </c>
      <c r="Q313" s="20">
        <v>162.69999999999999</v>
      </c>
      <c r="R313" s="20">
        <v>173.9</v>
      </c>
      <c r="S313" s="20">
        <v>164</v>
      </c>
      <c r="T313" s="20">
        <v>192.1</v>
      </c>
      <c r="U313" s="20">
        <v>164.6</v>
      </c>
      <c r="V313" s="20">
        <v>155.30000000000001</v>
      </c>
      <c r="W313" s="20">
        <v>163.30000000000001</v>
      </c>
      <c r="X313" s="20">
        <v>162.1</v>
      </c>
      <c r="Y313" s="20">
        <v>162.6</v>
      </c>
      <c r="Z313" s="20">
        <v>157.5</v>
      </c>
      <c r="AA313" s="20">
        <v>168.4</v>
      </c>
      <c r="AB313" s="20">
        <v>154</v>
      </c>
      <c r="AC313" s="20">
        <v>157.69999999999999</v>
      </c>
      <c r="AD313" s="20">
        <v>163.69999999999999</v>
      </c>
      <c r="AE313" s="20">
        <v>160</v>
      </c>
      <c r="AF313" s="20">
        <v>160</v>
      </c>
      <c r="AG313" s="20">
        <v>163.19999999999999</v>
      </c>
      <c r="AH313" s="28">
        <f t="shared" si="33"/>
        <v>4099.9999999999991</v>
      </c>
      <c r="AI313" s="28">
        <f t="shared" si="34"/>
        <v>641.4</v>
      </c>
      <c r="AJ313" s="28">
        <f t="shared" si="35"/>
        <v>319.89999999999998</v>
      </c>
      <c r="AK313" s="28">
        <f t="shared" si="36"/>
        <v>319.60000000000002</v>
      </c>
      <c r="AL313" s="28">
        <f t="shared" si="37"/>
        <v>2334.1</v>
      </c>
      <c r="AM313" s="28">
        <f t="shared" si="38"/>
        <v>160.35</v>
      </c>
      <c r="AN313" s="28">
        <f t="shared" si="39"/>
        <v>159.80000000000001</v>
      </c>
      <c r="AO313" s="23">
        <v>166.72142857142856</v>
      </c>
    </row>
    <row r="314" spans="1:41" x14ac:dyDescent="0.3">
      <c r="A314" s="26" t="s">
        <v>0</v>
      </c>
      <c r="B314" s="21">
        <v>2021</v>
      </c>
      <c r="C314" s="21" t="s">
        <v>12</v>
      </c>
      <c r="D314" s="21" t="str">
        <f t="shared" si="32"/>
        <v>Oct-21</v>
      </c>
      <c r="E314" s="32">
        <v>44470</v>
      </c>
      <c r="F314" s="21" t="s">
        <v>85</v>
      </c>
      <c r="G314" s="21">
        <v>146.1</v>
      </c>
      <c r="H314" s="21">
        <v>202.5</v>
      </c>
      <c r="I314" s="21">
        <v>170.1</v>
      </c>
      <c r="J314" s="21">
        <v>158.4</v>
      </c>
      <c r="K314" s="21">
        <v>198.8</v>
      </c>
      <c r="L314" s="21">
        <v>152.6</v>
      </c>
      <c r="M314" s="21">
        <v>170.4</v>
      </c>
      <c r="N314" s="21">
        <v>165.2</v>
      </c>
      <c r="O314" s="21">
        <v>121.6</v>
      </c>
      <c r="P314" s="21">
        <v>170.6</v>
      </c>
      <c r="Q314" s="21">
        <v>168.8</v>
      </c>
      <c r="R314" s="21">
        <v>173.6</v>
      </c>
      <c r="S314" s="21">
        <v>165.5</v>
      </c>
      <c r="T314" s="21">
        <v>191.2</v>
      </c>
      <c r="U314" s="21">
        <v>168.9</v>
      </c>
      <c r="V314" s="21">
        <v>164.8</v>
      </c>
      <c r="W314" s="21">
        <v>168.3</v>
      </c>
      <c r="X314" s="28">
        <f>'Handle missing value sheet only'!$C$1</f>
        <v>139.27096774193564</v>
      </c>
      <c r="Y314" s="21">
        <v>165.5</v>
      </c>
      <c r="Z314" s="21">
        <v>162</v>
      </c>
      <c r="AA314" s="21">
        <v>172.5</v>
      </c>
      <c r="AB314" s="21">
        <v>159.5</v>
      </c>
      <c r="AC314" s="21">
        <v>163.19999999999999</v>
      </c>
      <c r="AD314" s="21">
        <v>169</v>
      </c>
      <c r="AE314" s="21">
        <v>161.1</v>
      </c>
      <c r="AF314" s="21">
        <v>164.7</v>
      </c>
      <c r="AG314" s="21">
        <v>166.3</v>
      </c>
      <c r="AH314" s="28">
        <f t="shared" si="33"/>
        <v>4145.8709677419356</v>
      </c>
      <c r="AI314" s="28">
        <f t="shared" si="34"/>
        <v>658</v>
      </c>
      <c r="AJ314" s="28">
        <f t="shared" si="35"/>
        <v>333.70000000000005</v>
      </c>
      <c r="AK314" s="28">
        <f t="shared" si="36"/>
        <v>301.27096774193564</v>
      </c>
      <c r="AL314" s="28">
        <f t="shared" si="37"/>
        <v>2355.3999999999996</v>
      </c>
      <c r="AM314" s="28">
        <f t="shared" si="38"/>
        <v>164.5</v>
      </c>
      <c r="AN314" s="28">
        <f t="shared" si="39"/>
        <v>150.63548387096782</v>
      </c>
      <c r="AO314" s="22">
        <v>168.2428571428571</v>
      </c>
    </row>
    <row r="315" spans="1:41" x14ac:dyDescent="0.3">
      <c r="A315" s="27" t="s">
        <v>2</v>
      </c>
      <c r="B315" s="20">
        <v>2021</v>
      </c>
      <c r="C315" s="20" t="s">
        <v>12</v>
      </c>
      <c r="D315" s="21" t="str">
        <f t="shared" si="32"/>
        <v>Oct-21</v>
      </c>
      <c r="E315" s="33">
        <v>44470</v>
      </c>
      <c r="F315" s="20" t="s">
        <v>85</v>
      </c>
      <c r="G315" s="20">
        <v>150.1</v>
      </c>
      <c r="H315" s="20">
        <v>208.4</v>
      </c>
      <c r="I315" s="20">
        <v>173</v>
      </c>
      <c r="J315" s="20">
        <v>159.19999999999999</v>
      </c>
      <c r="K315" s="20">
        <v>176.6</v>
      </c>
      <c r="L315" s="20">
        <v>159.30000000000001</v>
      </c>
      <c r="M315" s="20">
        <v>214.4</v>
      </c>
      <c r="N315" s="20">
        <v>165.3</v>
      </c>
      <c r="O315" s="20">
        <v>122.5</v>
      </c>
      <c r="P315" s="20">
        <v>166.8</v>
      </c>
      <c r="Q315" s="20">
        <v>155.4</v>
      </c>
      <c r="R315" s="20">
        <v>175.9</v>
      </c>
      <c r="S315" s="20">
        <v>171.5</v>
      </c>
      <c r="T315" s="20">
        <v>197</v>
      </c>
      <c r="U315" s="20">
        <v>160.80000000000001</v>
      </c>
      <c r="V315" s="20">
        <v>144.4</v>
      </c>
      <c r="W315" s="20">
        <v>158.30000000000001</v>
      </c>
      <c r="X315" s="20">
        <v>163.6</v>
      </c>
      <c r="Y315" s="20">
        <v>162.19999999999999</v>
      </c>
      <c r="Z315" s="20">
        <v>154.30000000000001</v>
      </c>
      <c r="AA315" s="20">
        <v>163.5</v>
      </c>
      <c r="AB315" s="20">
        <v>152.19999999999999</v>
      </c>
      <c r="AC315" s="20">
        <v>155.1</v>
      </c>
      <c r="AD315" s="20">
        <v>160.30000000000001</v>
      </c>
      <c r="AE315" s="20">
        <v>160.30000000000001</v>
      </c>
      <c r="AF315" s="20">
        <v>157</v>
      </c>
      <c r="AG315" s="20">
        <v>164.6</v>
      </c>
      <c r="AH315" s="28">
        <f t="shared" si="33"/>
        <v>4129.1000000000004</v>
      </c>
      <c r="AI315" s="28">
        <f t="shared" si="34"/>
        <v>632.70000000000005</v>
      </c>
      <c r="AJ315" s="28">
        <f t="shared" si="35"/>
        <v>305.20000000000005</v>
      </c>
      <c r="AK315" s="28">
        <f t="shared" si="36"/>
        <v>317.89999999999998</v>
      </c>
      <c r="AL315" s="28">
        <f t="shared" si="37"/>
        <v>2395.4000000000005</v>
      </c>
      <c r="AM315" s="28">
        <f t="shared" si="38"/>
        <v>158.17500000000001</v>
      </c>
      <c r="AN315" s="28">
        <f t="shared" si="39"/>
        <v>158.94999999999999</v>
      </c>
      <c r="AO315" s="23">
        <v>171.10000000000005</v>
      </c>
    </row>
    <row r="316" spans="1:41" x14ac:dyDescent="0.3">
      <c r="A316" s="26" t="s">
        <v>3</v>
      </c>
      <c r="B316" s="21">
        <v>2021</v>
      </c>
      <c r="C316" s="21" t="s">
        <v>12</v>
      </c>
      <c r="D316" s="21" t="str">
        <f t="shared" si="32"/>
        <v>Oct-21</v>
      </c>
      <c r="E316" s="32">
        <v>44470</v>
      </c>
      <c r="F316" s="21" t="s">
        <v>85</v>
      </c>
      <c r="G316" s="21">
        <v>147.4</v>
      </c>
      <c r="H316" s="21">
        <v>204.6</v>
      </c>
      <c r="I316" s="21">
        <v>171.2</v>
      </c>
      <c r="J316" s="21">
        <v>158.69999999999999</v>
      </c>
      <c r="K316" s="21">
        <v>190.6</v>
      </c>
      <c r="L316" s="21">
        <v>155.69999999999999</v>
      </c>
      <c r="M316" s="21">
        <v>185.3</v>
      </c>
      <c r="N316" s="21">
        <v>165.2</v>
      </c>
      <c r="O316" s="21">
        <v>121.9</v>
      </c>
      <c r="P316" s="21">
        <v>169.3</v>
      </c>
      <c r="Q316" s="21">
        <v>163.19999999999999</v>
      </c>
      <c r="R316" s="21">
        <v>174.7</v>
      </c>
      <c r="S316" s="21">
        <v>167.7</v>
      </c>
      <c r="T316" s="21">
        <v>192.7</v>
      </c>
      <c r="U316" s="21">
        <v>165.7</v>
      </c>
      <c r="V316" s="21">
        <v>156.30000000000001</v>
      </c>
      <c r="W316" s="21">
        <v>164.3</v>
      </c>
      <c r="X316" s="21">
        <v>163.6</v>
      </c>
      <c r="Y316" s="21">
        <v>164.2</v>
      </c>
      <c r="Z316" s="21">
        <v>158.4</v>
      </c>
      <c r="AA316" s="21">
        <v>169.1</v>
      </c>
      <c r="AB316" s="21">
        <v>155.69999999999999</v>
      </c>
      <c r="AC316" s="21">
        <v>158.6</v>
      </c>
      <c r="AD316" s="21">
        <v>163.9</v>
      </c>
      <c r="AE316" s="21">
        <v>160.80000000000001</v>
      </c>
      <c r="AF316" s="21">
        <v>161</v>
      </c>
      <c r="AG316" s="21">
        <v>165.5</v>
      </c>
      <c r="AH316" s="28">
        <f t="shared" si="33"/>
        <v>4145.4999999999991</v>
      </c>
      <c r="AI316" s="28">
        <f t="shared" si="34"/>
        <v>644.30000000000007</v>
      </c>
      <c r="AJ316" s="28">
        <f t="shared" si="35"/>
        <v>322</v>
      </c>
      <c r="AK316" s="28">
        <f t="shared" si="36"/>
        <v>322</v>
      </c>
      <c r="AL316" s="28">
        <f t="shared" si="37"/>
        <v>2368.1999999999998</v>
      </c>
      <c r="AM316" s="28">
        <f t="shared" si="38"/>
        <v>161.07500000000002</v>
      </c>
      <c r="AN316" s="28">
        <f t="shared" si="39"/>
        <v>161</v>
      </c>
      <c r="AO316" s="22">
        <v>169.15714285714284</v>
      </c>
    </row>
    <row r="317" spans="1:41" x14ac:dyDescent="0.3">
      <c r="A317" s="27" t="s">
        <v>0</v>
      </c>
      <c r="B317" s="20">
        <v>2021</v>
      </c>
      <c r="C317" s="20" t="s">
        <v>14</v>
      </c>
      <c r="D317" s="21" t="str">
        <f t="shared" si="32"/>
        <v>Nov-21</v>
      </c>
      <c r="E317" s="33">
        <v>44501</v>
      </c>
      <c r="F317" s="20" t="s">
        <v>85</v>
      </c>
      <c r="G317" s="20">
        <v>146.9</v>
      </c>
      <c r="H317" s="20">
        <v>199.8</v>
      </c>
      <c r="I317" s="20">
        <v>171.5</v>
      </c>
      <c r="J317" s="20">
        <v>159.1</v>
      </c>
      <c r="K317" s="20">
        <v>198.4</v>
      </c>
      <c r="L317" s="20">
        <v>153.19999999999999</v>
      </c>
      <c r="M317" s="20">
        <v>183.9</v>
      </c>
      <c r="N317" s="20">
        <v>165.4</v>
      </c>
      <c r="O317" s="20">
        <v>122.1</v>
      </c>
      <c r="P317" s="20">
        <v>170.8</v>
      </c>
      <c r="Q317" s="20">
        <v>169.1</v>
      </c>
      <c r="R317" s="20">
        <v>174.3</v>
      </c>
      <c r="S317" s="20">
        <v>167.5</v>
      </c>
      <c r="T317" s="20">
        <v>191.4</v>
      </c>
      <c r="U317" s="20">
        <v>170.4</v>
      </c>
      <c r="V317" s="20">
        <v>166</v>
      </c>
      <c r="W317" s="20">
        <v>169.8</v>
      </c>
      <c r="X317" s="30">
        <f>'Handle missing value sheet only'!$C$1</f>
        <v>139.27096774193564</v>
      </c>
      <c r="Y317" s="20">
        <v>165.3</v>
      </c>
      <c r="Z317" s="20">
        <v>162.9</v>
      </c>
      <c r="AA317" s="20">
        <v>173.4</v>
      </c>
      <c r="AB317" s="20">
        <v>158.9</v>
      </c>
      <c r="AC317" s="20">
        <v>163.80000000000001</v>
      </c>
      <c r="AD317" s="20">
        <v>169.3</v>
      </c>
      <c r="AE317" s="20">
        <v>162.4</v>
      </c>
      <c r="AF317" s="20">
        <v>165.2</v>
      </c>
      <c r="AG317" s="20">
        <v>167.6</v>
      </c>
      <c r="AH317" s="28">
        <f t="shared" si="33"/>
        <v>4170.2709677419361</v>
      </c>
      <c r="AI317" s="28">
        <f t="shared" si="34"/>
        <v>660.7</v>
      </c>
      <c r="AJ317" s="28">
        <f t="shared" si="35"/>
        <v>336.4</v>
      </c>
      <c r="AK317" s="28">
        <f t="shared" si="36"/>
        <v>302.17096774193567</v>
      </c>
      <c r="AL317" s="28">
        <f t="shared" si="37"/>
        <v>2373.4</v>
      </c>
      <c r="AM317" s="28">
        <f t="shared" si="38"/>
        <v>165.17500000000001</v>
      </c>
      <c r="AN317" s="28">
        <f t="shared" si="39"/>
        <v>151.08548387096783</v>
      </c>
      <c r="AO317" s="23">
        <v>169.52857142857144</v>
      </c>
    </row>
    <row r="318" spans="1:41" x14ac:dyDescent="0.3">
      <c r="A318" s="26" t="s">
        <v>2</v>
      </c>
      <c r="B318" s="21">
        <v>2021</v>
      </c>
      <c r="C318" s="21" t="s">
        <v>14</v>
      </c>
      <c r="D318" s="21" t="str">
        <f t="shared" si="32"/>
        <v>Nov-21</v>
      </c>
      <c r="E318" s="32">
        <v>44501</v>
      </c>
      <c r="F318" s="21" t="s">
        <v>85</v>
      </c>
      <c r="G318" s="21">
        <v>151</v>
      </c>
      <c r="H318" s="21">
        <v>204.9</v>
      </c>
      <c r="I318" s="21">
        <v>175.4</v>
      </c>
      <c r="J318" s="21">
        <v>159.6</v>
      </c>
      <c r="K318" s="21">
        <v>175.8</v>
      </c>
      <c r="L318" s="21">
        <v>160.30000000000001</v>
      </c>
      <c r="M318" s="21">
        <v>229.1</v>
      </c>
      <c r="N318" s="21">
        <v>165.1</v>
      </c>
      <c r="O318" s="21">
        <v>123.1</v>
      </c>
      <c r="P318" s="21">
        <v>167.2</v>
      </c>
      <c r="Q318" s="21">
        <v>156.1</v>
      </c>
      <c r="R318" s="21">
        <v>176.8</v>
      </c>
      <c r="S318" s="21">
        <v>173.5</v>
      </c>
      <c r="T318" s="21">
        <v>197</v>
      </c>
      <c r="U318" s="21">
        <v>162.30000000000001</v>
      </c>
      <c r="V318" s="21">
        <v>145.30000000000001</v>
      </c>
      <c r="W318" s="21">
        <v>159.69999999999999</v>
      </c>
      <c r="X318" s="21">
        <v>164.2</v>
      </c>
      <c r="Y318" s="21">
        <v>161.6</v>
      </c>
      <c r="Z318" s="21">
        <v>155.19999999999999</v>
      </c>
      <c r="AA318" s="21">
        <v>164.2</v>
      </c>
      <c r="AB318" s="21">
        <v>151.19999999999999</v>
      </c>
      <c r="AC318" s="21">
        <v>156.69999999999999</v>
      </c>
      <c r="AD318" s="21">
        <v>160.80000000000001</v>
      </c>
      <c r="AE318" s="21">
        <v>161.80000000000001</v>
      </c>
      <c r="AF318" s="21">
        <v>157.30000000000001</v>
      </c>
      <c r="AG318" s="21">
        <v>165.6</v>
      </c>
      <c r="AH318" s="28">
        <f t="shared" si="33"/>
        <v>4155.5</v>
      </c>
      <c r="AI318" s="28">
        <f t="shared" si="34"/>
        <v>636.6</v>
      </c>
      <c r="AJ318" s="28">
        <f t="shared" si="35"/>
        <v>307.60000000000002</v>
      </c>
      <c r="AK318" s="28">
        <f t="shared" si="36"/>
        <v>319.39999999999998</v>
      </c>
      <c r="AL318" s="28">
        <f t="shared" si="37"/>
        <v>2414.8999999999996</v>
      </c>
      <c r="AM318" s="28">
        <f t="shared" si="38"/>
        <v>159.15</v>
      </c>
      <c r="AN318" s="28">
        <f t="shared" si="39"/>
        <v>159.69999999999999</v>
      </c>
      <c r="AO318" s="22">
        <v>172.4928571428571</v>
      </c>
    </row>
    <row r="319" spans="1:41" x14ac:dyDescent="0.3">
      <c r="A319" s="27" t="s">
        <v>3</v>
      </c>
      <c r="B319" s="20">
        <v>2021</v>
      </c>
      <c r="C319" s="20" t="s">
        <v>14</v>
      </c>
      <c r="D319" s="21" t="str">
        <f t="shared" si="32"/>
        <v>Nov-21</v>
      </c>
      <c r="E319" s="33">
        <v>44501</v>
      </c>
      <c r="F319" s="20" t="s">
        <v>85</v>
      </c>
      <c r="G319" s="20">
        <v>148.19999999999999</v>
      </c>
      <c r="H319" s="20">
        <v>201.6</v>
      </c>
      <c r="I319" s="20">
        <v>173</v>
      </c>
      <c r="J319" s="20">
        <v>159.30000000000001</v>
      </c>
      <c r="K319" s="20">
        <v>190.1</v>
      </c>
      <c r="L319" s="20">
        <v>156.5</v>
      </c>
      <c r="M319" s="20">
        <v>199.2</v>
      </c>
      <c r="N319" s="20">
        <v>165.3</v>
      </c>
      <c r="O319" s="20">
        <v>122.4</v>
      </c>
      <c r="P319" s="20">
        <v>169.6</v>
      </c>
      <c r="Q319" s="20">
        <v>163.69999999999999</v>
      </c>
      <c r="R319" s="20">
        <v>175.5</v>
      </c>
      <c r="S319" s="20">
        <v>169.7</v>
      </c>
      <c r="T319" s="20">
        <v>192.9</v>
      </c>
      <c r="U319" s="20">
        <v>167.2</v>
      </c>
      <c r="V319" s="20">
        <v>157.4</v>
      </c>
      <c r="W319" s="20">
        <v>165.8</v>
      </c>
      <c r="X319" s="20">
        <v>164.2</v>
      </c>
      <c r="Y319" s="20">
        <v>163.9</v>
      </c>
      <c r="Z319" s="20">
        <v>159.30000000000001</v>
      </c>
      <c r="AA319" s="20">
        <v>169.9</v>
      </c>
      <c r="AB319" s="20">
        <v>154.80000000000001</v>
      </c>
      <c r="AC319" s="20">
        <v>159.80000000000001</v>
      </c>
      <c r="AD319" s="20">
        <v>164.3</v>
      </c>
      <c r="AE319" s="20">
        <v>162.19999999999999</v>
      </c>
      <c r="AF319" s="20">
        <v>161.4</v>
      </c>
      <c r="AG319" s="20">
        <v>166.7</v>
      </c>
      <c r="AH319" s="28">
        <f t="shared" si="33"/>
        <v>4171.3999999999996</v>
      </c>
      <c r="AI319" s="28">
        <f t="shared" si="34"/>
        <v>647.70000000000005</v>
      </c>
      <c r="AJ319" s="28">
        <f t="shared" si="35"/>
        <v>324.60000000000002</v>
      </c>
      <c r="AK319" s="28">
        <f t="shared" si="36"/>
        <v>323.5</v>
      </c>
      <c r="AL319" s="28">
        <f t="shared" si="37"/>
        <v>2387</v>
      </c>
      <c r="AM319" s="28">
        <f t="shared" si="38"/>
        <v>161.92500000000001</v>
      </c>
      <c r="AN319" s="28">
        <f t="shared" si="39"/>
        <v>161.75</v>
      </c>
      <c r="AO319" s="23">
        <v>170.5</v>
      </c>
    </row>
    <row r="320" spans="1:41" x14ac:dyDescent="0.3">
      <c r="A320" s="26" t="s">
        <v>0</v>
      </c>
      <c r="B320" s="21">
        <v>2021</v>
      </c>
      <c r="C320" s="21" t="s">
        <v>15</v>
      </c>
      <c r="D320" s="21" t="str">
        <f t="shared" si="32"/>
        <v>Dec-21</v>
      </c>
      <c r="E320" s="32">
        <v>44531</v>
      </c>
      <c r="F320" s="21" t="s">
        <v>85</v>
      </c>
      <c r="G320" s="21">
        <v>147.4</v>
      </c>
      <c r="H320" s="21">
        <v>197</v>
      </c>
      <c r="I320" s="21">
        <v>176.5</v>
      </c>
      <c r="J320" s="21">
        <v>159.80000000000001</v>
      </c>
      <c r="K320" s="21">
        <v>195.8</v>
      </c>
      <c r="L320" s="21">
        <v>152</v>
      </c>
      <c r="M320" s="21">
        <v>172.3</v>
      </c>
      <c r="N320" s="21">
        <v>164.5</v>
      </c>
      <c r="O320" s="21">
        <v>120.6</v>
      </c>
      <c r="P320" s="21">
        <v>171.7</v>
      </c>
      <c r="Q320" s="21">
        <v>169.7</v>
      </c>
      <c r="R320" s="21">
        <v>175.1</v>
      </c>
      <c r="S320" s="21">
        <v>165.8</v>
      </c>
      <c r="T320" s="21">
        <v>190.8</v>
      </c>
      <c r="U320" s="21">
        <v>171.8</v>
      </c>
      <c r="V320" s="21">
        <v>167.3</v>
      </c>
      <c r="W320" s="21">
        <v>171.2</v>
      </c>
      <c r="X320" s="28">
        <f>'Handle missing value sheet only'!$C$1</f>
        <v>139.27096774193564</v>
      </c>
      <c r="Y320" s="21">
        <v>165.6</v>
      </c>
      <c r="Z320" s="21">
        <v>163.9</v>
      </c>
      <c r="AA320" s="21">
        <v>174</v>
      </c>
      <c r="AB320" s="21">
        <v>160.1</v>
      </c>
      <c r="AC320" s="21">
        <v>164.5</v>
      </c>
      <c r="AD320" s="21">
        <v>169.7</v>
      </c>
      <c r="AE320" s="21">
        <v>162.80000000000001</v>
      </c>
      <c r="AF320" s="21">
        <v>166</v>
      </c>
      <c r="AG320" s="21">
        <v>167</v>
      </c>
      <c r="AH320" s="28">
        <f t="shared" si="33"/>
        <v>4163.970967741936</v>
      </c>
      <c r="AI320" s="28">
        <f t="shared" si="34"/>
        <v>663</v>
      </c>
      <c r="AJ320" s="28">
        <f t="shared" si="35"/>
        <v>339.1</v>
      </c>
      <c r="AK320" s="28">
        <f t="shared" si="36"/>
        <v>303.17096774193567</v>
      </c>
      <c r="AL320" s="28">
        <f t="shared" si="37"/>
        <v>2359</v>
      </c>
      <c r="AM320" s="28">
        <f t="shared" si="38"/>
        <v>165.75</v>
      </c>
      <c r="AN320" s="28">
        <f t="shared" si="39"/>
        <v>151.58548387096783</v>
      </c>
      <c r="AO320" s="22">
        <v>168.5</v>
      </c>
    </row>
    <row r="321" spans="1:41" x14ac:dyDescent="0.3">
      <c r="A321" s="27" t="s">
        <v>2</v>
      </c>
      <c r="B321" s="20">
        <v>2021</v>
      </c>
      <c r="C321" s="20" t="s">
        <v>15</v>
      </c>
      <c r="D321" s="21" t="str">
        <f t="shared" si="32"/>
        <v>Dec-21</v>
      </c>
      <c r="E321" s="33">
        <v>44531</v>
      </c>
      <c r="F321" s="20" t="s">
        <v>85</v>
      </c>
      <c r="G321" s="20">
        <v>151.6</v>
      </c>
      <c r="H321" s="20">
        <v>202.2</v>
      </c>
      <c r="I321" s="20">
        <v>180</v>
      </c>
      <c r="J321" s="20">
        <v>160</v>
      </c>
      <c r="K321" s="20">
        <v>173.5</v>
      </c>
      <c r="L321" s="20">
        <v>158.30000000000001</v>
      </c>
      <c r="M321" s="20">
        <v>219.5</v>
      </c>
      <c r="N321" s="20">
        <v>164.2</v>
      </c>
      <c r="O321" s="20">
        <v>121.9</v>
      </c>
      <c r="P321" s="20">
        <v>168.2</v>
      </c>
      <c r="Q321" s="20">
        <v>156.5</v>
      </c>
      <c r="R321" s="20">
        <v>178.2</v>
      </c>
      <c r="S321" s="20">
        <v>172.2</v>
      </c>
      <c r="T321" s="20">
        <v>196.8</v>
      </c>
      <c r="U321" s="20">
        <v>163.30000000000001</v>
      </c>
      <c r="V321" s="20">
        <v>146.69999999999999</v>
      </c>
      <c r="W321" s="20">
        <v>160.69999999999999</v>
      </c>
      <c r="X321" s="20">
        <v>163.4</v>
      </c>
      <c r="Y321" s="20">
        <v>161.69999999999999</v>
      </c>
      <c r="Z321" s="20">
        <v>156</v>
      </c>
      <c r="AA321" s="20">
        <v>165.1</v>
      </c>
      <c r="AB321" s="20">
        <v>151.80000000000001</v>
      </c>
      <c r="AC321" s="20">
        <v>157.6</v>
      </c>
      <c r="AD321" s="20">
        <v>160.6</v>
      </c>
      <c r="AE321" s="20">
        <v>162.4</v>
      </c>
      <c r="AF321" s="20">
        <v>157.80000000000001</v>
      </c>
      <c r="AG321" s="20">
        <v>165.2</v>
      </c>
      <c r="AH321" s="28">
        <f t="shared" si="33"/>
        <v>4149.5</v>
      </c>
      <c r="AI321" s="28">
        <f t="shared" si="34"/>
        <v>638.40000000000009</v>
      </c>
      <c r="AJ321" s="28">
        <f t="shared" si="35"/>
        <v>310</v>
      </c>
      <c r="AK321" s="28">
        <f t="shared" si="36"/>
        <v>319.39999999999998</v>
      </c>
      <c r="AL321" s="28">
        <f t="shared" si="37"/>
        <v>2403.1000000000004</v>
      </c>
      <c r="AM321" s="28">
        <f t="shared" si="38"/>
        <v>159.60000000000002</v>
      </c>
      <c r="AN321" s="28">
        <f t="shared" si="39"/>
        <v>159.69999999999999</v>
      </c>
      <c r="AO321" s="23">
        <v>171.65000000000003</v>
      </c>
    </row>
    <row r="322" spans="1:41" x14ac:dyDescent="0.3">
      <c r="A322" s="26" t="s">
        <v>3</v>
      </c>
      <c r="B322" s="21">
        <v>2021</v>
      </c>
      <c r="C322" s="21" t="s">
        <v>15</v>
      </c>
      <c r="D322" s="21" t="str">
        <f t="shared" si="32"/>
        <v>Dec-21</v>
      </c>
      <c r="E322" s="32">
        <v>44531</v>
      </c>
      <c r="F322" s="21" t="s">
        <v>85</v>
      </c>
      <c r="G322" s="21">
        <v>148.69999999999999</v>
      </c>
      <c r="H322" s="21">
        <v>198.8</v>
      </c>
      <c r="I322" s="21">
        <v>177.9</v>
      </c>
      <c r="J322" s="21">
        <v>159.9</v>
      </c>
      <c r="K322" s="21">
        <v>187.6</v>
      </c>
      <c r="L322" s="21">
        <v>154.9</v>
      </c>
      <c r="M322" s="21">
        <v>188.3</v>
      </c>
      <c r="N322" s="21">
        <v>164.4</v>
      </c>
      <c r="O322" s="21">
        <v>121</v>
      </c>
      <c r="P322" s="21">
        <v>170.5</v>
      </c>
      <c r="Q322" s="21">
        <v>164.2</v>
      </c>
      <c r="R322" s="21">
        <v>176.5</v>
      </c>
      <c r="S322" s="21">
        <v>168.2</v>
      </c>
      <c r="T322" s="21">
        <v>192.4</v>
      </c>
      <c r="U322" s="21">
        <v>168.5</v>
      </c>
      <c r="V322" s="21">
        <v>158.69999999999999</v>
      </c>
      <c r="W322" s="21">
        <v>167</v>
      </c>
      <c r="X322" s="21">
        <v>163.4</v>
      </c>
      <c r="Y322" s="21">
        <v>164.1</v>
      </c>
      <c r="Z322" s="21">
        <v>160.19999999999999</v>
      </c>
      <c r="AA322" s="21">
        <v>170.6</v>
      </c>
      <c r="AB322" s="21">
        <v>155.69999999999999</v>
      </c>
      <c r="AC322" s="21">
        <v>160.6</v>
      </c>
      <c r="AD322" s="21">
        <v>164.4</v>
      </c>
      <c r="AE322" s="21">
        <v>162.6</v>
      </c>
      <c r="AF322" s="21">
        <v>162</v>
      </c>
      <c r="AG322" s="21">
        <v>166.2</v>
      </c>
      <c r="AH322" s="28">
        <f t="shared" si="33"/>
        <v>4164.1000000000004</v>
      </c>
      <c r="AI322" s="28">
        <f t="shared" si="34"/>
        <v>649.6</v>
      </c>
      <c r="AJ322" s="28">
        <f t="shared" si="35"/>
        <v>327.2</v>
      </c>
      <c r="AK322" s="28">
        <f t="shared" si="36"/>
        <v>323.60000000000002</v>
      </c>
      <c r="AL322" s="28">
        <f t="shared" si="37"/>
        <v>2373.3000000000002</v>
      </c>
      <c r="AM322" s="28">
        <f t="shared" si="38"/>
        <v>162.4</v>
      </c>
      <c r="AN322" s="28">
        <f t="shared" si="39"/>
        <v>161.80000000000001</v>
      </c>
      <c r="AO322" s="22">
        <v>169.52142857142857</v>
      </c>
    </row>
    <row r="323" spans="1:41" x14ac:dyDescent="0.3">
      <c r="A323" s="27" t="s">
        <v>0</v>
      </c>
      <c r="B323" s="20">
        <v>2022</v>
      </c>
      <c r="C323" s="20" t="s">
        <v>1</v>
      </c>
      <c r="D323" s="21" t="str">
        <f t="shared" ref="D323:D373" si="40">TEXT(DATE(B323, MONTH(1&amp;C323), 1), "mmm-yy")</f>
        <v>Jan-22</v>
      </c>
      <c r="E323" s="33">
        <v>44562</v>
      </c>
      <c r="F323" s="20" t="s">
        <v>85</v>
      </c>
      <c r="G323" s="20">
        <v>148.30000000000001</v>
      </c>
      <c r="H323" s="20">
        <v>196.9</v>
      </c>
      <c r="I323" s="20">
        <v>178</v>
      </c>
      <c r="J323" s="20">
        <v>160.5</v>
      </c>
      <c r="K323" s="20">
        <v>192.6</v>
      </c>
      <c r="L323" s="20">
        <v>151.19999999999999</v>
      </c>
      <c r="M323" s="20">
        <v>159.19999999999999</v>
      </c>
      <c r="N323" s="20">
        <v>164</v>
      </c>
      <c r="O323" s="20">
        <v>119.3</v>
      </c>
      <c r="P323" s="20">
        <v>173.3</v>
      </c>
      <c r="Q323" s="20">
        <v>169.8</v>
      </c>
      <c r="R323" s="20">
        <v>175.8</v>
      </c>
      <c r="S323" s="20">
        <v>164.1</v>
      </c>
      <c r="T323" s="20">
        <v>190.7</v>
      </c>
      <c r="U323" s="20">
        <v>173.2</v>
      </c>
      <c r="V323" s="20">
        <v>169.3</v>
      </c>
      <c r="W323" s="20">
        <v>172.7</v>
      </c>
      <c r="X323" s="30">
        <f>'Handle missing value sheet only'!$C$1</f>
        <v>139.27096774193564</v>
      </c>
      <c r="Y323" s="20">
        <v>165.8</v>
      </c>
      <c r="Z323" s="20">
        <v>164.9</v>
      </c>
      <c r="AA323" s="20">
        <v>174.7</v>
      </c>
      <c r="AB323" s="20">
        <v>160.80000000000001</v>
      </c>
      <c r="AC323" s="20">
        <v>164.9</v>
      </c>
      <c r="AD323" s="20">
        <v>169.9</v>
      </c>
      <c r="AE323" s="20">
        <v>163.19999999999999</v>
      </c>
      <c r="AF323" s="20">
        <v>166.6</v>
      </c>
      <c r="AG323" s="20">
        <v>166.4</v>
      </c>
      <c r="AH323" s="28">
        <f t="shared" ref="AH323:AH373" si="41">SUM(X323:AF323,G323:V323)</f>
        <v>4156.2709677419352</v>
      </c>
      <c r="AI323" s="28">
        <f t="shared" ref="AI323:AI373" si="42">SUM(AF323,AE323,AD323,AC323)</f>
        <v>664.59999999999991</v>
      </c>
      <c r="AJ323" s="28">
        <f t="shared" ref="AJ323:AJ373" si="43">SUM(V323,U323)</f>
        <v>342.5</v>
      </c>
      <c r="AK323" s="28">
        <f t="shared" ref="AK323:AK373" si="44">SUM(Z323,X323)</f>
        <v>304.17096774193567</v>
      </c>
      <c r="AL323" s="28">
        <f t="shared" ref="AL323:AL373" si="45">SUM(G323:T323)</f>
        <v>2343.6999999999998</v>
      </c>
      <c r="AM323" s="28">
        <f t="shared" ref="AM323:AM373" si="46">AVERAGE(AF323,AE323,AD323,AC323)</f>
        <v>166.14999999999998</v>
      </c>
      <c r="AN323" s="28">
        <f t="shared" ref="AN323:AN373" si="47">AVERAGE(X323,Z323)</f>
        <v>152.08548387096783</v>
      </c>
      <c r="AO323" s="23">
        <v>167.40714285714284</v>
      </c>
    </row>
    <row r="324" spans="1:41" x14ac:dyDescent="0.3">
      <c r="A324" s="26" t="s">
        <v>2</v>
      </c>
      <c r="B324" s="21">
        <v>2022</v>
      </c>
      <c r="C324" s="21" t="s">
        <v>1</v>
      </c>
      <c r="D324" s="21" t="str">
        <f t="shared" si="40"/>
        <v>Jan-22</v>
      </c>
      <c r="E324" s="32">
        <v>44562</v>
      </c>
      <c r="F324" s="21" t="s">
        <v>85</v>
      </c>
      <c r="G324" s="21">
        <v>152.19999999999999</v>
      </c>
      <c r="H324" s="21">
        <v>202.1</v>
      </c>
      <c r="I324" s="21">
        <v>180.1</v>
      </c>
      <c r="J324" s="21">
        <v>160.4</v>
      </c>
      <c r="K324" s="21">
        <v>171</v>
      </c>
      <c r="L324" s="21">
        <v>156.5</v>
      </c>
      <c r="M324" s="21">
        <v>203.6</v>
      </c>
      <c r="N324" s="21">
        <v>163.80000000000001</v>
      </c>
      <c r="O324" s="21">
        <v>121.3</v>
      </c>
      <c r="P324" s="21">
        <v>169.8</v>
      </c>
      <c r="Q324" s="21">
        <v>156.6</v>
      </c>
      <c r="R324" s="21">
        <v>179</v>
      </c>
      <c r="S324" s="21">
        <v>170.3</v>
      </c>
      <c r="T324" s="21">
        <v>196.4</v>
      </c>
      <c r="U324" s="21">
        <v>164.7</v>
      </c>
      <c r="V324" s="21">
        <v>148.5</v>
      </c>
      <c r="W324" s="21">
        <v>162.19999999999999</v>
      </c>
      <c r="X324" s="21">
        <v>164.5</v>
      </c>
      <c r="Y324" s="21">
        <v>161.6</v>
      </c>
      <c r="Z324" s="21">
        <v>156.80000000000001</v>
      </c>
      <c r="AA324" s="21">
        <v>166.1</v>
      </c>
      <c r="AB324" s="21">
        <v>152.69999999999999</v>
      </c>
      <c r="AC324" s="21">
        <v>158.4</v>
      </c>
      <c r="AD324" s="21">
        <v>161</v>
      </c>
      <c r="AE324" s="21">
        <v>162.80000000000001</v>
      </c>
      <c r="AF324" s="21">
        <v>158.6</v>
      </c>
      <c r="AG324" s="21">
        <v>165</v>
      </c>
      <c r="AH324" s="28">
        <f t="shared" si="41"/>
        <v>4138.8</v>
      </c>
      <c r="AI324" s="28">
        <f t="shared" si="42"/>
        <v>640.79999999999995</v>
      </c>
      <c r="AJ324" s="28">
        <f t="shared" si="43"/>
        <v>313.2</v>
      </c>
      <c r="AK324" s="28">
        <f t="shared" si="44"/>
        <v>321.3</v>
      </c>
      <c r="AL324" s="28">
        <f t="shared" si="45"/>
        <v>2383.1</v>
      </c>
      <c r="AM324" s="28">
        <f t="shared" si="46"/>
        <v>160.19999999999999</v>
      </c>
      <c r="AN324" s="28">
        <f t="shared" si="47"/>
        <v>160.65</v>
      </c>
      <c r="AO324" s="22">
        <v>170.22142857142856</v>
      </c>
    </row>
    <row r="325" spans="1:41" x14ac:dyDescent="0.3">
      <c r="A325" s="27" t="s">
        <v>3</v>
      </c>
      <c r="B325" s="20">
        <v>2022</v>
      </c>
      <c r="C325" s="20" t="s">
        <v>1</v>
      </c>
      <c r="D325" s="21" t="str">
        <f t="shared" si="40"/>
        <v>Jan-22</v>
      </c>
      <c r="E325" s="33">
        <v>44562</v>
      </c>
      <c r="F325" s="20" t="s">
        <v>85</v>
      </c>
      <c r="G325" s="20">
        <v>149.5</v>
      </c>
      <c r="H325" s="20">
        <v>198.7</v>
      </c>
      <c r="I325" s="20">
        <v>178.8</v>
      </c>
      <c r="J325" s="20">
        <v>160.5</v>
      </c>
      <c r="K325" s="20">
        <v>184.7</v>
      </c>
      <c r="L325" s="20">
        <v>153.69999999999999</v>
      </c>
      <c r="M325" s="20">
        <v>174.3</v>
      </c>
      <c r="N325" s="20">
        <v>163.9</v>
      </c>
      <c r="O325" s="20">
        <v>120</v>
      </c>
      <c r="P325" s="20">
        <v>172.1</v>
      </c>
      <c r="Q325" s="20">
        <v>164.3</v>
      </c>
      <c r="R325" s="20">
        <v>177.3</v>
      </c>
      <c r="S325" s="20">
        <v>166.4</v>
      </c>
      <c r="T325" s="20">
        <v>192.2</v>
      </c>
      <c r="U325" s="20">
        <v>169.9</v>
      </c>
      <c r="V325" s="20">
        <v>160.69999999999999</v>
      </c>
      <c r="W325" s="20">
        <v>168.5</v>
      </c>
      <c r="X325" s="20">
        <v>164.5</v>
      </c>
      <c r="Y325" s="20">
        <v>164.2</v>
      </c>
      <c r="Z325" s="20">
        <v>161.1</v>
      </c>
      <c r="AA325" s="20">
        <v>171.4</v>
      </c>
      <c r="AB325" s="20">
        <v>156.5</v>
      </c>
      <c r="AC325" s="20">
        <v>161.19999999999999</v>
      </c>
      <c r="AD325" s="20">
        <v>164.7</v>
      </c>
      <c r="AE325" s="20">
        <v>163</v>
      </c>
      <c r="AF325" s="20">
        <v>162.69999999999999</v>
      </c>
      <c r="AG325" s="20">
        <v>165.7</v>
      </c>
      <c r="AH325" s="28">
        <f t="shared" si="41"/>
        <v>4156.3</v>
      </c>
      <c r="AI325" s="28">
        <f t="shared" si="42"/>
        <v>651.59999999999991</v>
      </c>
      <c r="AJ325" s="28">
        <f t="shared" si="43"/>
        <v>330.6</v>
      </c>
      <c r="AK325" s="28">
        <f t="shared" si="44"/>
        <v>325.60000000000002</v>
      </c>
      <c r="AL325" s="28">
        <f t="shared" si="45"/>
        <v>2356.3999999999996</v>
      </c>
      <c r="AM325" s="28">
        <f t="shared" si="46"/>
        <v>162.89999999999998</v>
      </c>
      <c r="AN325" s="28">
        <f t="shared" si="47"/>
        <v>162.80000000000001</v>
      </c>
      <c r="AO325" s="23">
        <v>168.31428571428569</v>
      </c>
    </row>
    <row r="326" spans="1:41" x14ac:dyDescent="0.3">
      <c r="A326" s="26" t="s">
        <v>0</v>
      </c>
      <c r="B326" s="21">
        <v>2022</v>
      </c>
      <c r="C326" s="21" t="s">
        <v>4</v>
      </c>
      <c r="D326" s="21" t="str">
        <f t="shared" si="40"/>
        <v>Feb-22</v>
      </c>
      <c r="E326" s="32">
        <v>44593</v>
      </c>
      <c r="F326" s="21" t="s">
        <v>85</v>
      </c>
      <c r="G326" s="21">
        <v>148.80000000000001</v>
      </c>
      <c r="H326" s="21">
        <v>198.1</v>
      </c>
      <c r="I326" s="21">
        <v>175.5</v>
      </c>
      <c r="J326" s="21">
        <v>160.69999999999999</v>
      </c>
      <c r="K326" s="21">
        <v>192.6</v>
      </c>
      <c r="L326" s="21">
        <v>151.4</v>
      </c>
      <c r="M326" s="21">
        <v>155.19999999999999</v>
      </c>
      <c r="N326" s="21">
        <v>163.9</v>
      </c>
      <c r="O326" s="21">
        <v>118.1</v>
      </c>
      <c r="P326" s="21">
        <v>175.4</v>
      </c>
      <c r="Q326" s="21">
        <v>170.5</v>
      </c>
      <c r="R326" s="21">
        <v>176.3</v>
      </c>
      <c r="S326" s="21">
        <v>163.9</v>
      </c>
      <c r="T326" s="21">
        <v>191.5</v>
      </c>
      <c r="U326" s="21">
        <v>174.1</v>
      </c>
      <c r="V326" s="21">
        <v>171</v>
      </c>
      <c r="W326" s="21">
        <v>173.7</v>
      </c>
      <c r="X326" s="28">
        <f>'Handle missing value sheet only'!$C$1</f>
        <v>139.27096774193564</v>
      </c>
      <c r="Y326" s="21">
        <v>167.4</v>
      </c>
      <c r="Z326" s="21">
        <v>165.7</v>
      </c>
      <c r="AA326" s="21">
        <v>175.3</v>
      </c>
      <c r="AB326" s="21">
        <v>161.19999999999999</v>
      </c>
      <c r="AC326" s="21">
        <v>165.5</v>
      </c>
      <c r="AD326" s="21">
        <v>170.3</v>
      </c>
      <c r="AE326" s="21">
        <v>164.5</v>
      </c>
      <c r="AF326" s="21">
        <v>167.3</v>
      </c>
      <c r="AG326" s="21">
        <v>166.7</v>
      </c>
      <c r="AH326" s="28">
        <f t="shared" si="41"/>
        <v>4163.470967741936</v>
      </c>
      <c r="AI326" s="28">
        <f t="shared" si="42"/>
        <v>667.6</v>
      </c>
      <c r="AJ326" s="28">
        <f t="shared" si="43"/>
        <v>345.1</v>
      </c>
      <c r="AK326" s="28">
        <f t="shared" si="44"/>
        <v>304.97096774193562</v>
      </c>
      <c r="AL326" s="28">
        <f t="shared" si="45"/>
        <v>2341.9</v>
      </c>
      <c r="AM326" s="28">
        <f t="shared" si="46"/>
        <v>166.9</v>
      </c>
      <c r="AN326" s="28">
        <f t="shared" si="47"/>
        <v>152.48548387096781</v>
      </c>
      <c r="AO326" s="22">
        <v>167.27857142857144</v>
      </c>
    </row>
    <row r="327" spans="1:41" x14ac:dyDescent="0.3">
      <c r="A327" s="27" t="s">
        <v>2</v>
      </c>
      <c r="B327" s="20">
        <v>2022</v>
      </c>
      <c r="C327" s="20" t="s">
        <v>4</v>
      </c>
      <c r="D327" s="21" t="str">
        <f t="shared" si="40"/>
        <v>Feb-22</v>
      </c>
      <c r="E327" s="33">
        <v>44593</v>
      </c>
      <c r="F327" s="20" t="s">
        <v>85</v>
      </c>
      <c r="G327" s="20">
        <v>152.5</v>
      </c>
      <c r="H327" s="20">
        <v>205.2</v>
      </c>
      <c r="I327" s="20">
        <v>176.4</v>
      </c>
      <c r="J327" s="20">
        <v>160.6</v>
      </c>
      <c r="K327" s="20">
        <v>171.5</v>
      </c>
      <c r="L327" s="20">
        <v>156.4</v>
      </c>
      <c r="M327" s="20">
        <v>198</v>
      </c>
      <c r="N327" s="20">
        <v>163.19999999999999</v>
      </c>
      <c r="O327" s="20">
        <v>120.6</v>
      </c>
      <c r="P327" s="20">
        <v>172.2</v>
      </c>
      <c r="Q327" s="20">
        <v>156.69999999999999</v>
      </c>
      <c r="R327" s="20">
        <v>180</v>
      </c>
      <c r="S327" s="20">
        <v>170.2</v>
      </c>
      <c r="T327" s="20">
        <v>196.5</v>
      </c>
      <c r="U327" s="20">
        <v>165.7</v>
      </c>
      <c r="V327" s="20">
        <v>150.4</v>
      </c>
      <c r="W327" s="20">
        <v>163.4</v>
      </c>
      <c r="X327" s="20">
        <v>165.5</v>
      </c>
      <c r="Y327" s="20">
        <v>163</v>
      </c>
      <c r="Z327" s="20">
        <v>157.4</v>
      </c>
      <c r="AA327" s="20">
        <v>167.2</v>
      </c>
      <c r="AB327" s="20">
        <v>153.1</v>
      </c>
      <c r="AC327" s="20">
        <v>159.5</v>
      </c>
      <c r="AD327" s="20">
        <v>162</v>
      </c>
      <c r="AE327" s="20">
        <v>164.2</v>
      </c>
      <c r="AF327" s="20">
        <v>159.4</v>
      </c>
      <c r="AG327" s="20">
        <v>165.5</v>
      </c>
      <c r="AH327" s="28">
        <f t="shared" si="41"/>
        <v>4147.3999999999987</v>
      </c>
      <c r="AI327" s="28">
        <f t="shared" si="42"/>
        <v>645.1</v>
      </c>
      <c r="AJ327" s="28">
        <f t="shared" si="43"/>
        <v>316.10000000000002</v>
      </c>
      <c r="AK327" s="28">
        <f t="shared" si="44"/>
        <v>322.89999999999998</v>
      </c>
      <c r="AL327" s="28">
        <f t="shared" si="45"/>
        <v>2380</v>
      </c>
      <c r="AM327" s="28">
        <f t="shared" si="46"/>
        <v>161.27500000000001</v>
      </c>
      <c r="AN327" s="28">
        <f t="shared" si="47"/>
        <v>161.44999999999999</v>
      </c>
      <c r="AO327" s="23">
        <v>170</v>
      </c>
    </row>
    <row r="328" spans="1:41" x14ac:dyDescent="0.3">
      <c r="A328" s="26" t="s">
        <v>3</v>
      </c>
      <c r="B328" s="21">
        <v>2022</v>
      </c>
      <c r="C328" s="21" t="s">
        <v>4</v>
      </c>
      <c r="D328" s="21" t="str">
        <f t="shared" si="40"/>
        <v>Feb-22</v>
      </c>
      <c r="E328" s="32">
        <v>44593</v>
      </c>
      <c r="F328" s="21" t="s">
        <v>85</v>
      </c>
      <c r="G328" s="21">
        <v>150</v>
      </c>
      <c r="H328" s="21">
        <v>200.6</v>
      </c>
      <c r="I328" s="21">
        <v>175.8</v>
      </c>
      <c r="J328" s="21">
        <v>160.69999999999999</v>
      </c>
      <c r="K328" s="21">
        <v>184.9</v>
      </c>
      <c r="L328" s="21">
        <v>153.69999999999999</v>
      </c>
      <c r="M328" s="21">
        <v>169.7</v>
      </c>
      <c r="N328" s="21">
        <v>163.69999999999999</v>
      </c>
      <c r="O328" s="21">
        <v>118.9</v>
      </c>
      <c r="P328" s="21">
        <v>174.3</v>
      </c>
      <c r="Q328" s="21">
        <v>164.7</v>
      </c>
      <c r="R328" s="21">
        <v>178</v>
      </c>
      <c r="S328" s="21">
        <v>166.2</v>
      </c>
      <c r="T328" s="21">
        <v>192.8</v>
      </c>
      <c r="U328" s="21">
        <v>170.8</v>
      </c>
      <c r="V328" s="21">
        <v>162.4</v>
      </c>
      <c r="W328" s="21">
        <v>169.6</v>
      </c>
      <c r="X328" s="21">
        <v>165.5</v>
      </c>
      <c r="Y328" s="21">
        <v>165.7</v>
      </c>
      <c r="Z328" s="21">
        <v>161.80000000000001</v>
      </c>
      <c r="AA328" s="21">
        <v>172.2</v>
      </c>
      <c r="AB328" s="21">
        <v>156.9</v>
      </c>
      <c r="AC328" s="21">
        <v>162.1</v>
      </c>
      <c r="AD328" s="21">
        <v>165.4</v>
      </c>
      <c r="AE328" s="21">
        <v>164.4</v>
      </c>
      <c r="AF328" s="21">
        <v>163.5</v>
      </c>
      <c r="AG328" s="21">
        <v>166.1</v>
      </c>
      <c r="AH328" s="28">
        <f t="shared" si="41"/>
        <v>4164.7</v>
      </c>
      <c r="AI328" s="28">
        <f t="shared" si="42"/>
        <v>655.4</v>
      </c>
      <c r="AJ328" s="28">
        <f t="shared" si="43"/>
        <v>333.20000000000005</v>
      </c>
      <c r="AK328" s="28">
        <f t="shared" si="44"/>
        <v>327.3</v>
      </c>
      <c r="AL328" s="28">
        <f t="shared" si="45"/>
        <v>2354.0000000000005</v>
      </c>
      <c r="AM328" s="28">
        <f t="shared" si="46"/>
        <v>163.85</v>
      </c>
      <c r="AN328" s="28">
        <f t="shared" si="47"/>
        <v>163.65</v>
      </c>
      <c r="AO328" s="22">
        <v>168.14285714285717</v>
      </c>
    </row>
    <row r="329" spans="1:41" x14ac:dyDescent="0.3">
      <c r="A329" s="27" t="s">
        <v>0</v>
      </c>
      <c r="B329" s="20">
        <v>2022</v>
      </c>
      <c r="C329" s="20" t="s">
        <v>5</v>
      </c>
      <c r="D329" s="21" t="str">
        <f t="shared" si="40"/>
        <v>Mar-22</v>
      </c>
      <c r="E329" s="33">
        <v>44621</v>
      </c>
      <c r="F329" s="20" t="s">
        <v>85</v>
      </c>
      <c r="G329" s="20">
        <v>150.19999999999999</v>
      </c>
      <c r="H329" s="20">
        <v>208</v>
      </c>
      <c r="I329" s="20">
        <v>167.9</v>
      </c>
      <c r="J329" s="20">
        <v>162</v>
      </c>
      <c r="K329" s="20">
        <v>203.1</v>
      </c>
      <c r="L329" s="20">
        <v>155.9</v>
      </c>
      <c r="M329" s="20">
        <v>155.80000000000001</v>
      </c>
      <c r="N329" s="20">
        <v>164.2</v>
      </c>
      <c r="O329" s="20">
        <v>118.1</v>
      </c>
      <c r="P329" s="20">
        <v>178.7</v>
      </c>
      <c r="Q329" s="20">
        <v>171.2</v>
      </c>
      <c r="R329" s="20">
        <v>177.4</v>
      </c>
      <c r="S329" s="20">
        <v>166.6</v>
      </c>
      <c r="T329" s="20">
        <v>192.3</v>
      </c>
      <c r="U329" s="20">
        <v>175.4</v>
      </c>
      <c r="V329" s="20">
        <v>173.2</v>
      </c>
      <c r="W329" s="20">
        <v>175.1</v>
      </c>
      <c r="X329" s="30">
        <f>'Handle missing value sheet only'!$C$1</f>
        <v>139.27096774193564</v>
      </c>
      <c r="Y329" s="20">
        <v>168.9</v>
      </c>
      <c r="Z329" s="20">
        <v>166.5</v>
      </c>
      <c r="AA329" s="20">
        <v>176</v>
      </c>
      <c r="AB329" s="20">
        <v>162</v>
      </c>
      <c r="AC329" s="20">
        <v>166.6</v>
      </c>
      <c r="AD329" s="20">
        <v>170.6</v>
      </c>
      <c r="AE329" s="20">
        <v>167.4</v>
      </c>
      <c r="AF329" s="20">
        <v>168.3</v>
      </c>
      <c r="AG329" s="20">
        <v>168.7</v>
      </c>
      <c r="AH329" s="28">
        <f t="shared" si="41"/>
        <v>4205.5709677419354</v>
      </c>
      <c r="AI329" s="28">
        <f t="shared" si="42"/>
        <v>672.90000000000009</v>
      </c>
      <c r="AJ329" s="28">
        <f t="shared" si="43"/>
        <v>348.6</v>
      </c>
      <c r="AK329" s="28">
        <f t="shared" si="44"/>
        <v>305.77096774193564</v>
      </c>
      <c r="AL329" s="28">
        <f t="shared" si="45"/>
        <v>2371.4000000000005</v>
      </c>
      <c r="AM329" s="28">
        <f t="shared" si="46"/>
        <v>168.22500000000002</v>
      </c>
      <c r="AN329" s="28">
        <f t="shared" si="47"/>
        <v>152.88548387096782</v>
      </c>
      <c r="AO329" s="23">
        <v>169.38571428571433</v>
      </c>
    </row>
    <row r="330" spans="1:41" x14ac:dyDescent="0.3">
      <c r="A330" s="26" t="s">
        <v>2</v>
      </c>
      <c r="B330" s="21">
        <v>2022</v>
      </c>
      <c r="C330" s="21" t="s">
        <v>5</v>
      </c>
      <c r="D330" s="21" t="str">
        <f t="shared" si="40"/>
        <v>Mar-22</v>
      </c>
      <c r="E330" s="32">
        <v>44621</v>
      </c>
      <c r="F330" s="21" t="s">
        <v>85</v>
      </c>
      <c r="G330" s="21">
        <v>153.69999999999999</v>
      </c>
      <c r="H330" s="21">
        <v>215.8</v>
      </c>
      <c r="I330" s="21">
        <v>167.7</v>
      </c>
      <c r="J330" s="21">
        <v>162.6</v>
      </c>
      <c r="K330" s="21">
        <v>180</v>
      </c>
      <c r="L330" s="21">
        <v>159.6</v>
      </c>
      <c r="M330" s="21">
        <v>188.4</v>
      </c>
      <c r="N330" s="21">
        <v>163.4</v>
      </c>
      <c r="O330" s="21">
        <v>120.3</v>
      </c>
      <c r="P330" s="21">
        <v>174.7</v>
      </c>
      <c r="Q330" s="21">
        <v>157.1</v>
      </c>
      <c r="R330" s="21">
        <v>181.5</v>
      </c>
      <c r="S330" s="21">
        <v>171.5</v>
      </c>
      <c r="T330" s="21">
        <v>197.5</v>
      </c>
      <c r="U330" s="21">
        <v>167.1</v>
      </c>
      <c r="V330" s="21">
        <v>152.6</v>
      </c>
      <c r="W330" s="21">
        <v>164.9</v>
      </c>
      <c r="X330" s="21">
        <v>165.3</v>
      </c>
      <c r="Y330" s="21">
        <v>164.5</v>
      </c>
      <c r="Z330" s="21">
        <v>158.6</v>
      </c>
      <c r="AA330" s="21">
        <v>168.2</v>
      </c>
      <c r="AB330" s="21">
        <v>154.19999999999999</v>
      </c>
      <c r="AC330" s="21">
        <v>160.80000000000001</v>
      </c>
      <c r="AD330" s="21">
        <v>162.69999999999999</v>
      </c>
      <c r="AE330" s="21">
        <v>166.8</v>
      </c>
      <c r="AF330" s="21">
        <v>160.6</v>
      </c>
      <c r="AG330" s="21">
        <v>166.5</v>
      </c>
      <c r="AH330" s="28">
        <f t="shared" si="41"/>
        <v>4175.2</v>
      </c>
      <c r="AI330" s="28">
        <f t="shared" si="42"/>
        <v>650.9</v>
      </c>
      <c r="AJ330" s="28">
        <f t="shared" si="43"/>
        <v>319.7</v>
      </c>
      <c r="AK330" s="28">
        <f t="shared" si="44"/>
        <v>323.89999999999998</v>
      </c>
      <c r="AL330" s="28">
        <f t="shared" si="45"/>
        <v>2393.8000000000002</v>
      </c>
      <c r="AM330" s="28">
        <f t="shared" si="46"/>
        <v>162.72499999999999</v>
      </c>
      <c r="AN330" s="28">
        <f t="shared" si="47"/>
        <v>161.94999999999999</v>
      </c>
      <c r="AO330" s="22">
        <v>170.98571428571429</v>
      </c>
    </row>
    <row r="331" spans="1:41" x14ac:dyDescent="0.3">
      <c r="A331" s="27" t="s">
        <v>3</v>
      </c>
      <c r="B331" s="20">
        <v>2022</v>
      </c>
      <c r="C331" s="20" t="s">
        <v>5</v>
      </c>
      <c r="D331" s="21" t="str">
        <f t="shared" si="40"/>
        <v>Mar-22</v>
      </c>
      <c r="E331" s="33">
        <v>44621</v>
      </c>
      <c r="F331" s="20" t="s">
        <v>85</v>
      </c>
      <c r="G331" s="20">
        <v>151.30000000000001</v>
      </c>
      <c r="H331" s="20">
        <v>210.7</v>
      </c>
      <c r="I331" s="20">
        <v>167.8</v>
      </c>
      <c r="J331" s="20">
        <v>162.19999999999999</v>
      </c>
      <c r="K331" s="20">
        <v>194.6</v>
      </c>
      <c r="L331" s="20">
        <v>157.6</v>
      </c>
      <c r="M331" s="20">
        <v>166.9</v>
      </c>
      <c r="N331" s="20">
        <v>163.9</v>
      </c>
      <c r="O331" s="20">
        <v>118.8</v>
      </c>
      <c r="P331" s="20">
        <v>177.4</v>
      </c>
      <c r="Q331" s="20">
        <v>165.3</v>
      </c>
      <c r="R331" s="20">
        <v>179.3</v>
      </c>
      <c r="S331" s="20">
        <v>168.4</v>
      </c>
      <c r="T331" s="20">
        <v>193.7</v>
      </c>
      <c r="U331" s="20">
        <v>172.1</v>
      </c>
      <c r="V331" s="20">
        <v>164.6</v>
      </c>
      <c r="W331" s="20">
        <v>171.1</v>
      </c>
      <c r="X331" s="20">
        <v>165.3</v>
      </c>
      <c r="Y331" s="20">
        <v>167.2</v>
      </c>
      <c r="Z331" s="20">
        <v>162.80000000000001</v>
      </c>
      <c r="AA331" s="20">
        <v>173</v>
      </c>
      <c r="AB331" s="20">
        <v>157.9</v>
      </c>
      <c r="AC331" s="20">
        <v>163.30000000000001</v>
      </c>
      <c r="AD331" s="20">
        <v>166</v>
      </c>
      <c r="AE331" s="20">
        <v>167.2</v>
      </c>
      <c r="AF331" s="20">
        <v>164.6</v>
      </c>
      <c r="AG331" s="20">
        <v>167.7</v>
      </c>
      <c r="AH331" s="28">
        <f t="shared" si="41"/>
        <v>4201.9000000000005</v>
      </c>
      <c r="AI331" s="28">
        <f t="shared" si="42"/>
        <v>661.09999999999991</v>
      </c>
      <c r="AJ331" s="28">
        <f t="shared" si="43"/>
        <v>336.7</v>
      </c>
      <c r="AK331" s="28">
        <f t="shared" si="44"/>
        <v>328.1</v>
      </c>
      <c r="AL331" s="28">
        <f t="shared" si="45"/>
        <v>2377.9</v>
      </c>
      <c r="AM331" s="28">
        <f t="shared" si="46"/>
        <v>165.27499999999998</v>
      </c>
      <c r="AN331" s="28">
        <f t="shared" si="47"/>
        <v>164.05</v>
      </c>
      <c r="AO331" s="23">
        <v>169.85</v>
      </c>
    </row>
    <row r="332" spans="1:41" x14ac:dyDescent="0.3">
      <c r="A332" s="26" t="s">
        <v>0</v>
      </c>
      <c r="B332" s="21">
        <v>2022</v>
      </c>
      <c r="C332" s="21" t="s">
        <v>6</v>
      </c>
      <c r="D332" s="21" t="str">
        <f t="shared" si="40"/>
        <v>Apr-22</v>
      </c>
      <c r="E332" s="32">
        <v>44652</v>
      </c>
      <c r="F332" s="21" t="s">
        <v>85</v>
      </c>
      <c r="G332" s="21">
        <v>151.80000000000001</v>
      </c>
      <c r="H332" s="21">
        <v>209.7</v>
      </c>
      <c r="I332" s="21">
        <v>164.5</v>
      </c>
      <c r="J332" s="21">
        <v>163.80000000000001</v>
      </c>
      <c r="K332" s="21">
        <v>207.4</v>
      </c>
      <c r="L332" s="21">
        <v>169.7</v>
      </c>
      <c r="M332" s="21">
        <v>153.6</v>
      </c>
      <c r="N332" s="21">
        <v>165.1</v>
      </c>
      <c r="O332" s="21">
        <v>118.2</v>
      </c>
      <c r="P332" s="21">
        <v>182.9</v>
      </c>
      <c r="Q332" s="21">
        <v>172.4</v>
      </c>
      <c r="R332" s="21">
        <v>178.9</v>
      </c>
      <c r="S332" s="21">
        <v>168.6</v>
      </c>
      <c r="T332" s="21">
        <v>192.8</v>
      </c>
      <c r="U332" s="21">
        <v>177.5</v>
      </c>
      <c r="V332" s="21">
        <v>175.1</v>
      </c>
      <c r="W332" s="21">
        <v>177.1</v>
      </c>
      <c r="X332" s="28">
        <f>'Handle missing value sheet only'!$C$1</f>
        <v>139.27096774193564</v>
      </c>
      <c r="Y332" s="21">
        <v>173.3</v>
      </c>
      <c r="Z332" s="21">
        <v>167.7</v>
      </c>
      <c r="AA332" s="21">
        <v>177</v>
      </c>
      <c r="AB332" s="21">
        <v>166.2</v>
      </c>
      <c r="AC332" s="21">
        <v>167.2</v>
      </c>
      <c r="AD332" s="21">
        <v>170.9</v>
      </c>
      <c r="AE332" s="21">
        <v>169</v>
      </c>
      <c r="AF332" s="21">
        <v>170.2</v>
      </c>
      <c r="AG332" s="21">
        <v>170.8</v>
      </c>
      <c r="AH332" s="28">
        <f t="shared" si="41"/>
        <v>4252.7709677419361</v>
      </c>
      <c r="AI332" s="28">
        <f t="shared" si="42"/>
        <v>677.3</v>
      </c>
      <c r="AJ332" s="28">
        <f t="shared" si="43"/>
        <v>352.6</v>
      </c>
      <c r="AK332" s="28">
        <f t="shared" si="44"/>
        <v>306.97096774193562</v>
      </c>
      <c r="AL332" s="28">
        <f t="shared" si="45"/>
        <v>2399.4</v>
      </c>
      <c r="AM332" s="28">
        <f t="shared" si="46"/>
        <v>169.32499999999999</v>
      </c>
      <c r="AN332" s="28">
        <f t="shared" si="47"/>
        <v>153.48548387096781</v>
      </c>
      <c r="AO332" s="22">
        <v>171.3857142857143</v>
      </c>
    </row>
    <row r="333" spans="1:41" x14ac:dyDescent="0.3">
      <c r="A333" s="27" t="s">
        <v>2</v>
      </c>
      <c r="B333" s="20">
        <v>2022</v>
      </c>
      <c r="C333" s="20" t="s">
        <v>6</v>
      </c>
      <c r="D333" s="21" t="str">
        <f t="shared" si="40"/>
        <v>Apr-22</v>
      </c>
      <c r="E333" s="33">
        <v>44652</v>
      </c>
      <c r="F333" s="20" t="s">
        <v>85</v>
      </c>
      <c r="G333" s="20">
        <v>155.4</v>
      </c>
      <c r="H333" s="20">
        <v>215.8</v>
      </c>
      <c r="I333" s="20">
        <v>164.6</v>
      </c>
      <c r="J333" s="20">
        <v>164.2</v>
      </c>
      <c r="K333" s="20">
        <v>186</v>
      </c>
      <c r="L333" s="20">
        <v>175.9</v>
      </c>
      <c r="M333" s="20">
        <v>190.7</v>
      </c>
      <c r="N333" s="20">
        <v>164</v>
      </c>
      <c r="O333" s="20">
        <v>120.5</v>
      </c>
      <c r="P333" s="20">
        <v>178</v>
      </c>
      <c r="Q333" s="20">
        <v>157.5</v>
      </c>
      <c r="R333" s="20">
        <v>183.3</v>
      </c>
      <c r="S333" s="20">
        <v>174.5</v>
      </c>
      <c r="T333" s="20">
        <v>197.1</v>
      </c>
      <c r="U333" s="20">
        <v>168.4</v>
      </c>
      <c r="V333" s="20">
        <v>154.5</v>
      </c>
      <c r="W333" s="20">
        <v>166.3</v>
      </c>
      <c r="X333" s="20">
        <v>167</v>
      </c>
      <c r="Y333" s="20">
        <v>170.5</v>
      </c>
      <c r="Z333" s="20">
        <v>159.80000000000001</v>
      </c>
      <c r="AA333" s="20">
        <v>169</v>
      </c>
      <c r="AB333" s="20">
        <v>159.30000000000001</v>
      </c>
      <c r="AC333" s="20">
        <v>162.19999999999999</v>
      </c>
      <c r="AD333" s="20">
        <v>164</v>
      </c>
      <c r="AE333" s="20">
        <v>168.4</v>
      </c>
      <c r="AF333" s="20">
        <v>163.1</v>
      </c>
      <c r="AG333" s="20">
        <v>169.2</v>
      </c>
      <c r="AH333" s="28">
        <f t="shared" si="41"/>
        <v>4233.7</v>
      </c>
      <c r="AI333" s="28">
        <f t="shared" si="42"/>
        <v>657.7</v>
      </c>
      <c r="AJ333" s="28">
        <f t="shared" si="43"/>
        <v>322.89999999999998</v>
      </c>
      <c r="AK333" s="28">
        <f t="shared" si="44"/>
        <v>326.8</v>
      </c>
      <c r="AL333" s="28">
        <f t="shared" si="45"/>
        <v>2427.5</v>
      </c>
      <c r="AM333" s="28">
        <f t="shared" si="46"/>
        <v>164.42500000000001</v>
      </c>
      <c r="AN333" s="28">
        <f t="shared" si="47"/>
        <v>163.4</v>
      </c>
      <c r="AO333" s="23">
        <v>173.39285714285714</v>
      </c>
    </row>
    <row r="334" spans="1:41" x14ac:dyDescent="0.3">
      <c r="A334" s="26" t="s">
        <v>3</v>
      </c>
      <c r="B334" s="21">
        <v>2022</v>
      </c>
      <c r="C334" s="21" t="s">
        <v>6</v>
      </c>
      <c r="D334" s="21" t="str">
        <f t="shared" si="40"/>
        <v>Apr-22</v>
      </c>
      <c r="E334" s="32">
        <v>44652</v>
      </c>
      <c r="F334" s="21" t="s">
        <v>85</v>
      </c>
      <c r="G334" s="21">
        <v>152.9</v>
      </c>
      <c r="H334" s="21">
        <v>211.8</v>
      </c>
      <c r="I334" s="21">
        <v>164.5</v>
      </c>
      <c r="J334" s="21">
        <v>163.9</v>
      </c>
      <c r="K334" s="21">
        <v>199.5</v>
      </c>
      <c r="L334" s="21">
        <v>172.6</v>
      </c>
      <c r="M334" s="21">
        <v>166.2</v>
      </c>
      <c r="N334" s="21">
        <v>164.7</v>
      </c>
      <c r="O334" s="21">
        <v>119</v>
      </c>
      <c r="P334" s="21">
        <v>181.3</v>
      </c>
      <c r="Q334" s="21">
        <v>166.2</v>
      </c>
      <c r="R334" s="21">
        <v>180.9</v>
      </c>
      <c r="S334" s="21">
        <v>170.8</v>
      </c>
      <c r="T334" s="21">
        <v>193.9</v>
      </c>
      <c r="U334" s="21">
        <v>173.9</v>
      </c>
      <c r="V334" s="21">
        <v>166.5</v>
      </c>
      <c r="W334" s="21">
        <v>172.8</v>
      </c>
      <c r="X334" s="21">
        <v>167</v>
      </c>
      <c r="Y334" s="21">
        <v>172.2</v>
      </c>
      <c r="Z334" s="21">
        <v>164</v>
      </c>
      <c r="AA334" s="21">
        <v>174</v>
      </c>
      <c r="AB334" s="21">
        <v>162.6</v>
      </c>
      <c r="AC334" s="21">
        <v>164.4</v>
      </c>
      <c r="AD334" s="21">
        <v>166.9</v>
      </c>
      <c r="AE334" s="21">
        <v>168.8</v>
      </c>
      <c r="AF334" s="21">
        <v>166.8</v>
      </c>
      <c r="AG334" s="21">
        <v>170.1</v>
      </c>
      <c r="AH334" s="28">
        <f t="shared" si="41"/>
        <v>4255.3</v>
      </c>
      <c r="AI334" s="28">
        <f t="shared" si="42"/>
        <v>666.9</v>
      </c>
      <c r="AJ334" s="28">
        <f t="shared" si="43"/>
        <v>340.4</v>
      </c>
      <c r="AK334" s="28">
        <f t="shared" si="44"/>
        <v>331</v>
      </c>
      <c r="AL334" s="28">
        <f t="shared" si="45"/>
        <v>2408.2000000000003</v>
      </c>
      <c r="AM334" s="28">
        <f t="shared" si="46"/>
        <v>166.72499999999999</v>
      </c>
      <c r="AN334" s="28">
        <f t="shared" si="47"/>
        <v>165.5</v>
      </c>
      <c r="AO334" s="22">
        <v>172.01428571428573</v>
      </c>
    </row>
    <row r="335" spans="1:41" x14ac:dyDescent="0.3">
      <c r="A335" s="27" t="s">
        <v>0</v>
      </c>
      <c r="B335" s="20">
        <v>2022</v>
      </c>
      <c r="C335" s="20" t="s">
        <v>7</v>
      </c>
      <c r="D335" s="21" t="str">
        <f t="shared" si="40"/>
        <v>May-22</v>
      </c>
      <c r="E335" s="33">
        <v>44682</v>
      </c>
      <c r="F335" s="20" t="s">
        <v>85</v>
      </c>
      <c r="G335" s="20">
        <v>152.9</v>
      </c>
      <c r="H335" s="20">
        <v>214.7</v>
      </c>
      <c r="I335" s="20">
        <v>161.4</v>
      </c>
      <c r="J335" s="20">
        <v>164.6</v>
      </c>
      <c r="K335" s="20">
        <v>209.9</v>
      </c>
      <c r="L335" s="20">
        <v>168</v>
      </c>
      <c r="M335" s="20">
        <v>160.4</v>
      </c>
      <c r="N335" s="20">
        <v>165</v>
      </c>
      <c r="O335" s="20">
        <v>118.9</v>
      </c>
      <c r="P335" s="20">
        <v>186.6</v>
      </c>
      <c r="Q335" s="20">
        <v>173.2</v>
      </c>
      <c r="R335" s="20">
        <v>180.4</v>
      </c>
      <c r="S335" s="20">
        <v>170.8</v>
      </c>
      <c r="T335" s="20">
        <v>192.9</v>
      </c>
      <c r="U335" s="20">
        <v>179.3</v>
      </c>
      <c r="V335" s="20">
        <v>177.2</v>
      </c>
      <c r="W335" s="20">
        <v>179</v>
      </c>
      <c r="X335" s="30">
        <f>'Handle missing value sheet only'!$C$1</f>
        <v>139.27096774193564</v>
      </c>
      <c r="Y335" s="20">
        <v>175.3</v>
      </c>
      <c r="Z335" s="20">
        <v>168.9</v>
      </c>
      <c r="AA335" s="20">
        <v>177.7</v>
      </c>
      <c r="AB335" s="20">
        <v>167.1</v>
      </c>
      <c r="AC335" s="20">
        <v>167.6</v>
      </c>
      <c r="AD335" s="20">
        <v>171.8</v>
      </c>
      <c r="AE335" s="20">
        <v>168.5</v>
      </c>
      <c r="AF335" s="20">
        <v>170.9</v>
      </c>
      <c r="AG335" s="20">
        <v>172.5</v>
      </c>
      <c r="AH335" s="28">
        <f t="shared" si="41"/>
        <v>4283.2709677419361</v>
      </c>
      <c r="AI335" s="28">
        <f t="shared" si="42"/>
        <v>678.8</v>
      </c>
      <c r="AJ335" s="28">
        <f t="shared" si="43"/>
        <v>356.5</v>
      </c>
      <c r="AK335" s="28">
        <f t="shared" si="44"/>
        <v>308.17096774193567</v>
      </c>
      <c r="AL335" s="28">
        <f t="shared" si="45"/>
        <v>2419.7000000000003</v>
      </c>
      <c r="AM335" s="28">
        <f t="shared" si="46"/>
        <v>169.7</v>
      </c>
      <c r="AN335" s="28">
        <f t="shared" si="47"/>
        <v>154.08548387096783</v>
      </c>
      <c r="AO335" s="23">
        <v>172.83571428571432</v>
      </c>
    </row>
    <row r="336" spans="1:41" x14ac:dyDescent="0.3">
      <c r="A336" s="26" t="s">
        <v>2</v>
      </c>
      <c r="B336" s="21">
        <v>2022</v>
      </c>
      <c r="C336" s="21" t="s">
        <v>7</v>
      </c>
      <c r="D336" s="21" t="str">
        <f t="shared" si="40"/>
        <v>May-22</v>
      </c>
      <c r="E336" s="32">
        <v>44682</v>
      </c>
      <c r="F336" s="21" t="s">
        <v>85</v>
      </c>
      <c r="G336" s="21">
        <v>156.69999999999999</v>
      </c>
      <c r="H336" s="21">
        <v>221.2</v>
      </c>
      <c r="I336" s="21">
        <v>164.1</v>
      </c>
      <c r="J336" s="21">
        <v>165.4</v>
      </c>
      <c r="K336" s="21">
        <v>189.5</v>
      </c>
      <c r="L336" s="21">
        <v>174.5</v>
      </c>
      <c r="M336" s="21">
        <v>203.2</v>
      </c>
      <c r="N336" s="21">
        <v>164.1</v>
      </c>
      <c r="O336" s="21">
        <v>121.2</v>
      </c>
      <c r="P336" s="21">
        <v>181.4</v>
      </c>
      <c r="Q336" s="21">
        <v>158.5</v>
      </c>
      <c r="R336" s="21">
        <v>184.9</v>
      </c>
      <c r="S336" s="21">
        <v>177.5</v>
      </c>
      <c r="T336" s="21">
        <v>197.5</v>
      </c>
      <c r="U336" s="21">
        <v>170</v>
      </c>
      <c r="V336" s="21">
        <v>155.9</v>
      </c>
      <c r="W336" s="21">
        <v>167.8</v>
      </c>
      <c r="X336" s="21">
        <v>167.5</v>
      </c>
      <c r="Y336" s="21">
        <v>173.5</v>
      </c>
      <c r="Z336" s="21">
        <v>161.1</v>
      </c>
      <c r="AA336" s="21">
        <v>170.1</v>
      </c>
      <c r="AB336" s="21">
        <v>159.4</v>
      </c>
      <c r="AC336" s="21">
        <v>163.19999999999999</v>
      </c>
      <c r="AD336" s="21">
        <v>165.2</v>
      </c>
      <c r="AE336" s="21">
        <v>168.2</v>
      </c>
      <c r="AF336" s="21">
        <v>163.80000000000001</v>
      </c>
      <c r="AG336" s="21">
        <v>170.8</v>
      </c>
      <c r="AH336" s="28">
        <f t="shared" si="41"/>
        <v>4277.5999999999995</v>
      </c>
      <c r="AI336" s="28">
        <f t="shared" si="42"/>
        <v>660.4</v>
      </c>
      <c r="AJ336" s="28">
        <f t="shared" si="43"/>
        <v>325.89999999999998</v>
      </c>
      <c r="AK336" s="28">
        <f t="shared" si="44"/>
        <v>328.6</v>
      </c>
      <c r="AL336" s="28">
        <f t="shared" si="45"/>
        <v>2459.7000000000003</v>
      </c>
      <c r="AM336" s="28">
        <f t="shared" si="46"/>
        <v>165.1</v>
      </c>
      <c r="AN336" s="28">
        <f t="shared" si="47"/>
        <v>164.3</v>
      </c>
      <c r="AO336" s="22">
        <v>175.69285714285715</v>
      </c>
    </row>
    <row r="337" spans="1:41" x14ac:dyDescent="0.3">
      <c r="A337" s="27" t="s">
        <v>3</v>
      </c>
      <c r="B337" s="20">
        <v>2022</v>
      </c>
      <c r="C337" s="20" t="s">
        <v>7</v>
      </c>
      <c r="D337" s="21" t="str">
        <f t="shared" si="40"/>
        <v>May-22</v>
      </c>
      <c r="E337" s="33">
        <v>44682</v>
      </c>
      <c r="F337" s="20" t="s">
        <v>85</v>
      </c>
      <c r="G337" s="20">
        <v>154.1</v>
      </c>
      <c r="H337" s="20">
        <v>217</v>
      </c>
      <c r="I337" s="20">
        <v>162.4</v>
      </c>
      <c r="J337" s="20">
        <v>164.9</v>
      </c>
      <c r="K337" s="20">
        <v>202.4</v>
      </c>
      <c r="L337" s="20">
        <v>171</v>
      </c>
      <c r="M337" s="20">
        <v>174.9</v>
      </c>
      <c r="N337" s="20">
        <v>164.7</v>
      </c>
      <c r="O337" s="20">
        <v>119.7</v>
      </c>
      <c r="P337" s="20">
        <v>184.9</v>
      </c>
      <c r="Q337" s="20">
        <v>167.1</v>
      </c>
      <c r="R337" s="20">
        <v>182.5</v>
      </c>
      <c r="S337" s="20">
        <v>173.3</v>
      </c>
      <c r="T337" s="20">
        <v>194.1</v>
      </c>
      <c r="U337" s="20">
        <v>175.6</v>
      </c>
      <c r="V337" s="20">
        <v>168.4</v>
      </c>
      <c r="W337" s="20">
        <v>174.6</v>
      </c>
      <c r="X337" s="20">
        <v>167.5</v>
      </c>
      <c r="Y337" s="20">
        <v>174.6</v>
      </c>
      <c r="Z337" s="20">
        <v>165.2</v>
      </c>
      <c r="AA337" s="20">
        <v>174.8</v>
      </c>
      <c r="AB337" s="20">
        <v>163</v>
      </c>
      <c r="AC337" s="20">
        <v>165.1</v>
      </c>
      <c r="AD337" s="20">
        <v>167.9</v>
      </c>
      <c r="AE337" s="20">
        <v>168.4</v>
      </c>
      <c r="AF337" s="20">
        <v>167.5</v>
      </c>
      <c r="AG337" s="20">
        <v>171.7</v>
      </c>
      <c r="AH337" s="28">
        <f t="shared" si="41"/>
        <v>4291</v>
      </c>
      <c r="AI337" s="28">
        <f t="shared" si="42"/>
        <v>668.9</v>
      </c>
      <c r="AJ337" s="28">
        <f t="shared" si="43"/>
        <v>344</v>
      </c>
      <c r="AK337" s="28">
        <f t="shared" si="44"/>
        <v>332.7</v>
      </c>
      <c r="AL337" s="28">
        <f t="shared" si="45"/>
        <v>2433.0000000000005</v>
      </c>
      <c r="AM337" s="28">
        <f t="shared" si="46"/>
        <v>167.22499999999999</v>
      </c>
      <c r="AN337" s="28">
        <f t="shared" si="47"/>
        <v>166.35</v>
      </c>
      <c r="AO337" s="23">
        <v>173.78571428571431</v>
      </c>
    </row>
    <row r="338" spans="1:41" x14ac:dyDescent="0.3">
      <c r="A338" s="26" t="s">
        <v>0</v>
      </c>
      <c r="B338" s="21">
        <v>2022</v>
      </c>
      <c r="C338" s="21" t="s">
        <v>8</v>
      </c>
      <c r="D338" s="21" t="str">
        <f t="shared" si="40"/>
        <v>Jun-22</v>
      </c>
      <c r="E338" s="32">
        <v>44713</v>
      </c>
      <c r="F338" s="21" t="s">
        <v>85</v>
      </c>
      <c r="G338" s="21">
        <v>153.80000000000001</v>
      </c>
      <c r="H338" s="21">
        <v>217.2</v>
      </c>
      <c r="I338" s="21">
        <v>169.6</v>
      </c>
      <c r="J338" s="21">
        <v>165.4</v>
      </c>
      <c r="K338" s="21">
        <v>208.1</v>
      </c>
      <c r="L338" s="21">
        <v>165.8</v>
      </c>
      <c r="M338" s="21">
        <v>167.3</v>
      </c>
      <c r="N338" s="21">
        <v>164.6</v>
      </c>
      <c r="O338" s="21">
        <v>119.1</v>
      </c>
      <c r="P338" s="21">
        <v>188.9</v>
      </c>
      <c r="Q338" s="21">
        <v>174.2</v>
      </c>
      <c r="R338" s="21">
        <v>181.9</v>
      </c>
      <c r="S338" s="21">
        <v>172.4</v>
      </c>
      <c r="T338" s="21">
        <v>192.9</v>
      </c>
      <c r="U338" s="21">
        <v>180.7</v>
      </c>
      <c r="V338" s="21">
        <v>178.7</v>
      </c>
      <c r="W338" s="21">
        <v>180.4</v>
      </c>
      <c r="X338" s="28">
        <f>'Handle missing value sheet only'!$C$1</f>
        <v>139.27096774193564</v>
      </c>
      <c r="Y338" s="21">
        <v>176.7</v>
      </c>
      <c r="Z338" s="21">
        <v>170.3</v>
      </c>
      <c r="AA338" s="21">
        <v>178.2</v>
      </c>
      <c r="AB338" s="21">
        <v>165.5</v>
      </c>
      <c r="AC338" s="21">
        <v>168</v>
      </c>
      <c r="AD338" s="21">
        <v>172.6</v>
      </c>
      <c r="AE338" s="21">
        <v>169.5</v>
      </c>
      <c r="AF338" s="21">
        <v>171</v>
      </c>
      <c r="AG338" s="21">
        <v>173.6</v>
      </c>
      <c r="AH338" s="28">
        <f t="shared" si="41"/>
        <v>4311.6709677419358</v>
      </c>
      <c r="AI338" s="28">
        <f t="shared" si="42"/>
        <v>681.1</v>
      </c>
      <c r="AJ338" s="28">
        <f t="shared" si="43"/>
        <v>359.4</v>
      </c>
      <c r="AK338" s="28">
        <f t="shared" si="44"/>
        <v>309.57096774193565</v>
      </c>
      <c r="AL338" s="28">
        <f t="shared" si="45"/>
        <v>2441.2000000000003</v>
      </c>
      <c r="AM338" s="28">
        <f t="shared" si="46"/>
        <v>170.27500000000001</v>
      </c>
      <c r="AN338" s="28">
        <f t="shared" si="47"/>
        <v>154.78548387096782</v>
      </c>
      <c r="AO338" s="22">
        <v>174.37142857142859</v>
      </c>
    </row>
    <row r="339" spans="1:41" x14ac:dyDescent="0.3">
      <c r="A339" s="27" t="s">
        <v>2</v>
      </c>
      <c r="B339" s="20">
        <v>2022</v>
      </c>
      <c r="C339" s="20" t="s">
        <v>8</v>
      </c>
      <c r="D339" s="21" t="str">
        <f t="shared" si="40"/>
        <v>Jun-22</v>
      </c>
      <c r="E339" s="33">
        <v>44713</v>
      </c>
      <c r="F339" s="20" t="s">
        <v>85</v>
      </c>
      <c r="G339" s="20">
        <v>157.5</v>
      </c>
      <c r="H339" s="20">
        <v>223.4</v>
      </c>
      <c r="I339" s="20">
        <v>172.8</v>
      </c>
      <c r="J339" s="20">
        <v>166.4</v>
      </c>
      <c r="K339" s="20">
        <v>188.6</v>
      </c>
      <c r="L339" s="20">
        <v>174.1</v>
      </c>
      <c r="M339" s="20">
        <v>211.5</v>
      </c>
      <c r="N339" s="20">
        <v>163.6</v>
      </c>
      <c r="O339" s="20">
        <v>121.4</v>
      </c>
      <c r="P339" s="20">
        <v>183.5</v>
      </c>
      <c r="Q339" s="20">
        <v>159.1</v>
      </c>
      <c r="R339" s="20">
        <v>186.3</v>
      </c>
      <c r="S339" s="20">
        <v>179.3</v>
      </c>
      <c r="T339" s="20">
        <v>198.3</v>
      </c>
      <c r="U339" s="20">
        <v>171.6</v>
      </c>
      <c r="V339" s="20">
        <v>157.4</v>
      </c>
      <c r="W339" s="20">
        <v>169.4</v>
      </c>
      <c r="X339" s="20">
        <v>166.8</v>
      </c>
      <c r="Y339" s="20">
        <v>174.9</v>
      </c>
      <c r="Z339" s="20">
        <v>162.1</v>
      </c>
      <c r="AA339" s="20">
        <v>170.9</v>
      </c>
      <c r="AB339" s="20">
        <v>157.19999999999999</v>
      </c>
      <c r="AC339" s="20">
        <v>164.1</v>
      </c>
      <c r="AD339" s="20">
        <v>166.5</v>
      </c>
      <c r="AE339" s="20">
        <v>169.2</v>
      </c>
      <c r="AF339" s="20">
        <v>163.80000000000001</v>
      </c>
      <c r="AG339" s="20">
        <v>171.4</v>
      </c>
      <c r="AH339" s="28">
        <f t="shared" si="41"/>
        <v>4310.3</v>
      </c>
      <c r="AI339" s="28">
        <f t="shared" si="42"/>
        <v>663.6</v>
      </c>
      <c r="AJ339" s="28">
        <f t="shared" si="43"/>
        <v>329</v>
      </c>
      <c r="AK339" s="28">
        <f t="shared" si="44"/>
        <v>328.9</v>
      </c>
      <c r="AL339" s="28">
        <f t="shared" si="45"/>
        <v>2485.8000000000002</v>
      </c>
      <c r="AM339" s="28">
        <f t="shared" si="46"/>
        <v>165.9</v>
      </c>
      <c r="AN339" s="28">
        <f t="shared" si="47"/>
        <v>164.45</v>
      </c>
      <c r="AO339" s="23">
        <v>177.55714285714288</v>
      </c>
    </row>
    <row r="340" spans="1:41" x14ac:dyDescent="0.3">
      <c r="A340" s="26" t="s">
        <v>3</v>
      </c>
      <c r="B340" s="21">
        <v>2022</v>
      </c>
      <c r="C340" s="21" t="s">
        <v>8</v>
      </c>
      <c r="D340" s="21" t="str">
        <f t="shared" si="40"/>
        <v>Jun-22</v>
      </c>
      <c r="E340" s="32">
        <v>44713</v>
      </c>
      <c r="F340" s="21" t="s">
        <v>85</v>
      </c>
      <c r="G340" s="21">
        <v>155</v>
      </c>
      <c r="H340" s="21">
        <v>219.4</v>
      </c>
      <c r="I340" s="21">
        <v>170.8</v>
      </c>
      <c r="J340" s="21">
        <v>165.8</v>
      </c>
      <c r="K340" s="21">
        <v>200.9</v>
      </c>
      <c r="L340" s="21">
        <v>169.7</v>
      </c>
      <c r="M340" s="21">
        <v>182.3</v>
      </c>
      <c r="N340" s="21">
        <v>164.3</v>
      </c>
      <c r="O340" s="21">
        <v>119.9</v>
      </c>
      <c r="P340" s="21">
        <v>187.1</v>
      </c>
      <c r="Q340" s="21">
        <v>167.9</v>
      </c>
      <c r="R340" s="21">
        <v>183.9</v>
      </c>
      <c r="S340" s="21">
        <v>174.9</v>
      </c>
      <c r="T340" s="21">
        <v>194.3</v>
      </c>
      <c r="U340" s="21">
        <v>177.1</v>
      </c>
      <c r="V340" s="21">
        <v>169.9</v>
      </c>
      <c r="W340" s="21">
        <v>176</v>
      </c>
      <c r="X340" s="21">
        <v>166.8</v>
      </c>
      <c r="Y340" s="21">
        <v>176</v>
      </c>
      <c r="Z340" s="21">
        <v>166.4</v>
      </c>
      <c r="AA340" s="21">
        <v>175.4</v>
      </c>
      <c r="AB340" s="21">
        <v>161.1</v>
      </c>
      <c r="AC340" s="21">
        <v>165.8</v>
      </c>
      <c r="AD340" s="21">
        <v>169</v>
      </c>
      <c r="AE340" s="21">
        <v>169.4</v>
      </c>
      <c r="AF340" s="21">
        <v>167.5</v>
      </c>
      <c r="AG340" s="21">
        <v>172.6</v>
      </c>
      <c r="AH340" s="28">
        <f t="shared" si="41"/>
        <v>4320.6000000000013</v>
      </c>
      <c r="AI340" s="28">
        <f t="shared" si="42"/>
        <v>671.7</v>
      </c>
      <c r="AJ340" s="28">
        <f t="shared" si="43"/>
        <v>347</v>
      </c>
      <c r="AK340" s="28">
        <f t="shared" si="44"/>
        <v>333.20000000000005</v>
      </c>
      <c r="AL340" s="28">
        <f t="shared" si="45"/>
        <v>2456.2000000000003</v>
      </c>
      <c r="AM340" s="28">
        <f t="shared" si="46"/>
        <v>167.92500000000001</v>
      </c>
      <c r="AN340" s="28">
        <f t="shared" si="47"/>
        <v>166.60000000000002</v>
      </c>
      <c r="AO340" s="22">
        <v>175.44285714285715</v>
      </c>
    </row>
    <row r="341" spans="1:41" x14ac:dyDescent="0.3">
      <c r="A341" s="27" t="s">
        <v>0</v>
      </c>
      <c r="B341" s="20">
        <v>2022</v>
      </c>
      <c r="C341" s="20" t="s">
        <v>9</v>
      </c>
      <c r="D341" s="21" t="str">
        <f t="shared" si="40"/>
        <v>Jul-22</v>
      </c>
      <c r="E341" s="33">
        <v>44743</v>
      </c>
      <c r="F341" s="20" t="s">
        <v>85</v>
      </c>
      <c r="G341" s="20">
        <v>155.19999999999999</v>
      </c>
      <c r="H341" s="20">
        <v>210.8</v>
      </c>
      <c r="I341" s="20">
        <v>174.3</v>
      </c>
      <c r="J341" s="20">
        <v>166.3</v>
      </c>
      <c r="K341" s="20">
        <v>202.2</v>
      </c>
      <c r="L341" s="20">
        <v>169.6</v>
      </c>
      <c r="M341" s="20">
        <v>168.6</v>
      </c>
      <c r="N341" s="20">
        <v>164.4</v>
      </c>
      <c r="O341" s="20">
        <v>119.2</v>
      </c>
      <c r="P341" s="20">
        <v>191.8</v>
      </c>
      <c r="Q341" s="20">
        <v>174.5</v>
      </c>
      <c r="R341" s="20">
        <v>183.1</v>
      </c>
      <c r="S341" s="20">
        <v>172.5</v>
      </c>
      <c r="T341" s="20">
        <v>193.2</v>
      </c>
      <c r="U341" s="20">
        <v>182</v>
      </c>
      <c r="V341" s="20">
        <v>180.3</v>
      </c>
      <c r="W341" s="20">
        <v>181.7</v>
      </c>
      <c r="X341" s="30">
        <f>'Handle missing value sheet only'!$C$1</f>
        <v>139.27096774193564</v>
      </c>
      <c r="Y341" s="20">
        <v>179.6</v>
      </c>
      <c r="Z341" s="20">
        <v>171.3</v>
      </c>
      <c r="AA341" s="20">
        <v>178.8</v>
      </c>
      <c r="AB341" s="20">
        <v>166.3</v>
      </c>
      <c r="AC341" s="20">
        <v>168.6</v>
      </c>
      <c r="AD341" s="20">
        <v>174.7</v>
      </c>
      <c r="AE341" s="20">
        <v>169.7</v>
      </c>
      <c r="AF341" s="20">
        <v>171.8</v>
      </c>
      <c r="AG341" s="20">
        <v>174.3</v>
      </c>
      <c r="AH341" s="28">
        <f t="shared" si="41"/>
        <v>4328.0709677419354</v>
      </c>
      <c r="AI341" s="28">
        <f t="shared" si="42"/>
        <v>684.80000000000007</v>
      </c>
      <c r="AJ341" s="28">
        <f t="shared" si="43"/>
        <v>362.3</v>
      </c>
      <c r="AK341" s="28">
        <f t="shared" si="44"/>
        <v>310.57096774193565</v>
      </c>
      <c r="AL341" s="28">
        <f t="shared" si="45"/>
        <v>2445.6999999999998</v>
      </c>
      <c r="AM341" s="28">
        <f t="shared" si="46"/>
        <v>171.20000000000002</v>
      </c>
      <c r="AN341" s="28">
        <f t="shared" si="47"/>
        <v>155.28548387096782</v>
      </c>
      <c r="AO341" s="23">
        <v>174.69285714285712</v>
      </c>
    </row>
    <row r="342" spans="1:41" x14ac:dyDescent="0.3">
      <c r="A342" s="26" t="s">
        <v>2</v>
      </c>
      <c r="B342" s="21">
        <v>2022</v>
      </c>
      <c r="C342" s="21" t="s">
        <v>9</v>
      </c>
      <c r="D342" s="21" t="str">
        <f t="shared" si="40"/>
        <v>Jul-22</v>
      </c>
      <c r="E342" s="32">
        <v>44743</v>
      </c>
      <c r="F342" s="21" t="s">
        <v>85</v>
      </c>
      <c r="G342" s="21">
        <v>159.30000000000001</v>
      </c>
      <c r="H342" s="21">
        <v>217.1</v>
      </c>
      <c r="I342" s="21">
        <v>176.6</v>
      </c>
      <c r="J342" s="21">
        <v>167.1</v>
      </c>
      <c r="K342" s="21">
        <v>184.8</v>
      </c>
      <c r="L342" s="21">
        <v>179.5</v>
      </c>
      <c r="M342" s="21">
        <v>208.5</v>
      </c>
      <c r="N342" s="21">
        <v>164</v>
      </c>
      <c r="O342" s="21">
        <v>121.5</v>
      </c>
      <c r="P342" s="21">
        <v>186.3</v>
      </c>
      <c r="Q342" s="21">
        <v>159.80000000000001</v>
      </c>
      <c r="R342" s="21">
        <v>187.7</v>
      </c>
      <c r="S342" s="21">
        <v>179.4</v>
      </c>
      <c r="T342" s="21">
        <v>198.6</v>
      </c>
      <c r="U342" s="21">
        <v>172.7</v>
      </c>
      <c r="V342" s="21">
        <v>158.69999999999999</v>
      </c>
      <c r="W342" s="21">
        <v>170.6</v>
      </c>
      <c r="X342" s="21">
        <v>167.8</v>
      </c>
      <c r="Y342" s="21">
        <v>179.5</v>
      </c>
      <c r="Z342" s="21">
        <v>163.1</v>
      </c>
      <c r="AA342" s="21">
        <v>171.7</v>
      </c>
      <c r="AB342" s="21">
        <v>157.4</v>
      </c>
      <c r="AC342" s="21">
        <v>164.6</v>
      </c>
      <c r="AD342" s="21">
        <v>169.1</v>
      </c>
      <c r="AE342" s="21">
        <v>169.8</v>
      </c>
      <c r="AF342" s="21">
        <v>164.7</v>
      </c>
      <c r="AG342" s="21">
        <v>172.3</v>
      </c>
      <c r="AH342" s="28">
        <f t="shared" si="41"/>
        <v>4329.3</v>
      </c>
      <c r="AI342" s="28">
        <f t="shared" si="42"/>
        <v>668.2</v>
      </c>
      <c r="AJ342" s="28">
        <f t="shared" si="43"/>
        <v>331.4</v>
      </c>
      <c r="AK342" s="28">
        <f t="shared" si="44"/>
        <v>330.9</v>
      </c>
      <c r="AL342" s="28">
        <f t="shared" si="45"/>
        <v>2490.1999999999998</v>
      </c>
      <c r="AM342" s="28">
        <f t="shared" si="46"/>
        <v>167.05</v>
      </c>
      <c r="AN342" s="28">
        <f t="shared" si="47"/>
        <v>165.45</v>
      </c>
      <c r="AO342" s="22">
        <v>177.87142857142857</v>
      </c>
    </row>
    <row r="343" spans="1:41" x14ac:dyDescent="0.3">
      <c r="A343" s="27" t="s">
        <v>3</v>
      </c>
      <c r="B343" s="20">
        <v>2022</v>
      </c>
      <c r="C343" s="20" t="s">
        <v>9</v>
      </c>
      <c r="D343" s="21" t="str">
        <f t="shared" si="40"/>
        <v>Jul-22</v>
      </c>
      <c r="E343" s="33">
        <v>44743</v>
      </c>
      <c r="F343" s="20" t="s">
        <v>85</v>
      </c>
      <c r="G343" s="20">
        <v>156.5</v>
      </c>
      <c r="H343" s="20">
        <v>213</v>
      </c>
      <c r="I343" s="20">
        <v>175.2</v>
      </c>
      <c r="J343" s="20">
        <v>166.6</v>
      </c>
      <c r="K343" s="20">
        <v>195.8</v>
      </c>
      <c r="L343" s="20">
        <v>174.2</v>
      </c>
      <c r="M343" s="20">
        <v>182.1</v>
      </c>
      <c r="N343" s="20">
        <v>164.3</v>
      </c>
      <c r="O343" s="20">
        <v>120</v>
      </c>
      <c r="P343" s="20">
        <v>190</v>
      </c>
      <c r="Q343" s="20">
        <v>168.4</v>
      </c>
      <c r="R343" s="20">
        <v>185.2</v>
      </c>
      <c r="S343" s="20">
        <v>175</v>
      </c>
      <c r="T343" s="20">
        <v>194.6</v>
      </c>
      <c r="U343" s="20">
        <v>178.3</v>
      </c>
      <c r="V343" s="20">
        <v>171.3</v>
      </c>
      <c r="W343" s="20">
        <v>177.3</v>
      </c>
      <c r="X343" s="20">
        <v>167.8</v>
      </c>
      <c r="Y343" s="20">
        <v>179.6</v>
      </c>
      <c r="Z343" s="20">
        <v>167.4</v>
      </c>
      <c r="AA343" s="20">
        <v>176.1</v>
      </c>
      <c r="AB343" s="20">
        <v>161.6</v>
      </c>
      <c r="AC343" s="20">
        <v>166.3</v>
      </c>
      <c r="AD343" s="20">
        <v>171.4</v>
      </c>
      <c r="AE343" s="20">
        <v>169.7</v>
      </c>
      <c r="AF343" s="20">
        <v>168.4</v>
      </c>
      <c r="AG343" s="20">
        <v>173.4</v>
      </c>
      <c r="AH343" s="28">
        <f t="shared" si="41"/>
        <v>4338.8</v>
      </c>
      <c r="AI343" s="28">
        <f t="shared" si="42"/>
        <v>675.8</v>
      </c>
      <c r="AJ343" s="28">
        <f t="shared" si="43"/>
        <v>349.6</v>
      </c>
      <c r="AK343" s="28">
        <f t="shared" si="44"/>
        <v>335.20000000000005</v>
      </c>
      <c r="AL343" s="28">
        <f t="shared" si="45"/>
        <v>2460.9</v>
      </c>
      <c r="AM343" s="28">
        <f t="shared" si="46"/>
        <v>168.95</v>
      </c>
      <c r="AN343" s="28">
        <f t="shared" si="47"/>
        <v>167.60000000000002</v>
      </c>
      <c r="AO343" s="23">
        <v>175.77857142857144</v>
      </c>
    </row>
    <row r="344" spans="1:41" x14ac:dyDescent="0.3">
      <c r="A344" s="26" t="s">
        <v>0</v>
      </c>
      <c r="B344" s="21">
        <v>2022</v>
      </c>
      <c r="C344" s="21" t="s">
        <v>10</v>
      </c>
      <c r="D344" s="21" t="str">
        <f t="shared" si="40"/>
        <v>Aug-22</v>
      </c>
      <c r="E344" s="32">
        <v>44774</v>
      </c>
      <c r="F344" s="21" t="s">
        <v>85</v>
      </c>
      <c r="G344" s="21">
        <v>159.5</v>
      </c>
      <c r="H344" s="21">
        <v>204.1</v>
      </c>
      <c r="I344" s="21">
        <v>168.3</v>
      </c>
      <c r="J344" s="21">
        <v>167.9</v>
      </c>
      <c r="K344" s="21">
        <v>198.1</v>
      </c>
      <c r="L344" s="21">
        <v>169.2</v>
      </c>
      <c r="M344" s="21">
        <v>173.1</v>
      </c>
      <c r="N344" s="21">
        <v>167.1</v>
      </c>
      <c r="O344" s="21">
        <v>120.2</v>
      </c>
      <c r="P344" s="21">
        <v>195.6</v>
      </c>
      <c r="Q344" s="21">
        <v>174.8</v>
      </c>
      <c r="R344" s="21">
        <v>184</v>
      </c>
      <c r="S344" s="21">
        <v>173.9</v>
      </c>
      <c r="T344" s="21">
        <v>193.7</v>
      </c>
      <c r="U344" s="21">
        <v>183.2</v>
      </c>
      <c r="V344" s="21">
        <v>181.7</v>
      </c>
      <c r="W344" s="21">
        <v>183</v>
      </c>
      <c r="X344" s="28">
        <f>'Handle missing value sheet only'!$C$1</f>
        <v>139.27096774193564</v>
      </c>
      <c r="Y344" s="21">
        <v>179.1</v>
      </c>
      <c r="Z344" s="21">
        <v>172.3</v>
      </c>
      <c r="AA344" s="21">
        <v>179.4</v>
      </c>
      <c r="AB344" s="21">
        <v>166.6</v>
      </c>
      <c r="AC344" s="21">
        <v>169.3</v>
      </c>
      <c r="AD344" s="21">
        <v>175.7</v>
      </c>
      <c r="AE344" s="21">
        <v>171.1</v>
      </c>
      <c r="AF344" s="21">
        <v>172.6</v>
      </c>
      <c r="AG344" s="21">
        <v>175.3</v>
      </c>
      <c r="AH344" s="28">
        <f t="shared" si="41"/>
        <v>4339.7709677419352</v>
      </c>
      <c r="AI344" s="28">
        <f t="shared" si="42"/>
        <v>688.7</v>
      </c>
      <c r="AJ344" s="28">
        <f t="shared" si="43"/>
        <v>364.9</v>
      </c>
      <c r="AK344" s="28">
        <f t="shared" si="44"/>
        <v>311.57096774193565</v>
      </c>
      <c r="AL344" s="28">
        <f t="shared" si="45"/>
        <v>2449.4999999999995</v>
      </c>
      <c r="AM344" s="28">
        <f t="shared" si="46"/>
        <v>172.17500000000001</v>
      </c>
      <c r="AN344" s="28">
        <f t="shared" si="47"/>
        <v>155.78548387096782</v>
      </c>
      <c r="AO344" s="22">
        <v>174.96428571428569</v>
      </c>
    </row>
    <row r="345" spans="1:41" x14ac:dyDescent="0.3">
      <c r="A345" s="27" t="s">
        <v>2</v>
      </c>
      <c r="B345" s="20">
        <v>2022</v>
      </c>
      <c r="C345" s="20" t="s">
        <v>10</v>
      </c>
      <c r="D345" s="21" t="str">
        <f t="shared" si="40"/>
        <v>Aug-22</v>
      </c>
      <c r="E345" s="33">
        <v>44774</v>
      </c>
      <c r="F345" s="20" t="s">
        <v>85</v>
      </c>
      <c r="G345" s="20">
        <v>162.1</v>
      </c>
      <c r="H345" s="20">
        <v>210.9</v>
      </c>
      <c r="I345" s="20">
        <v>170.6</v>
      </c>
      <c r="J345" s="20">
        <v>168.4</v>
      </c>
      <c r="K345" s="20">
        <v>182.5</v>
      </c>
      <c r="L345" s="20">
        <v>177.1</v>
      </c>
      <c r="M345" s="20">
        <v>213.1</v>
      </c>
      <c r="N345" s="20">
        <v>167.3</v>
      </c>
      <c r="O345" s="20">
        <v>122.2</v>
      </c>
      <c r="P345" s="20">
        <v>189.7</v>
      </c>
      <c r="Q345" s="20">
        <v>160.5</v>
      </c>
      <c r="R345" s="20">
        <v>188.9</v>
      </c>
      <c r="S345" s="20">
        <v>180.4</v>
      </c>
      <c r="T345" s="20">
        <v>198.7</v>
      </c>
      <c r="U345" s="20">
        <v>173.7</v>
      </c>
      <c r="V345" s="20">
        <v>160</v>
      </c>
      <c r="W345" s="20">
        <v>171.6</v>
      </c>
      <c r="X345" s="20">
        <v>169</v>
      </c>
      <c r="Y345" s="20">
        <v>178.4</v>
      </c>
      <c r="Z345" s="20">
        <v>164.2</v>
      </c>
      <c r="AA345" s="20">
        <v>172.6</v>
      </c>
      <c r="AB345" s="20">
        <v>157.69999999999999</v>
      </c>
      <c r="AC345" s="20">
        <v>165.1</v>
      </c>
      <c r="AD345" s="20">
        <v>169.9</v>
      </c>
      <c r="AE345" s="20">
        <v>171.4</v>
      </c>
      <c r="AF345" s="20">
        <v>165.4</v>
      </c>
      <c r="AG345" s="20">
        <v>173.1</v>
      </c>
      <c r="AH345" s="28">
        <f t="shared" si="41"/>
        <v>4339.8</v>
      </c>
      <c r="AI345" s="28">
        <f t="shared" si="42"/>
        <v>671.80000000000007</v>
      </c>
      <c r="AJ345" s="28">
        <f t="shared" si="43"/>
        <v>333.7</v>
      </c>
      <c r="AK345" s="28">
        <f t="shared" si="44"/>
        <v>333.2</v>
      </c>
      <c r="AL345" s="28">
        <f t="shared" si="45"/>
        <v>2492.3999999999996</v>
      </c>
      <c r="AM345" s="28">
        <f t="shared" si="46"/>
        <v>167.95000000000002</v>
      </c>
      <c r="AN345" s="28">
        <f t="shared" si="47"/>
        <v>166.6</v>
      </c>
      <c r="AO345" s="23">
        <v>178.02857142857141</v>
      </c>
    </row>
    <row r="346" spans="1:41" x14ac:dyDescent="0.3">
      <c r="A346" s="26" t="s">
        <v>3</v>
      </c>
      <c r="B346" s="21">
        <v>2022</v>
      </c>
      <c r="C346" s="21" t="s">
        <v>10</v>
      </c>
      <c r="D346" s="21" t="str">
        <f t="shared" si="40"/>
        <v>Aug-22</v>
      </c>
      <c r="E346" s="32">
        <v>44774</v>
      </c>
      <c r="F346" s="21" t="s">
        <v>85</v>
      </c>
      <c r="G346" s="21">
        <v>160.30000000000001</v>
      </c>
      <c r="H346" s="21">
        <v>206.5</v>
      </c>
      <c r="I346" s="21">
        <v>169.2</v>
      </c>
      <c r="J346" s="21">
        <v>168.1</v>
      </c>
      <c r="K346" s="21">
        <v>192.4</v>
      </c>
      <c r="L346" s="21">
        <v>172.9</v>
      </c>
      <c r="M346" s="21">
        <v>186.7</v>
      </c>
      <c r="N346" s="21">
        <v>167.2</v>
      </c>
      <c r="O346" s="21">
        <v>120.9</v>
      </c>
      <c r="P346" s="21">
        <v>193.6</v>
      </c>
      <c r="Q346" s="21">
        <v>168.8</v>
      </c>
      <c r="R346" s="21">
        <v>186.3</v>
      </c>
      <c r="S346" s="21">
        <v>176.3</v>
      </c>
      <c r="T346" s="21">
        <v>195</v>
      </c>
      <c r="U346" s="21">
        <v>179.5</v>
      </c>
      <c r="V346" s="21">
        <v>172.7</v>
      </c>
      <c r="W346" s="21">
        <v>178.5</v>
      </c>
      <c r="X346" s="21">
        <v>169</v>
      </c>
      <c r="Y346" s="21">
        <v>178.8</v>
      </c>
      <c r="Z346" s="21">
        <v>168.5</v>
      </c>
      <c r="AA346" s="21">
        <v>176.8</v>
      </c>
      <c r="AB346" s="21">
        <v>161.9</v>
      </c>
      <c r="AC346" s="21">
        <v>166.9</v>
      </c>
      <c r="AD346" s="21">
        <v>172.3</v>
      </c>
      <c r="AE346" s="21">
        <v>171.2</v>
      </c>
      <c r="AF346" s="21">
        <v>169.1</v>
      </c>
      <c r="AG346" s="21">
        <v>174.3</v>
      </c>
      <c r="AH346" s="28">
        <f t="shared" si="41"/>
        <v>4350.8999999999996</v>
      </c>
      <c r="AI346" s="28">
        <f t="shared" si="42"/>
        <v>679.49999999999989</v>
      </c>
      <c r="AJ346" s="28">
        <f t="shared" si="43"/>
        <v>352.2</v>
      </c>
      <c r="AK346" s="28">
        <f t="shared" si="44"/>
        <v>337.5</v>
      </c>
      <c r="AL346" s="28">
        <f t="shared" si="45"/>
        <v>2464.2000000000003</v>
      </c>
      <c r="AM346" s="28">
        <f t="shared" si="46"/>
        <v>169.87499999999997</v>
      </c>
      <c r="AN346" s="28">
        <f t="shared" si="47"/>
        <v>168.75</v>
      </c>
      <c r="AO346" s="22">
        <v>176.01428571428573</v>
      </c>
    </row>
    <row r="347" spans="1:41" x14ac:dyDescent="0.3">
      <c r="A347" s="27" t="s">
        <v>0</v>
      </c>
      <c r="B347" s="20">
        <v>2022</v>
      </c>
      <c r="C347" s="20" t="s">
        <v>11</v>
      </c>
      <c r="D347" s="21" t="str">
        <f t="shared" si="40"/>
        <v>Sep-22</v>
      </c>
      <c r="E347" s="33">
        <v>44805</v>
      </c>
      <c r="F347" s="20" t="s">
        <v>85</v>
      </c>
      <c r="G347" s="20">
        <v>162.9</v>
      </c>
      <c r="H347" s="20">
        <v>206.7</v>
      </c>
      <c r="I347" s="20">
        <v>169</v>
      </c>
      <c r="J347" s="20">
        <v>169.5</v>
      </c>
      <c r="K347" s="20">
        <v>194.1</v>
      </c>
      <c r="L347" s="20">
        <v>164.1</v>
      </c>
      <c r="M347" s="20">
        <v>176.9</v>
      </c>
      <c r="N347" s="20">
        <v>169</v>
      </c>
      <c r="O347" s="20">
        <v>120.8</v>
      </c>
      <c r="P347" s="20">
        <v>199.1</v>
      </c>
      <c r="Q347" s="20">
        <v>175.4</v>
      </c>
      <c r="R347" s="20">
        <v>184.8</v>
      </c>
      <c r="S347" s="20">
        <v>175.5</v>
      </c>
      <c r="T347" s="20">
        <v>194.5</v>
      </c>
      <c r="U347" s="20">
        <v>184.7</v>
      </c>
      <c r="V347" s="20">
        <v>183.3</v>
      </c>
      <c r="W347" s="20">
        <v>184.5</v>
      </c>
      <c r="X347" s="30">
        <f>'Handle missing value sheet only'!$C$1</f>
        <v>139.27096774193564</v>
      </c>
      <c r="Y347" s="20">
        <v>179.7</v>
      </c>
      <c r="Z347" s="20">
        <v>173.6</v>
      </c>
      <c r="AA347" s="20">
        <v>180.2</v>
      </c>
      <c r="AB347" s="20">
        <v>166.9</v>
      </c>
      <c r="AC347" s="20">
        <v>170</v>
      </c>
      <c r="AD347" s="20">
        <v>176.2</v>
      </c>
      <c r="AE347" s="20">
        <v>170.8</v>
      </c>
      <c r="AF347" s="20">
        <v>173.1</v>
      </c>
      <c r="AG347" s="20">
        <v>176.4</v>
      </c>
      <c r="AH347" s="28">
        <f t="shared" si="41"/>
        <v>4360.0709677419363</v>
      </c>
      <c r="AI347" s="28">
        <f t="shared" si="42"/>
        <v>690.09999999999991</v>
      </c>
      <c r="AJ347" s="28">
        <f t="shared" si="43"/>
        <v>368</v>
      </c>
      <c r="AK347" s="28">
        <f t="shared" si="44"/>
        <v>312.8709677419356</v>
      </c>
      <c r="AL347" s="28">
        <f t="shared" si="45"/>
        <v>2462.3000000000002</v>
      </c>
      <c r="AM347" s="28">
        <f t="shared" si="46"/>
        <v>172.52499999999998</v>
      </c>
      <c r="AN347" s="28">
        <f t="shared" si="47"/>
        <v>156.4354838709678</v>
      </c>
      <c r="AO347" s="23">
        <v>175.87857142857143</v>
      </c>
    </row>
    <row r="348" spans="1:41" x14ac:dyDescent="0.3">
      <c r="A348" s="26" t="s">
        <v>2</v>
      </c>
      <c r="B348" s="21">
        <v>2022</v>
      </c>
      <c r="C348" s="21" t="s">
        <v>11</v>
      </c>
      <c r="D348" s="21" t="str">
        <f t="shared" si="40"/>
        <v>Sep-22</v>
      </c>
      <c r="E348" s="32">
        <v>44805</v>
      </c>
      <c r="F348" s="21" t="s">
        <v>85</v>
      </c>
      <c r="G348" s="21">
        <v>164.9</v>
      </c>
      <c r="H348" s="21">
        <v>213.7</v>
      </c>
      <c r="I348" s="21">
        <v>170.9</v>
      </c>
      <c r="J348" s="21">
        <v>170.1</v>
      </c>
      <c r="K348" s="21">
        <v>179.3</v>
      </c>
      <c r="L348" s="21">
        <v>167.5</v>
      </c>
      <c r="M348" s="21">
        <v>220.8</v>
      </c>
      <c r="N348" s="21">
        <v>169.2</v>
      </c>
      <c r="O348" s="21">
        <v>123.1</v>
      </c>
      <c r="P348" s="21">
        <v>193.6</v>
      </c>
      <c r="Q348" s="21">
        <v>161.1</v>
      </c>
      <c r="R348" s="21">
        <v>190.4</v>
      </c>
      <c r="S348" s="21">
        <v>181.8</v>
      </c>
      <c r="T348" s="21">
        <v>199.7</v>
      </c>
      <c r="U348" s="21">
        <v>175</v>
      </c>
      <c r="V348" s="21">
        <v>161.69999999999999</v>
      </c>
      <c r="W348" s="21">
        <v>173</v>
      </c>
      <c r="X348" s="21">
        <v>169.5</v>
      </c>
      <c r="Y348" s="21">
        <v>179.2</v>
      </c>
      <c r="Z348" s="21">
        <v>165</v>
      </c>
      <c r="AA348" s="21">
        <v>173.8</v>
      </c>
      <c r="AB348" s="21">
        <v>158.19999999999999</v>
      </c>
      <c r="AC348" s="21">
        <v>165.8</v>
      </c>
      <c r="AD348" s="21">
        <v>170.9</v>
      </c>
      <c r="AE348" s="21">
        <v>171.1</v>
      </c>
      <c r="AF348" s="21">
        <v>166.1</v>
      </c>
      <c r="AG348" s="21">
        <v>174.1</v>
      </c>
      <c r="AH348" s="28">
        <f t="shared" si="41"/>
        <v>4362.3999999999996</v>
      </c>
      <c r="AI348" s="28">
        <f t="shared" si="42"/>
        <v>673.90000000000009</v>
      </c>
      <c r="AJ348" s="28">
        <f t="shared" si="43"/>
        <v>336.7</v>
      </c>
      <c r="AK348" s="28">
        <f t="shared" si="44"/>
        <v>334.5</v>
      </c>
      <c r="AL348" s="28">
        <f t="shared" si="45"/>
        <v>2506.1</v>
      </c>
      <c r="AM348" s="28">
        <f t="shared" si="46"/>
        <v>168.47500000000002</v>
      </c>
      <c r="AN348" s="28">
        <f t="shared" si="47"/>
        <v>167.25</v>
      </c>
      <c r="AO348" s="22">
        <v>179.00714285714284</v>
      </c>
    </row>
    <row r="349" spans="1:41" x14ac:dyDescent="0.3">
      <c r="A349" s="27" t="s">
        <v>3</v>
      </c>
      <c r="B349" s="20">
        <v>2022</v>
      </c>
      <c r="C349" s="20" t="s">
        <v>11</v>
      </c>
      <c r="D349" s="21" t="str">
        <f t="shared" si="40"/>
        <v>Sep-22</v>
      </c>
      <c r="E349" s="33">
        <v>44805</v>
      </c>
      <c r="F349" s="20" t="s">
        <v>85</v>
      </c>
      <c r="G349" s="20">
        <v>163.5</v>
      </c>
      <c r="H349" s="20">
        <v>209.2</v>
      </c>
      <c r="I349" s="20">
        <v>169.7</v>
      </c>
      <c r="J349" s="20">
        <v>169.7</v>
      </c>
      <c r="K349" s="20">
        <v>188.7</v>
      </c>
      <c r="L349" s="20">
        <v>165.7</v>
      </c>
      <c r="M349" s="20">
        <v>191.8</v>
      </c>
      <c r="N349" s="20">
        <v>169.1</v>
      </c>
      <c r="O349" s="20">
        <v>121.6</v>
      </c>
      <c r="P349" s="20">
        <v>197.3</v>
      </c>
      <c r="Q349" s="20">
        <v>169.4</v>
      </c>
      <c r="R349" s="20">
        <v>187.4</v>
      </c>
      <c r="S349" s="20">
        <v>177.8</v>
      </c>
      <c r="T349" s="20">
        <v>195.9</v>
      </c>
      <c r="U349" s="20">
        <v>180.9</v>
      </c>
      <c r="V349" s="20">
        <v>174.3</v>
      </c>
      <c r="W349" s="20">
        <v>179.9</v>
      </c>
      <c r="X349" s="20">
        <v>169.5</v>
      </c>
      <c r="Y349" s="20">
        <v>179.5</v>
      </c>
      <c r="Z349" s="20">
        <v>169.5</v>
      </c>
      <c r="AA349" s="20">
        <v>177.8</v>
      </c>
      <c r="AB349" s="20">
        <v>162.30000000000001</v>
      </c>
      <c r="AC349" s="20">
        <v>167.6</v>
      </c>
      <c r="AD349" s="20">
        <v>173.1</v>
      </c>
      <c r="AE349" s="20">
        <v>170.9</v>
      </c>
      <c r="AF349" s="20">
        <v>169.7</v>
      </c>
      <c r="AG349" s="20">
        <v>175.3</v>
      </c>
      <c r="AH349" s="28">
        <f t="shared" si="41"/>
        <v>4371.8999999999996</v>
      </c>
      <c r="AI349" s="28">
        <f t="shared" si="42"/>
        <v>681.30000000000007</v>
      </c>
      <c r="AJ349" s="28">
        <f t="shared" si="43"/>
        <v>355.20000000000005</v>
      </c>
      <c r="AK349" s="28">
        <f t="shared" si="44"/>
        <v>339</v>
      </c>
      <c r="AL349" s="28">
        <f t="shared" si="45"/>
        <v>2476.8000000000002</v>
      </c>
      <c r="AM349" s="28">
        <f t="shared" si="46"/>
        <v>170.32500000000002</v>
      </c>
      <c r="AN349" s="28">
        <f t="shared" si="47"/>
        <v>169.5</v>
      </c>
      <c r="AO349" s="23">
        <v>176.91428571428574</v>
      </c>
    </row>
    <row r="350" spans="1:41" x14ac:dyDescent="0.3">
      <c r="A350" s="26" t="s">
        <v>0</v>
      </c>
      <c r="B350" s="21">
        <v>2022</v>
      </c>
      <c r="C350" s="21" t="s">
        <v>12</v>
      </c>
      <c r="D350" s="21" t="str">
        <f t="shared" si="40"/>
        <v>Oct-22</v>
      </c>
      <c r="E350" s="32">
        <v>44835</v>
      </c>
      <c r="F350" s="21" t="s">
        <v>85</v>
      </c>
      <c r="G350" s="21">
        <v>164.7</v>
      </c>
      <c r="H350" s="21">
        <v>208.8</v>
      </c>
      <c r="I350" s="21">
        <v>170.3</v>
      </c>
      <c r="J350" s="21">
        <v>170.9</v>
      </c>
      <c r="K350" s="21">
        <v>191.6</v>
      </c>
      <c r="L350" s="21">
        <v>162.19999999999999</v>
      </c>
      <c r="M350" s="21">
        <v>184.8</v>
      </c>
      <c r="N350" s="21">
        <v>169.7</v>
      </c>
      <c r="O350" s="21">
        <v>121.1</v>
      </c>
      <c r="P350" s="21">
        <v>201.6</v>
      </c>
      <c r="Q350" s="21">
        <v>175.8</v>
      </c>
      <c r="R350" s="21">
        <v>185.6</v>
      </c>
      <c r="S350" s="21">
        <v>177.4</v>
      </c>
      <c r="T350" s="21">
        <v>194.9</v>
      </c>
      <c r="U350" s="21">
        <v>186.1</v>
      </c>
      <c r="V350" s="21">
        <v>184.4</v>
      </c>
      <c r="W350" s="21">
        <v>185.9</v>
      </c>
      <c r="X350" s="28">
        <f>'Handle missing value sheet only'!$C$1</f>
        <v>139.27096774193564</v>
      </c>
      <c r="Y350" s="21">
        <v>180.8</v>
      </c>
      <c r="Z350" s="21">
        <v>174.4</v>
      </c>
      <c r="AA350" s="21">
        <v>181.2</v>
      </c>
      <c r="AB350" s="21">
        <v>167.4</v>
      </c>
      <c r="AC350" s="21">
        <v>170.6</v>
      </c>
      <c r="AD350" s="21">
        <v>176.5</v>
      </c>
      <c r="AE350" s="21">
        <v>172</v>
      </c>
      <c r="AF350" s="21">
        <v>173.9</v>
      </c>
      <c r="AG350" s="21">
        <v>177.9</v>
      </c>
      <c r="AH350" s="28">
        <f t="shared" si="41"/>
        <v>4385.9709677419351</v>
      </c>
      <c r="AI350" s="28">
        <f t="shared" si="42"/>
        <v>693</v>
      </c>
      <c r="AJ350" s="28">
        <f t="shared" si="43"/>
        <v>370.5</v>
      </c>
      <c r="AK350" s="28">
        <f t="shared" si="44"/>
        <v>313.67096774193567</v>
      </c>
      <c r="AL350" s="28">
        <f t="shared" si="45"/>
        <v>2479.4</v>
      </c>
      <c r="AM350" s="28">
        <f t="shared" si="46"/>
        <v>173.25</v>
      </c>
      <c r="AN350" s="28">
        <f t="shared" si="47"/>
        <v>156.83548387096783</v>
      </c>
      <c r="AO350" s="22">
        <v>177.1</v>
      </c>
    </row>
    <row r="351" spans="1:41" x14ac:dyDescent="0.3">
      <c r="A351" s="27" t="s">
        <v>2</v>
      </c>
      <c r="B351" s="20">
        <v>2022</v>
      </c>
      <c r="C351" s="20" t="s">
        <v>12</v>
      </c>
      <c r="D351" s="21" t="str">
        <f t="shared" si="40"/>
        <v>Oct-22</v>
      </c>
      <c r="E351" s="33">
        <v>44835</v>
      </c>
      <c r="F351" s="20" t="s">
        <v>85</v>
      </c>
      <c r="G351" s="20">
        <v>166.4</v>
      </c>
      <c r="H351" s="20">
        <v>214.9</v>
      </c>
      <c r="I351" s="20">
        <v>171.9</v>
      </c>
      <c r="J351" s="20">
        <v>171</v>
      </c>
      <c r="K351" s="20">
        <v>177.7</v>
      </c>
      <c r="L351" s="20">
        <v>165.7</v>
      </c>
      <c r="M351" s="20">
        <v>228.6</v>
      </c>
      <c r="N351" s="20">
        <v>169.9</v>
      </c>
      <c r="O351" s="20">
        <v>123.4</v>
      </c>
      <c r="P351" s="20">
        <v>196.4</v>
      </c>
      <c r="Q351" s="20">
        <v>161.6</v>
      </c>
      <c r="R351" s="20">
        <v>191.5</v>
      </c>
      <c r="S351" s="20">
        <v>183.3</v>
      </c>
      <c r="T351" s="20">
        <v>200.1</v>
      </c>
      <c r="U351" s="20">
        <v>175.5</v>
      </c>
      <c r="V351" s="20">
        <v>162.6</v>
      </c>
      <c r="W351" s="20">
        <v>173.6</v>
      </c>
      <c r="X351" s="20">
        <v>171.2</v>
      </c>
      <c r="Y351" s="20">
        <v>180</v>
      </c>
      <c r="Z351" s="20">
        <v>166</v>
      </c>
      <c r="AA351" s="20">
        <v>174.7</v>
      </c>
      <c r="AB351" s="20">
        <v>158.80000000000001</v>
      </c>
      <c r="AC351" s="20">
        <v>166.3</v>
      </c>
      <c r="AD351" s="20">
        <v>171.2</v>
      </c>
      <c r="AE351" s="20">
        <v>172.3</v>
      </c>
      <c r="AF351" s="20">
        <v>166.8</v>
      </c>
      <c r="AG351" s="20">
        <v>175.3</v>
      </c>
      <c r="AH351" s="28">
        <f t="shared" si="41"/>
        <v>4387.8</v>
      </c>
      <c r="AI351" s="28">
        <f t="shared" si="42"/>
        <v>676.6</v>
      </c>
      <c r="AJ351" s="28">
        <f t="shared" si="43"/>
        <v>338.1</v>
      </c>
      <c r="AK351" s="28">
        <f t="shared" si="44"/>
        <v>337.2</v>
      </c>
      <c r="AL351" s="28">
        <f t="shared" si="45"/>
        <v>2522.4</v>
      </c>
      <c r="AM351" s="28">
        <f t="shared" si="46"/>
        <v>169.15</v>
      </c>
      <c r="AN351" s="28">
        <f t="shared" si="47"/>
        <v>168.6</v>
      </c>
      <c r="AO351" s="23">
        <v>180.17142857142858</v>
      </c>
    </row>
    <row r="352" spans="1:41" x14ac:dyDescent="0.3">
      <c r="A352" s="26" t="s">
        <v>3</v>
      </c>
      <c r="B352" s="21">
        <v>2022</v>
      </c>
      <c r="C352" s="21" t="s">
        <v>12</v>
      </c>
      <c r="D352" s="21" t="str">
        <f t="shared" si="40"/>
        <v>Oct-22</v>
      </c>
      <c r="E352" s="32">
        <v>44835</v>
      </c>
      <c r="F352" s="21" t="s">
        <v>85</v>
      </c>
      <c r="G352" s="21">
        <v>165.2</v>
      </c>
      <c r="H352" s="21">
        <v>210.9</v>
      </c>
      <c r="I352" s="21">
        <v>170.9</v>
      </c>
      <c r="J352" s="21">
        <v>170.9</v>
      </c>
      <c r="K352" s="21">
        <v>186.5</v>
      </c>
      <c r="L352" s="21">
        <v>163.80000000000001</v>
      </c>
      <c r="M352" s="21">
        <v>199.7</v>
      </c>
      <c r="N352" s="21">
        <v>169.8</v>
      </c>
      <c r="O352" s="21">
        <v>121.9</v>
      </c>
      <c r="P352" s="21">
        <v>199.9</v>
      </c>
      <c r="Q352" s="21">
        <v>169.9</v>
      </c>
      <c r="R352" s="21">
        <v>188.3</v>
      </c>
      <c r="S352" s="21">
        <v>179.6</v>
      </c>
      <c r="T352" s="21">
        <v>196.3</v>
      </c>
      <c r="U352" s="21">
        <v>181.9</v>
      </c>
      <c r="V352" s="21">
        <v>175.3</v>
      </c>
      <c r="W352" s="21">
        <v>181</v>
      </c>
      <c r="X352" s="21">
        <v>171.2</v>
      </c>
      <c r="Y352" s="21">
        <v>180.5</v>
      </c>
      <c r="Z352" s="21">
        <v>170.4</v>
      </c>
      <c r="AA352" s="21">
        <v>178.7</v>
      </c>
      <c r="AB352" s="21">
        <v>162.9</v>
      </c>
      <c r="AC352" s="21">
        <v>168.2</v>
      </c>
      <c r="AD352" s="21">
        <v>173.4</v>
      </c>
      <c r="AE352" s="21">
        <v>172.1</v>
      </c>
      <c r="AF352" s="21">
        <v>170.5</v>
      </c>
      <c r="AG352" s="21">
        <v>176.7</v>
      </c>
      <c r="AH352" s="28">
        <f t="shared" si="41"/>
        <v>4398.7000000000007</v>
      </c>
      <c r="AI352" s="28">
        <f t="shared" si="42"/>
        <v>684.2</v>
      </c>
      <c r="AJ352" s="28">
        <f t="shared" si="43"/>
        <v>357.20000000000005</v>
      </c>
      <c r="AK352" s="28">
        <f t="shared" si="44"/>
        <v>341.6</v>
      </c>
      <c r="AL352" s="28">
        <f t="shared" si="45"/>
        <v>2493.6000000000004</v>
      </c>
      <c r="AM352" s="28">
        <f t="shared" si="46"/>
        <v>171.05</v>
      </c>
      <c r="AN352" s="28">
        <f t="shared" si="47"/>
        <v>170.8</v>
      </c>
      <c r="AO352" s="22">
        <v>178.11428571428573</v>
      </c>
    </row>
    <row r="353" spans="1:41" x14ac:dyDescent="0.3">
      <c r="A353" s="27" t="s">
        <v>0</v>
      </c>
      <c r="B353" s="20">
        <v>2022</v>
      </c>
      <c r="C353" s="20" t="s">
        <v>14</v>
      </c>
      <c r="D353" s="21" t="str">
        <f t="shared" si="40"/>
        <v>Nov-22</v>
      </c>
      <c r="E353" s="33">
        <v>44866</v>
      </c>
      <c r="F353" s="20" t="s">
        <v>85</v>
      </c>
      <c r="G353" s="20">
        <v>166.9</v>
      </c>
      <c r="H353" s="20">
        <v>207.2</v>
      </c>
      <c r="I353" s="20">
        <v>180.2</v>
      </c>
      <c r="J353" s="20">
        <v>172.3</v>
      </c>
      <c r="K353" s="20">
        <v>194</v>
      </c>
      <c r="L353" s="20">
        <v>159.1</v>
      </c>
      <c r="M353" s="20">
        <v>171.6</v>
      </c>
      <c r="N353" s="20">
        <v>170.2</v>
      </c>
      <c r="O353" s="20">
        <v>121.5</v>
      </c>
      <c r="P353" s="20">
        <v>204.8</v>
      </c>
      <c r="Q353" s="20">
        <v>176.4</v>
      </c>
      <c r="R353" s="20">
        <v>186.9</v>
      </c>
      <c r="S353" s="20">
        <v>176.6</v>
      </c>
      <c r="T353" s="20">
        <v>195.5</v>
      </c>
      <c r="U353" s="20">
        <v>187.2</v>
      </c>
      <c r="V353" s="20">
        <v>185.2</v>
      </c>
      <c r="W353" s="20">
        <v>186.9</v>
      </c>
      <c r="X353" s="30">
        <f>'Handle missing value sheet only'!$C$1</f>
        <v>139.27096774193564</v>
      </c>
      <c r="Y353" s="20">
        <v>181.9</v>
      </c>
      <c r="Z353" s="20">
        <v>175.5</v>
      </c>
      <c r="AA353" s="20">
        <v>182.3</v>
      </c>
      <c r="AB353" s="20">
        <v>167.5</v>
      </c>
      <c r="AC353" s="20">
        <v>170.8</v>
      </c>
      <c r="AD353" s="20">
        <v>176.9</v>
      </c>
      <c r="AE353" s="20">
        <v>173.4</v>
      </c>
      <c r="AF353" s="20">
        <v>174.6</v>
      </c>
      <c r="AG353" s="20">
        <v>177.8</v>
      </c>
      <c r="AH353" s="28">
        <f t="shared" si="41"/>
        <v>4397.7709677419361</v>
      </c>
      <c r="AI353" s="28">
        <f t="shared" si="42"/>
        <v>695.7</v>
      </c>
      <c r="AJ353" s="28">
        <f t="shared" si="43"/>
        <v>372.4</v>
      </c>
      <c r="AK353" s="28">
        <f t="shared" si="44"/>
        <v>314.77096774193564</v>
      </c>
      <c r="AL353" s="28">
        <f t="shared" si="45"/>
        <v>2483.1999999999998</v>
      </c>
      <c r="AM353" s="28">
        <f t="shared" si="46"/>
        <v>173.92500000000001</v>
      </c>
      <c r="AN353" s="28">
        <f t="shared" si="47"/>
        <v>157.38548387096782</v>
      </c>
      <c r="AO353" s="23">
        <v>177.37142857142857</v>
      </c>
    </row>
    <row r="354" spans="1:41" x14ac:dyDescent="0.3">
      <c r="A354" s="26" t="s">
        <v>2</v>
      </c>
      <c r="B354" s="21">
        <v>2022</v>
      </c>
      <c r="C354" s="21" t="s">
        <v>14</v>
      </c>
      <c r="D354" s="21" t="str">
        <f t="shared" si="40"/>
        <v>Nov-22</v>
      </c>
      <c r="E354" s="32">
        <v>44866</v>
      </c>
      <c r="F354" s="21" t="s">
        <v>85</v>
      </c>
      <c r="G354" s="21">
        <v>168.4</v>
      </c>
      <c r="H354" s="21">
        <v>213.4</v>
      </c>
      <c r="I354" s="21">
        <v>183.2</v>
      </c>
      <c r="J354" s="21">
        <v>172.3</v>
      </c>
      <c r="K354" s="21">
        <v>180</v>
      </c>
      <c r="L354" s="21">
        <v>162.6</v>
      </c>
      <c r="M354" s="21">
        <v>205.5</v>
      </c>
      <c r="N354" s="21">
        <v>171</v>
      </c>
      <c r="O354" s="21">
        <v>123.4</v>
      </c>
      <c r="P354" s="21">
        <v>198.8</v>
      </c>
      <c r="Q354" s="21">
        <v>162.1</v>
      </c>
      <c r="R354" s="21">
        <v>192.4</v>
      </c>
      <c r="S354" s="21">
        <v>181.3</v>
      </c>
      <c r="T354" s="21">
        <v>200.6</v>
      </c>
      <c r="U354" s="21">
        <v>176.7</v>
      </c>
      <c r="V354" s="21">
        <v>163.5</v>
      </c>
      <c r="W354" s="21">
        <v>174.7</v>
      </c>
      <c r="X354" s="21">
        <v>171.8</v>
      </c>
      <c r="Y354" s="21">
        <v>180.3</v>
      </c>
      <c r="Z354" s="21">
        <v>166.9</v>
      </c>
      <c r="AA354" s="21">
        <v>175.8</v>
      </c>
      <c r="AB354" s="21">
        <v>158.9</v>
      </c>
      <c r="AC354" s="21">
        <v>166.7</v>
      </c>
      <c r="AD354" s="21">
        <v>171.5</v>
      </c>
      <c r="AE354" s="21">
        <v>173.8</v>
      </c>
      <c r="AF354" s="21">
        <v>167.4</v>
      </c>
      <c r="AG354" s="21">
        <v>174.1</v>
      </c>
      <c r="AH354" s="28">
        <f t="shared" si="41"/>
        <v>4388.3</v>
      </c>
      <c r="AI354" s="28">
        <f t="shared" si="42"/>
        <v>679.40000000000009</v>
      </c>
      <c r="AJ354" s="28">
        <f t="shared" si="43"/>
        <v>340.2</v>
      </c>
      <c r="AK354" s="28">
        <f t="shared" si="44"/>
        <v>338.70000000000005</v>
      </c>
      <c r="AL354" s="28">
        <f t="shared" si="45"/>
        <v>2515</v>
      </c>
      <c r="AM354" s="28">
        <f t="shared" si="46"/>
        <v>169.85000000000002</v>
      </c>
      <c r="AN354" s="28">
        <f t="shared" si="47"/>
        <v>169.35000000000002</v>
      </c>
      <c r="AO354" s="22">
        <v>179.64285714285714</v>
      </c>
    </row>
    <row r="355" spans="1:41" x14ac:dyDescent="0.3">
      <c r="A355" s="27" t="s">
        <v>3</v>
      </c>
      <c r="B355" s="20">
        <v>2022</v>
      </c>
      <c r="C355" s="20" t="s">
        <v>14</v>
      </c>
      <c r="D355" s="21" t="str">
        <f t="shared" si="40"/>
        <v>Nov-22</v>
      </c>
      <c r="E355" s="33">
        <v>44866</v>
      </c>
      <c r="F355" s="20" t="s">
        <v>85</v>
      </c>
      <c r="G355" s="20">
        <v>167.4</v>
      </c>
      <c r="H355" s="20">
        <v>209.4</v>
      </c>
      <c r="I355" s="20">
        <v>181.4</v>
      </c>
      <c r="J355" s="20">
        <v>172.3</v>
      </c>
      <c r="K355" s="20">
        <v>188.9</v>
      </c>
      <c r="L355" s="20">
        <v>160.69999999999999</v>
      </c>
      <c r="M355" s="20">
        <v>183.1</v>
      </c>
      <c r="N355" s="20">
        <v>170.5</v>
      </c>
      <c r="O355" s="20">
        <v>122.1</v>
      </c>
      <c r="P355" s="20">
        <v>202.8</v>
      </c>
      <c r="Q355" s="20">
        <v>170.4</v>
      </c>
      <c r="R355" s="20">
        <v>189.5</v>
      </c>
      <c r="S355" s="20">
        <v>178.3</v>
      </c>
      <c r="T355" s="20">
        <v>196.9</v>
      </c>
      <c r="U355" s="20">
        <v>183.1</v>
      </c>
      <c r="V355" s="20">
        <v>176.2</v>
      </c>
      <c r="W355" s="20">
        <v>182.1</v>
      </c>
      <c r="X355" s="20">
        <v>171.8</v>
      </c>
      <c r="Y355" s="20">
        <v>181.3</v>
      </c>
      <c r="Z355" s="20">
        <v>171.4</v>
      </c>
      <c r="AA355" s="20">
        <v>179.8</v>
      </c>
      <c r="AB355" s="20">
        <v>163</v>
      </c>
      <c r="AC355" s="20">
        <v>168.5</v>
      </c>
      <c r="AD355" s="20">
        <v>173.7</v>
      </c>
      <c r="AE355" s="20">
        <v>173.6</v>
      </c>
      <c r="AF355" s="20">
        <v>171.1</v>
      </c>
      <c r="AG355" s="20">
        <v>176.5</v>
      </c>
      <c r="AH355" s="28">
        <f t="shared" si="41"/>
        <v>4407.2000000000007</v>
      </c>
      <c r="AI355" s="28">
        <f t="shared" si="42"/>
        <v>686.9</v>
      </c>
      <c r="AJ355" s="28">
        <f t="shared" si="43"/>
        <v>359.29999999999995</v>
      </c>
      <c r="AK355" s="28">
        <f t="shared" si="44"/>
        <v>343.20000000000005</v>
      </c>
      <c r="AL355" s="28">
        <f t="shared" si="45"/>
        <v>2493.7000000000003</v>
      </c>
      <c r="AM355" s="28">
        <f t="shared" si="46"/>
        <v>171.72499999999999</v>
      </c>
      <c r="AN355" s="28">
        <f t="shared" si="47"/>
        <v>171.60000000000002</v>
      </c>
      <c r="AO355" s="23">
        <v>178.12142857142859</v>
      </c>
    </row>
    <row r="356" spans="1:41" x14ac:dyDescent="0.3">
      <c r="A356" s="26" t="s">
        <v>0</v>
      </c>
      <c r="B356" s="21">
        <v>2022</v>
      </c>
      <c r="C356" s="21" t="s">
        <v>15</v>
      </c>
      <c r="D356" s="21" t="str">
        <f t="shared" si="40"/>
        <v>Dec-22</v>
      </c>
      <c r="E356" s="32">
        <v>44896</v>
      </c>
      <c r="F356" s="21" t="s">
        <v>85</v>
      </c>
      <c r="G356" s="21">
        <v>168.8</v>
      </c>
      <c r="H356" s="21">
        <v>206.9</v>
      </c>
      <c r="I356" s="21">
        <v>189.1</v>
      </c>
      <c r="J356" s="21">
        <v>173.4</v>
      </c>
      <c r="K356" s="21">
        <v>193.9</v>
      </c>
      <c r="L356" s="21">
        <v>156.69999999999999</v>
      </c>
      <c r="M356" s="21">
        <v>150.19999999999999</v>
      </c>
      <c r="N356" s="21">
        <v>170.5</v>
      </c>
      <c r="O356" s="21">
        <v>121.2</v>
      </c>
      <c r="P356" s="21">
        <v>207.5</v>
      </c>
      <c r="Q356" s="21">
        <v>176.8</v>
      </c>
      <c r="R356" s="21">
        <v>187.7</v>
      </c>
      <c r="S356" s="21">
        <v>174.4</v>
      </c>
      <c r="T356" s="21">
        <v>195.9</v>
      </c>
      <c r="U356" s="21">
        <v>188.1</v>
      </c>
      <c r="V356" s="21">
        <v>185.9</v>
      </c>
      <c r="W356" s="21">
        <v>187.8</v>
      </c>
      <c r="X356" s="28">
        <f>'Handle missing value sheet only'!$C$1</f>
        <v>139.27096774193564</v>
      </c>
      <c r="Y356" s="21">
        <v>182.8</v>
      </c>
      <c r="Z356" s="21">
        <v>176.4</v>
      </c>
      <c r="AA356" s="21">
        <v>183.5</v>
      </c>
      <c r="AB356" s="21">
        <v>167.8</v>
      </c>
      <c r="AC356" s="21">
        <v>171.2</v>
      </c>
      <c r="AD356" s="21">
        <v>177.3</v>
      </c>
      <c r="AE356" s="21">
        <v>175.7</v>
      </c>
      <c r="AF356" s="21">
        <v>175.5</v>
      </c>
      <c r="AG356" s="21">
        <v>177.1</v>
      </c>
      <c r="AH356" s="28">
        <f t="shared" si="41"/>
        <v>4396.4709677419351</v>
      </c>
      <c r="AI356" s="28">
        <f t="shared" si="42"/>
        <v>699.7</v>
      </c>
      <c r="AJ356" s="28">
        <f t="shared" si="43"/>
        <v>374</v>
      </c>
      <c r="AK356" s="28">
        <f t="shared" si="44"/>
        <v>315.67096774193567</v>
      </c>
      <c r="AL356" s="28">
        <f t="shared" si="45"/>
        <v>2473</v>
      </c>
      <c r="AM356" s="28">
        <f t="shared" si="46"/>
        <v>174.92500000000001</v>
      </c>
      <c r="AN356" s="28">
        <f t="shared" si="47"/>
        <v>157.83548387096783</v>
      </c>
      <c r="AO356" s="22">
        <v>176.64285714285714</v>
      </c>
    </row>
    <row r="357" spans="1:41" x14ac:dyDescent="0.3">
      <c r="A357" s="27" t="s">
        <v>2</v>
      </c>
      <c r="B357" s="20">
        <v>2022</v>
      </c>
      <c r="C357" s="20" t="s">
        <v>15</v>
      </c>
      <c r="D357" s="21" t="str">
        <f t="shared" si="40"/>
        <v>Dec-22</v>
      </c>
      <c r="E357" s="33">
        <v>44896</v>
      </c>
      <c r="F357" s="20" t="s">
        <v>85</v>
      </c>
      <c r="G357" s="20">
        <v>170.2</v>
      </c>
      <c r="H357" s="20">
        <v>212.9</v>
      </c>
      <c r="I357" s="20">
        <v>191.9</v>
      </c>
      <c r="J357" s="20">
        <v>173.9</v>
      </c>
      <c r="K357" s="20">
        <v>179.1</v>
      </c>
      <c r="L357" s="20">
        <v>159.5</v>
      </c>
      <c r="M357" s="20">
        <v>178.7</v>
      </c>
      <c r="N357" s="20">
        <v>171.3</v>
      </c>
      <c r="O357" s="20">
        <v>123.1</v>
      </c>
      <c r="P357" s="20">
        <v>200.5</v>
      </c>
      <c r="Q357" s="20">
        <v>162.80000000000001</v>
      </c>
      <c r="R357" s="20">
        <v>193.3</v>
      </c>
      <c r="S357" s="20">
        <v>178.6</v>
      </c>
      <c r="T357" s="20">
        <v>201.1</v>
      </c>
      <c r="U357" s="20">
        <v>177.7</v>
      </c>
      <c r="V357" s="20">
        <v>164.5</v>
      </c>
      <c r="W357" s="20">
        <v>175.7</v>
      </c>
      <c r="X357" s="20">
        <v>170.7</v>
      </c>
      <c r="Y357" s="20">
        <v>180.6</v>
      </c>
      <c r="Z357" s="20">
        <v>167.3</v>
      </c>
      <c r="AA357" s="20">
        <v>177.2</v>
      </c>
      <c r="AB357" s="20">
        <v>159.4</v>
      </c>
      <c r="AC357" s="20">
        <v>167.1</v>
      </c>
      <c r="AD357" s="20">
        <v>171.8</v>
      </c>
      <c r="AE357" s="20">
        <v>176</v>
      </c>
      <c r="AF357" s="20">
        <v>168.2</v>
      </c>
      <c r="AG357" s="20">
        <v>174.1</v>
      </c>
      <c r="AH357" s="28">
        <f t="shared" si="41"/>
        <v>4377.4000000000005</v>
      </c>
      <c r="AI357" s="28">
        <f t="shared" si="42"/>
        <v>683.1</v>
      </c>
      <c r="AJ357" s="28">
        <f t="shared" si="43"/>
        <v>342.2</v>
      </c>
      <c r="AK357" s="28">
        <f t="shared" si="44"/>
        <v>338</v>
      </c>
      <c r="AL357" s="28">
        <f t="shared" si="45"/>
        <v>2496.8999999999996</v>
      </c>
      <c r="AM357" s="28">
        <f t="shared" si="46"/>
        <v>170.77500000000001</v>
      </c>
      <c r="AN357" s="28">
        <f t="shared" si="47"/>
        <v>169</v>
      </c>
      <c r="AO357" s="23">
        <v>178.34999999999997</v>
      </c>
    </row>
    <row r="358" spans="1:41" x14ac:dyDescent="0.3">
      <c r="A358" s="26" t="s">
        <v>3</v>
      </c>
      <c r="B358" s="21">
        <v>2022</v>
      </c>
      <c r="C358" s="21" t="s">
        <v>15</v>
      </c>
      <c r="D358" s="21" t="str">
        <f t="shared" si="40"/>
        <v>Dec-22</v>
      </c>
      <c r="E358" s="32">
        <v>44896</v>
      </c>
      <c r="F358" s="21" t="s">
        <v>85</v>
      </c>
      <c r="G358" s="21">
        <v>169.2</v>
      </c>
      <c r="H358" s="21">
        <v>209</v>
      </c>
      <c r="I358" s="21">
        <v>190.2</v>
      </c>
      <c r="J358" s="21">
        <v>173.6</v>
      </c>
      <c r="K358" s="21">
        <v>188.5</v>
      </c>
      <c r="L358" s="21">
        <v>158</v>
      </c>
      <c r="M358" s="21">
        <v>159.9</v>
      </c>
      <c r="N358" s="21">
        <v>170.8</v>
      </c>
      <c r="O358" s="21">
        <v>121.8</v>
      </c>
      <c r="P358" s="21">
        <v>205.2</v>
      </c>
      <c r="Q358" s="21">
        <v>171</v>
      </c>
      <c r="R358" s="21">
        <v>190.3</v>
      </c>
      <c r="S358" s="21">
        <v>175.9</v>
      </c>
      <c r="T358" s="21">
        <v>197.3</v>
      </c>
      <c r="U358" s="21">
        <v>184</v>
      </c>
      <c r="V358" s="21">
        <v>177</v>
      </c>
      <c r="W358" s="21">
        <v>183</v>
      </c>
      <c r="X358" s="21">
        <v>170.7</v>
      </c>
      <c r="Y358" s="21">
        <v>182</v>
      </c>
      <c r="Z358" s="21">
        <v>172.1</v>
      </c>
      <c r="AA358" s="21">
        <v>181.1</v>
      </c>
      <c r="AB358" s="21">
        <v>163.4</v>
      </c>
      <c r="AC358" s="21">
        <v>168.9</v>
      </c>
      <c r="AD358" s="21">
        <v>174.1</v>
      </c>
      <c r="AE358" s="21">
        <v>175.8</v>
      </c>
      <c r="AF358" s="21">
        <v>172</v>
      </c>
      <c r="AG358" s="21">
        <v>175.7</v>
      </c>
      <c r="AH358" s="28">
        <f t="shared" si="41"/>
        <v>4401.8000000000011</v>
      </c>
      <c r="AI358" s="28">
        <f t="shared" si="42"/>
        <v>690.8</v>
      </c>
      <c r="AJ358" s="28">
        <f t="shared" si="43"/>
        <v>361</v>
      </c>
      <c r="AK358" s="28">
        <f t="shared" si="44"/>
        <v>342.79999999999995</v>
      </c>
      <c r="AL358" s="28">
        <f t="shared" si="45"/>
        <v>2480.7000000000003</v>
      </c>
      <c r="AM358" s="28">
        <f t="shared" si="46"/>
        <v>172.7</v>
      </c>
      <c r="AN358" s="28">
        <f t="shared" si="47"/>
        <v>171.39999999999998</v>
      </c>
      <c r="AO358" s="22">
        <v>177.19285714285715</v>
      </c>
    </row>
    <row r="359" spans="1:41" x14ac:dyDescent="0.3">
      <c r="A359" s="27" t="s">
        <v>0</v>
      </c>
      <c r="B359" s="20">
        <v>2023</v>
      </c>
      <c r="C359" s="20" t="s">
        <v>1</v>
      </c>
      <c r="D359" s="21" t="str">
        <f t="shared" si="40"/>
        <v>Jan-23</v>
      </c>
      <c r="E359" s="33">
        <v>44927</v>
      </c>
      <c r="F359" s="20" t="s">
        <v>85</v>
      </c>
      <c r="G359" s="20">
        <v>174</v>
      </c>
      <c r="H359" s="20">
        <v>208.3</v>
      </c>
      <c r="I359" s="20">
        <v>192.9</v>
      </c>
      <c r="J359" s="20">
        <v>174.3</v>
      </c>
      <c r="K359" s="20">
        <v>192.6</v>
      </c>
      <c r="L359" s="20">
        <v>156.30000000000001</v>
      </c>
      <c r="M359" s="20">
        <v>142.9</v>
      </c>
      <c r="N359" s="20">
        <v>170.7</v>
      </c>
      <c r="O359" s="20">
        <v>120.3</v>
      </c>
      <c r="P359" s="20">
        <v>210.5</v>
      </c>
      <c r="Q359" s="20">
        <v>176.9</v>
      </c>
      <c r="R359" s="20">
        <v>188.5</v>
      </c>
      <c r="S359" s="20">
        <v>175</v>
      </c>
      <c r="T359" s="20">
        <v>196.9</v>
      </c>
      <c r="U359" s="20">
        <v>189</v>
      </c>
      <c r="V359" s="20">
        <v>186.3</v>
      </c>
      <c r="W359" s="20">
        <v>188.6</v>
      </c>
      <c r="X359" s="30">
        <f>'Handle missing value sheet only'!$C$1</f>
        <v>139.27096774193564</v>
      </c>
      <c r="Y359" s="20">
        <v>183.2</v>
      </c>
      <c r="Z359" s="20">
        <v>177.2</v>
      </c>
      <c r="AA359" s="20">
        <v>184.7</v>
      </c>
      <c r="AB359" s="20">
        <v>168.2</v>
      </c>
      <c r="AC359" s="20">
        <v>171.8</v>
      </c>
      <c r="AD359" s="20">
        <v>177.8</v>
      </c>
      <c r="AE359" s="20">
        <v>178.4</v>
      </c>
      <c r="AF359" s="20">
        <v>176.5</v>
      </c>
      <c r="AG359" s="20">
        <v>177.8</v>
      </c>
      <c r="AH359" s="28">
        <f t="shared" si="41"/>
        <v>4412.4709677419369</v>
      </c>
      <c r="AI359" s="28">
        <f t="shared" si="42"/>
        <v>704.5</v>
      </c>
      <c r="AJ359" s="28">
        <f t="shared" si="43"/>
        <v>375.3</v>
      </c>
      <c r="AK359" s="28">
        <f t="shared" si="44"/>
        <v>316.47096774193562</v>
      </c>
      <c r="AL359" s="28">
        <f t="shared" si="45"/>
        <v>2480.1000000000004</v>
      </c>
      <c r="AM359" s="28">
        <f t="shared" si="46"/>
        <v>176.125</v>
      </c>
      <c r="AN359" s="28">
        <f t="shared" si="47"/>
        <v>158.23548387096781</v>
      </c>
      <c r="AO359" s="23">
        <v>177.15000000000003</v>
      </c>
    </row>
    <row r="360" spans="1:41" x14ac:dyDescent="0.3">
      <c r="A360" s="26" t="s">
        <v>2</v>
      </c>
      <c r="B360" s="21">
        <v>2023</v>
      </c>
      <c r="C360" s="21" t="s">
        <v>1</v>
      </c>
      <c r="D360" s="21" t="str">
        <f t="shared" si="40"/>
        <v>Jan-23</v>
      </c>
      <c r="E360" s="32">
        <v>44927</v>
      </c>
      <c r="F360" s="21" t="s">
        <v>85</v>
      </c>
      <c r="G360" s="21">
        <v>173.3</v>
      </c>
      <c r="H360" s="21">
        <v>215.2</v>
      </c>
      <c r="I360" s="21">
        <v>197</v>
      </c>
      <c r="J360" s="21">
        <v>175.2</v>
      </c>
      <c r="K360" s="21">
        <v>178</v>
      </c>
      <c r="L360" s="21">
        <v>160.5</v>
      </c>
      <c r="M360" s="21">
        <v>175.3</v>
      </c>
      <c r="N360" s="21">
        <v>171.2</v>
      </c>
      <c r="O360" s="21">
        <v>122.7</v>
      </c>
      <c r="P360" s="21">
        <v>204.3</v>
      </c>
      <c r="Q360" s="21">
        <v>163.69999999999999</v>
      </c>
      <c r="R360" s="21">
        <v>194.3</v>
      </c>
      <c r="S360" s="21">
        <v>179.5</v>
      </c>
      <c r="T360" s="21">
        <v>201.6</v>
      </c>
      <c r="U360" s="21">
        <v>178.7</v>
      </c>
      <c r="V360" s="21">
        <v>165.3</v>
      </c>
      <c r="W360" s="21">
        <v>176.6</v>
      </c>
      <c r="X360" s="21">
        <v>172.1</v>
      </c>
      <c r="Y360" s="21">
        <v>180.1</v>
      </c>
      <c r="Z360" s="21">
        <v>168</v>
      </c>
      <c r="AA360" s="21">
        <v>178.5</v>
      </c>
      <c r="AB360" s="21">
        <v>159.5</v>
      </c>
      <c r="AC360" s="21">
        <v>167.8</v>
      </c>
      <c r="AD360" s="21">
        <v>171.8</v>
      </c>
      <c r="AE360" s="21">
        <v>178.8</v>
      </c>
      <c r="AF360" s="21">
        <v>168.9</v>
      </c>
      <c r="AG360" s="21">
        <v>174.9</v>
      </c>
      <c r="AH360" s="28">
        <f t="shared" si="41"/>
        <v>4401.3</v>
      </c>
      <c r="AI360" s="28">
        <f t="shared" si="42"/>
        <v>687.3</v>
      </c>
      <c r="AJ360" s="28">
        <f t="shared" si="43"/>
        <v>344</v>
      </c>
      <c r="AK360" s="28">
        <f t="shared" si="44"/>
        <v>340.1</v>
      </c>
      <c r="AL360" s="28">
        <f t="shared" si="45"/>
        <v>2511.8000000000002</v>
      </c>
      <c r="AM360" s="28">
        <f t="shared" si="46"/>
        <v>171.82499999999999</v>
      </c>
      <c r="AN360" s="28">
        <f t="shared" si="47"/>
        <v>170.05</v>
      </c>
      <c r="AO360" s="22">
        <v>179.41428571428574</v>
      </c>
    </row>
    <row r="361" spans="1:41" x14ac:dyDescent="0.3">
      <c r="A361" s="27" t="s">
        <v>3</v>
      </c>
      <c r="B361" s="20">
        <v>2023</v>
      </c>
      <c r="C361" s="20" t="s">
        <v>1</v>
      </c>
      <c r="D361" s="21" t="str">
        <f t="shared" si="40"/>
        <v>Jan-23</v>
      </c>
      <c r="E361" s="33">
        <v>44927</v>
      </c>
      <c r="F361" s="20" t="s">
        <v>85</v>
      </c>
      <c r="G361" s="20">
        <v>173.8</v>
      </c>
      <c r="H361" s="20">
        <v>210.7</v>
      </c>
      <c r="I361" s="20">
        <v>194.5</v>
      </c>
      <c r="J361" s="20">
        <v>174.6</v>
      </c>
      <c r="K361" s="20">
        <v>187.2</v>
      </c>
      <c r="L361" s="20">
        <v>158.30000000000001</v>
      </c>
      <c r="M361" s="20">
        <v>153.9</v>
      </c>
      <c r="N361" s="20">
        <v>170.9</v>
      </c>
      <c r="O361" s="20">
        <v>121.1</v>
      </c>
      <c r="P361" s="20">
        <v>208.4</v>
      </c>
      <c r="Q361" s="20">
        <v>171.4</v>
      </c>
      <c r="R361" s="20">
        <v>191.2</v>
      </c>
      <c r="S361" s="20">
        <v>176.7</v>
      </c>
      <c r="T361" s="20">
        <v>198.2</v>
      </c>
      <c r="U361" s="20">
        <v>184.9</v>
      </c>
      <c r="V361" s="20">
        <v>177.6</v>
      </c>
      <c r="W361" s="20">
        <v>183.8</v>
      </c>
      <c r="X361" s="20">
        <v>172.1</v>
      </c>
      <c r="Y361" s="20">
        <v>182</v>
      </c>
      <c r="Z361" s="20">
        <v>172.9</v>
      </c>
      <c r="AA361" s="20">
        <v>182.3</v>
      </c>
      <c r="AB361" s="20">
        <v>163.6</v>
      </c>
      <c r="AC361" s="20">
        <v>169.5</v>
      </c>
      <c r="AD361" s="20">
        <v>174.3</v>
      </c>
      <c r="AE361" s="20">
        <v>178.6</v>
      </c>
      <c r="AF361" s="20">
        <v>172.8</v>
      </c>
      <c r="AG361" s="20">
        <v>176.5</v>
      </c>
      <c r="AH361" s="28">
        <f t="shared" si="41"/>
        <v>4421.5</v>
      </c>
      <c r="AI361" s="28">
        <f t="shared" si="42"/>
        <v>695.2</v>
      </c>
      <c r="AJ361" s="28">
        <f t="shared" si="43"/>
        <v>362.5</v>
      </c>
      <c r="AK361" s="28">
        <f t="shared" si="44"/>
        <v>345</v>
      </c>
      <c r="AL361" s="28">
        <f t="shared" si="45"/>
        <v>2490.8999999999996</v>
      </c>
      <c r="AM361" s="28">
        <f t="shared" si="46"/>
        <v>173.8</v>
      </c>
      <c r="AN361" s="28">
        <f t="shared" si="47"/>
        <v>172.5</v>
      </c>
      <c r="AO361" s="23">
        <v>177.92142857142855</v>
      </c>
    </row>
    <row r="362" spans="1:41" x14ac:dyDescent="0.3">
      <c r="A362" s="26" t="s">
        <v>0</v>
      </c>
      <c r="B362" s="21">
        <v>2023</v>
      </c>
      <c r="C362" s="21" t="s">
        <v>4</v>
      </c>
      <c r="D362" s="21" t="str">
        <f t="shared" si="40"/>
        <v>Feb-23</v>
      </c>
      <c r="E362" s="32">
        <v>44958</v>
      </c>
      <c r="F362" s="21" t="s">
        <v>85</v>
      </c>
      <c r="G362" s="21">
        <v>174.2</v>
      </c>
      <c r="H362" s="21">
        <v>205.2</v>
      </c>
      <c r="I362" s="21">
        <v>173.9</v>
      </c>
      <c r="J362" s="21">
        <v>177</v>
      </c>
      <c r="K362" s="21">
        <v>183.4</v>
      </c>
      <c r="L362" s="21">
        <v>167.2</v>
      </c>
      <c r="M362" s="21">
        <v>140.9</v>
      </c>
      <c r="N362" s="21">
        <v>170.4</v>
      </c>
      <c r="O362" s="21">
        <v>119.1</v>
      </c>
      <c r="P362" s="21">
        <v>212.1</v>
      </c>
      <c r="Q362" s="21">
        <v>177.6</v>
      </c>
      <c r="R362" s="21">
        <v>189.9</v>
      </c>
      <c r="S362" s="21">
        <v>174.8</v>
      </c>
      <c r="T362" s="21">
        <v>198.3</v>
      </c>
      <c r="U362" s="21">
        <v>190</v>
      </c>
      <c r="V362" s="21">
        <v>187</v>
      </c>
      <c r="W362" s="21">
        <v>189.6</v>
      </c>
      <c r="X362" s="28">
        <f>'Handle missing value sheet only'!$C$1</f>
        <v>139.27096774193564</v>
      </c>
      <c r="Y362" s="21">
        <v>181.6</v>
      </c>
      <c r="Z362" s="21">
        <v>178.6</v>
      </c>
      <c r="AA362" s="21">
        <v>186.6</v>
      </c>
      <c r="AB362" s="21">
        <v>169</v>
      </c>
      <c r="AC362" s="21">
        <v>172.8</v>
      </c>
      <c r="AD362" s="21">
        <v>178.5</v>
      </c>
      <c r="AE362" s="21">
        <v>180.7</v>
      </c>
      <c r="AF362" s="21">
        <v>177.9</v>
      </c>
      <c r="AG362" s="21">
        <v>178</v>
      </c>
      <c r="AH362" s="28">
        <f t="shared" si="41"/>
        <v>4405.970967741936</v>
      </c>
      <c r="AI362" s="28">
        <f t="shared" si="42"/>
        <v>709.90000000000009</v>
      </c>
      <c r="AJ362" s="28">
        <f t="shared" si="43"/>
        <v>377</v>
      </c>
      <c r="AK362" s="28">
        <f t="shared" si="44"/>
        <v>317.8709677419356</v>
      </c>
      <c r="AL362" s="28">
        <f t="shared" si="45"/>
        <v>2464</v>
      </c>
      <c r="AM362" s="28">
        <f t="shared" si="46"/>
        <v>177.47500000000002</v>
      </c>
      <c r="AN362" s="28">
        <f t="shared" si="47"/>
        <v>158.9354838709678</v>
      </c>
      <c r="AO362" s="22">
        <v>176</v>
      </c>
    </row>
    <row r="363" spans="1:41" x14ac:dyDescent="0.3">
      <c r="A363" s="27" t="s">
        <v>2</v>
      </c>
      <c r="B363" s="20">
        <v>2023</v>
      </c>
      <c r="C363" s="20" t="s">
        <v>4</v>
      </c>
      <c r="D363" s="21" t="str">
        <f t="shared" si="40"/>
        <v>Feb-23</v>
      </c>
      <c r="E363" s="33">
        <v>44958</v>
      </c>
      <c r="F363" s="20" t="s">
        <v>85</v>
      </c>
      <c r="G363" s="20">
        <v>174.7</v>
      </c>
      <c r="H363" s="20">
        <v>212.2</v>
      </c>
      <c r="I363" s="20">
        <v>177.2</v>
      </c>
      <c r="J363" s="20">
        <v>177.9</v>
      </c>
      <c r="K363" s="20">
        <v>172.2</v>
      </c>
      <c r="L363" s="20">
        <v>172.1</v>
      </c>
      <c r="M363" s="20">
        <v>175.8</v>
      </c>
      <c r="N363" s="20">
        <v>172.2</v>
      </c>
      <c r="O363" s="20">
        <v>121.9</v>
      </c>
      <c r="P363" s="20">
        <v>204.8</v>
      </c>
      <c r="Q363" s="20">
        <v>164.9</v>
      </c>
      <c r="R363" s="20">
        <v>196.6</v>
      </c>
      <c r="S363" s="20">
        <v>180.7</v>
      </c>
      <c r="T363" s="20">
        <v>202.7</v>
      </c>
      <c r="U363" s="20">
        <v>180.3</v>
      </c>
      <c r="V363" s="20">
        <v>167</v>
      </c>
      <c r="W363" s="20">
        <v>178.2</v>
      </c>
      <c r="X363" s="20">
        <v>173.5</v>
      </c>
      <c r="Y363" s="20">
        <v>182.8</v>
      </c>
      <c r="Z363" s="20">
        <v>169.2</v>
      </c>
      <c r="AA363" s="20">
        <v>180.8</v>
      </c>
      <c r="AB363" s="20">
        <v>159.80000000000001</v>
      </c>
      <c r="AC363" s="20">
        <v>168.4</v>
      </c>
      <c r="AD363" s="20">
        <v>172.5</v>
      </c>
      <c r="AE363" s="20">
        <v>181.4</v>
      </c>
      <c r="AF363" s="20">
        <v>170</v>
      </c>
      <c r="AG363" s="20">
        <v>176.3</v>
      </c>
      <c r="AH363" s="28">
        <f t="shared" si="41"/>
        <v>4411.5999999999995</v>
      </c>
      <c r="AI363" s="28">
        <f t="shared" si="42"/>
        <v>692.3</v>
      </c>
      <c r="AJ363" s="28">
        <f t="shared" si="43"/>
        <v>347.3</v>
      </c>
      <c r="AK363" s="28">
        <f t="shared" si="44"/>
        <v>342.7</v>
      </c>
      <c r="AL363" s="28">
        <f t="shared" si="45"/>
        <v>2505.8999999999996</v>
      </c>
      <c r="AM363" s="28">
        <f t="shared" si="46"/>
        <v>173.07499999999999</v>
      </c>
      <c r="AN363" s="28">
        <f t="shared" si="47"/>
        <v>171.35</v>
      </c>
      <c r="AO363" s="23">
        <v>178.9928571428571</v>
      </c>
    </row>
    <row r="364" spans="1:41" x14ac:dyDescent="0.3">
      <c r="A364" s="26" t="s">
        <v>3</v>
      </c>
      <c r="B364" s="21">
        <v>2023</v>
      </c>
      <c r="C364" s="21" t="s">
        <v>4</v>
      </c>
      <c r="D364" s="21" t="str">
        <f t="shared" si="40"/>
        <v>Feb-23</v>
      </c>
      <c r="E364" s="32">
        <v>44958</v>
      </c>
      <c r="F364" s="21" t="s">
        <v>85</v>
      </c>
      <c r="G364" s="21">
        <v>174.4</v>
      </c>
      <c r="H364" s="21">
        <v>207.7</v>
      </c>
      <c r="I364" s="21">
        <v>175.2</v>
      </c>
      <c r="J364" s="21">
        <v>177.3</v>
      </c>
      <c r="K364" s="21">
        <v>179.3</v>
      </c>
      <c r="L364" s="21">
        <v>169.5</v>
      </c>
      <c r="M364" s="21">
        <v>152.69999999999999</v>
      </c>
      <c r="N364" s="21">
        <v>171</v>
      </c>
      <c r="O364" s="21">
        <v>120</v>
      </c>
      <c r="P364" s="21">
        <v>209.7</v>
      </c>
      <c r="Q364" s="21">
        <v>172.3</v>
      </c>
      <c r="R364" s="21">
        <v>193</v>
      </c>
      <c r="S364" s="21">
        <v>177</v>
      </c>
      <c r="T364" s="21">
        <v>199.5</v>
      </c>
      <c r="U364" s="21">
        <v>186.2</v>
      </c>
      <c r="V364" s="21">
        <v>178.7</v>
      </c>
      <c r="W364" s="21">
        <v>185.1</v>
      </c>
      <c r="X364" s="21">
        <v>173.5</v>
      </c>
      <c r="Y364" s="21">
        <v>182.1</v>
      </c>
      <c r="Z364" s="21">
        <v>174.2</v>
      </c>
      <c r="AA364" s="21">
        <v>184.4</v>
      </c>
      <c r="AB364" s="21">
        <v>164.2</v>
      </c>
      <c r="AC364" s="21">
        <v>170.3</v>
      </c>
      <c r="AD364" s="21">
        <v>175</v>
      </c>
      <c r="AE364" s="21">
        <v>181</v>
      </c>
      <c r="AF364" s="21">
        <v>174.1</v>
      </c>
      <c r="AG364" s="21">
        <v>177.2</v>
      </c>
      <c r="AH364" s="28">
        <f t="shared" si="41"/>
        <v>4422.3</v>
      </c>
      <c r="AI364" s="28">
        <f t="shared" si="42"/>
        <v>700.40000000000009</v>
      </c>
      <c r="AJ364" s="28">
        <f t="shared" si="43"/>
        <v>364.9</v>
      </c>
      <c r="AK364" s="28">
        <f t="shared" si="44"/>
        <v>347.7</v>
      </c>
      <c r="AL364" s="28">
        <f t="shared" si="45"/>
        <v>2478.6</v>
      </c>
      <c r="AM364" s="28">
        <f t="shared" si="46"/>
        <v>175.10000000000002</v>
      </c>
      <c r="AN364" s="28">
        <f t="shared" si="47"/>
        <v>173.85</v>
      </c>
      <c r="AO364" s="22">
        <v>177.04285714285714</v>
      </c>
    </row>
    <row r="365" spans="1:41" x14ac:dyDescent="0.3">
      <c r="A365" s="27" t="s">
        <v>0</v>
      </c>
      <c r="B365" s="20">
        <v>2023</v>
      </c>
      <c r="C365" s="20" t="s">
        <v>5</v>
      </c>
      <c r="D365" s="21" t="str">
        <f t="shared" si="40"/>
        <v>Mar-23</v>
      </c>
      <c r="E365" s="33">
        <v>44986</v>
      </c>
      <c r="F365" s="20" t="s">
        <v>85</v>
      </c>
      <c r="G365" s="20">
        <v>174.3</v>
      </c>
      <c r="H365" s="20">
        <v>205.2</v>
      </c>
      <c r="I365" s="20">
        <v>173.9</v>
      </c>
      <c r="J365" s="20">
        <v>177</v>
      </c>
      <c r="K365" s="20">
        <v>183.3</v>
      </c>
      <c r="L365" s="20">
        <v>167.2</v>
      </c>
      <c r="M365" s="20">
        <v>140.9</v>
      </c>
      <c r="N365" s="20">
        <v>170.5</v>
      </c>
      <c r="O365" s="20">
        <v>119.1</v>
      </c>
      <c r="P365" s="20">
        <v>212.1</v>
      </c>
      <c r="Q365" s="20">
        <v>177.6</v>
      </c>
      <c r="R365" s="20">
        <v>189.9</v>
      </c>
      <c r="S365" s="20">
        <v>174.8</v>
      </c>
      <c r="T365" s="20">
        <v>198.4</v>
      </c>
      <c r="U365" s="20">
        <v>190</v>
      </c>
      <c r="V365" s="20">
        <v>187</v>
      </c>
      <c r="W365" s="20">
        <v>189.6</v>
      </c>
      <c r="X365" s="30">
        <f>'Handle missing value sheet only'!$C$1</f>
        <v>139.27096774193564</v>
      </c>
      <c r="Y365" s="20">
        <v>181.4</v>
      </c>
      <c r="Z365" s="20">
        <v>178.6</v>
      </c>
      <c r="AA365" s="20">
        <v>186.6</v>
      </c>
      <c r="AB365" s="20">
        <v>169</v>
      </c>
      <c r="AC365" s="20">
        <v>172.8</v>
      </c>
      <c r="AD365" s="20">
        <v>178.5</v>
      </c>
      <c r="AE365" s="20">
        <v>180.7</v>
      </c>
      <c r="AF365" s="20">
        <v>177.9</v>
      </c>
      <c r="AG365" s="20">
        <v>178</v>
      </c>
      <c r="AH365" s="28">
        <f t="shared" si="41"/>
        <v>4405.970967741936</v>
      </c>
      <c r="AI365" s="28">
        <f t="shared" si="42"/>
        <v>709.90000000000009</v>
      </c>
      <c r="AJ365" s="28">
        <f t="shared" si="43"/>
        <v>377</v>
      </c>
      <c r="AK365" s="28">
        <f t="shared" si="44"/>
        <v>317.8709677419356</v>
      </c>
      <c r="AL365" s="28">
        <f t="shared" si="45"/>
        <v>2464.2000000000003</v>
      </c>
      <c r="AM365" s="28">
        <f t="shared" si="46"/>
        <v>177.47500000000002</v>
      </c>
      <c r="AN365" s="28">
        <f t="shared" si="47"/>
        <v>158.9354838709678</v>
      </c>
      <c r="AO365" s="23">
        <v>176.01428571428573</v>
      </c>
    </row>
    <row r="366" spans="1:41" x14ac:dyDescent="0.3">
      <c r="A366" s="26" t="s">
        <v>2</v>
      </c>
      <c r="B366" s="21">
        <v>2023</v>
      </c>
      <c r="C366" s="21" t="s">
        <v>5</v>
      </c>
      <c r="D366" s="21" t="str">
        <f t="shared" si="40"/>
        <v>Mar-23</v>
      </c>
      <c r="E366" s="32">
        <v>44986</v>
      </c>
      <c r="F366" s="21" t="s">
        <v>85</v>
      </c>
      <c r="G366" s="21">
        <v>174.7</v>
      </c>
      <c r="H366" s="21">
        <v>212.2</v>
      </c>
      <c r="I366" s="21">
        <v>177.2</v>
      </c>
      <c r="J366" s="21">
        <v>177.9</v>
      </c>
      <c r="K366" s="21">
        <v>172.2</v>
      </c>
      <c r="L366" s="21">
        <v>172.1</v>
      </c>
      <c r="M366" s="21">
        <v>175.9</v>
      </c>
      <c r="N366" s="21">
        <v>172.2</v>
      </c>
      <c r="O366" s="21">
        <v>121.9</v>
      </c>
      <c r="P366" s="21">
        <v>204.8</v>
      </c>
      <c r="Q366" s="21">
        <v>164.9</v>
      </c>
      <c r="R366" s="21">
        <v>196.6</v>
      </c>
      <c r="S366" s="21">
        <v>180.8</v>
      </c>
      <c r="T366" s="21">
        <v>202.7</v>
      </c>
      <c r="U366" s="21">
        <v>180.2</v>
      </c>
      <c r="V366" s="21">
        <v>167</v>
      </c>
      <c r="W366" s="21">
        <v>178.2</v>
      </c>
      <c r="X366" s="21">
        <v>173.5</v>
      </c>
      <c r="Y366" s="21">
        <v>182.6</v>
      </c>
      <c r="Z366" s="21">
        <v>169.2</v>
      </c>
      <c r="AA366" s="21">
        <v>180.8</v>
      </c>
      <c r="AB366" s="21">
        <v>159.80000000000001</v>
      </c>
      <c r="AC366" s="21">
        <v>168.4</v>
      </c>
      <c r="AD366" s="21">
        <v>172.5</v>
      </c>
      <c r="AE366" s="21">
        <v>181.5</v>
      </c>
      <c r="AF366" s="21">
        <v>170</v>
      </c>
      <c r="AG366" s="21">
        <v>176.3</v>
      </c>
      <c r="AH366" s="28">
        <f t="shared" si="41"/>
        <v>4411.6000000000004</v>
      </c>
      <c r="AI366" s="28">
        <f t="shared" si="42"/>
        <v>692.4</v>
      </c>
      <c r="AJ366" s="28">
        <f t="shared" si="43"/>
        <v>347.2</v>
      </c>
      <c r="AK366" s="28">
        <f t="shared" si="44"/>
        <v>342.7</v>
      </c>
      <c r="AL366" s="28">
        <f t="shared" si="45"/>
        <v>2506.1</v>
      </c>
      <c r="AM366" s="28">
        <f t="shared" si="46"/>
        <v>173.1</v>
      </c>
      <c r="AN366" s="28">
        <f t="shared" si="47"/>
        <v>171.35</v>
      </c>
      <c r="AO366" s="22">
        <v>179.00714285714284</v>
      </c>
    </row>
    <row r="367" spans="1:41" x14ac:dyDescent="0.3">
      <c r="A367" s="27" t="s">
        <v>3</v>
      </c>
      <c r="B367" s="20">
        <v>2023</v>
      </c>
      <c r="C367" s="20" t="s">
        <v>5</v>
      </c>
      <c r="D367" s="21" t="str">
        <f t="shared" si="40"/>
        <v>Mar-23</v>
      </c>
      <c r="E367" s="33">
        <v>44986</v>
      </c>
      <c r="F367" s="20" t="s">
        <v>85</v>
      </c>
      <c r="G367" s="20">
        <v>174.4</v>
      </c>
      <c r="H367" s="20">
        <v>207.7</v>
      </c>
      <c r="I367" s="20">
        <v>175.2</v>
      </c>
      <c r="J367" s="20">
        <v>177.3</v>
      </c>
      <c r="K367" s="20">
        <v>179.2</v>
      </c>
      <c r="L367" s="20">
        <v>169.5</v>
      </c>
      <c r="M367" s="20">
        <v>152.80000000000001</v>
      </c>
      <c r="N367" s="20">
        <v>171.1</v>
      </c>
      <c r="O367" s="20">
        <v>120</v>
      </c>
      <c r="P367" s="20">
        <v>209.7</v>
      </c>
      <c r="Q367" s="20">
        <v>172.3</v>
      </c>
      <c r="R367" s="20">
        <v>193</v>
      </c>
      <c r="S367" s="20">
        <v>177</v>
      </c>
      <c r="T367" s="20">
        <v>199.5</v>
      </c>
      <c r="U367" s="20">
        <v>186.1</v>
      </c>
      <c r="V367" s="20">
        <v>178.7</v>
      </c>
      <c r="W367" s="20">
        <v>185.1</v>
      </c>
      <c r="X367" s="20">
        <v>173.5</v>
      </c>
      <c r="Y367" s="20">
        <v>181.9</v>
      </c>
      <c r="Z367" s="20">
        <v>174.2</v>
      </c>
      <c r="AA367" s="20">
        <v>184.4</v>
      </c>
      <c r="AB367" s="20">
        <v>164.2</v>
      </c>
      <c r="AC367" s="20">
        <v>170.3</v>
      </c>
      <c r="AD367" s="20">
        <v>175</v>
      </c>
      <c r="AE367" s="20">
        <v>181</v>
      </c>
      <c r="AF367" s="20">
        <v>174.1</v>
      </c>
      <c r="AG367" s="20">
        <v>177.2</v>
      </c>
      <c r="AH367" s="28">
        <f t="shared" si="41"/>
        <v>4422.0999999999995</v>
      </c>
      <c r="AI367" s="28">
        <f t="shared" si="42"/>
        <v>700.40000000000009</v>
      </c>
      <c r="AJ367" s="28">
        <f t="shared" si="43"/>
        <v>364.79999999999995</v>
      </c>
      <c r="AK367" s="28">
        <f t="shared" si="44"/>
        <v>347.7</v>
      </c>
      <c r="AL367" s="28">
        <f t="shared" si="45"/>
        <v>2478.6999999999998</v>
      </c>
      <c r="AM367" s="28">
        <f t="shared" si="46"/>
        <v>175.10000000000002</v>
      </c>
      <c r="AN367" s="28">
        <f t="shared" si="47"/>
        <v>173.85</v>
      </c>
      <c r="AO367" s="23">
        <v>177.04999999999998</v>
      </c>
    </row>
    <row r="368" spans="1:41" x14ac:dyDescent="0.3">
      <c r="A368" s="26" t="s">
        <v>0</v>
      </c>
      <c r="B368" s="21">
        <v>2023</v>
      </c>
      <c r="C368" s="21" t="s">
        <v>6</v>
      </c>
      <c r="D368" s="21" t="str">
        <f t="shared" si="40"/>
        <v>Apr-23</v>
      </c>
      <c r="E368" s="32">
        <v>45017</v>
      </c>
      <c r="F368" s="21" t="s">
        <v>85</v>
      </c>
      <c r="G368" s="21">
        <v>173.3</v>
      </c>
      <c r="H368" s="21">
        <v>206.9</v>
      </c>
      <c r="I368" s="21">
        <v>167.9</v>
      </c>
      <c r="J368" s="21">
        <v>178.2</v>
      </c>
      <c r="K368" s="21">
        <v>178.5</v>
      </c>
      <c r="L368" s="21">
        <v>173.7</v>
      </c>
      <c r="M368" s="21">
        <v>142.80000000000001</v>
      </c>
      <c r="N368" s="21">
        <v>172.8</v>
      </c>
      <c r="O368" s="21">
        <v>120.4</v>
      </c>
      <c r="P368" s="21">
        <v>215.5</v>
      </c>
      <c r="Q368" s="21">
        <v>178.2</v>
      </c>
      <c r="R368" s="21">
        <v>190.5</v>
      </c>
      <c r="S368" s="21">
        <v>175.5</v>
      </c>
      <c r="T368" s="21">
        <v>199.5</v>
      </c>
      <c r="U368" s="21">
        <v>190.7</v>
      </c>
      <c r="V368" s="21">
        <v>187.3</v>
      </c>
      <c r="W368" s="21">
        <v>190.2</v>
      </c>
      <c r="X368" s="28">
        <f>'Handle missing value sheet only'!$C$1</f>
        <v>139.27096774193564</v>
      </c>
      <c r="Y368" s="21">
        <v>181.5</v>
      </c>
      <c r="Z368" s="21">
        <v>179.1</v>
      </c>
      <c r="AA368" s="21">
        <v>187.2</v>
      </c>
      <c r="AB368" s="21">
        <v>169.4</v>
      </c>
      <c r="AC368" s="21">
        <v>173.2</v>
      </c>
      <c r="AD368" s="21">
        <v>179.4</v>
      </c>
      <c r="AE368" s="21">
        <v>183.8</v>
      </c>
      <c r="AF368" s="21">
        <v>178.9</v>
      </c>
      <c r="AG368" s="21">
        <v>178.8</v>
      </c>
      <c r="AH368" s="28">
        <f t="shared" si="41"/>
        <v>4423.470967741936</v>
      </c>
      <c r="AI368" s="28">
        <f t="shared" si="42"/>
        <v>715.3</v>
      </c>
      <c r="AJ368" s="28">
        <f t="shared" si="43"/>
        <v>378</v>
      </c>
      <c r="AK368" s="28">
        <f t="shared" si="44"/>
        <v>318.3709677419356</v>
      </c>
      <c r="AL368" s="28">
        <f t="shared" si="45"/>
        <v>2473.6999999999998</v>
      </c>
      <c r="AM368" s="28">
        <f t="shared" si="46"/>
        <v>178.82499999999999</v>
      </c>
      <c r="AN368" s="28">
        <f t="shared" si="47"/>
        <v>159.1854838709678</v>
      </c>
      <c r="AO368" s="22">
        <v>176.69285714285712</v>
      </c>
    </row>
    <row r="369" spans="1:41" x14ac:dyDescent="0.3">
      <c r="A369" s="27" t="s">
        <v>2</v>
      </c>
      <c r="B369" s="20">
        <v>2023</v>
      </c>
      <c r="C369" s="20" t="s">
        <v>6</v>
      </c>
      <c r="D369" s="21" t="str">
        <f t="shared" si="40"/>
        <v>Apr-23</v>
      </c>
      <c r="E369" s="33">
        <v>45017</v>
      </c>
      <c r="F369" s="20" t="s">
        <v>85</v>
      </c>
      <c r="G369" s="20">
        <v>174.8</v>
      </c>
      <c r="H369" s="20">
        <v>213.7</v>
      </c>
      <c r="I369" s="20">
        <v>172.4</v>
      </c>
      <c r="J369" s="20">
        <v>178.8</v>
      </c>
      <c r="K369" s="20">
        <v>168.7</v>
      </c>
      <c r="L369" s="20">
        <v>179.2</v>
      </c>
      <c r="M369" s="20">
        <v>179.9</v>
      </c>
      <c r="N369" s="20">
        <v>174.7</v>
      </c>
      <c r="O369" s="20">
        <v>123.1</v>
      </c>
      <c r="P369" s="20">
        <v>207.8</v>
      </c>
      <c r="Q369" s="20">
        <v>165.5</v>
      </c>
      <c r="R369" s="20">
        <v>197</v>
      </c>
      <c r="S369" s="20">
        <v>182.1</v>
      </c>
      <c r="T369" s="20">
        <v>203.5</v>
      </c>
      <c r="U369" s="20">
        <v>181</v>
      </c>
      <c r="V369" s="20">
        <v>167.7</v>
      </c>
      <c r="W369" s="20">
        <v>178.9</v>
      </c>
      <c r="X369" s="20">
        <v>175.2</v>
      </c>
      <c r="Y369" s="20">
        <v>182.1</v>
      </c>
      <c r="Z369" s="20">
        <v>169.6</v>
      </c>
      <c r="AA369" s="20">
        <v>181.5</v>
      </c>
      <c r="AB369" s="20">
        <v>160.1</v>
      </c>
      <c r="AC369" s="20">
        <v>168.8</v>
      </c>
      <c r="AD369" s="20">
        <v>174.2</v>
      </c>
      <c r="AE369" s="20">
        <v>184.4</v>
      </c>
      <c r="AF369" s="20">
        <v>170.9</v>
      </c>
      <c r="AG369" s="20">
        <v>177.4</v>
      </c>
      <c r="AH369" s="28">
        <f t="shared" si="41"/>
        <v>4436.7</v>
      </c>
      <c r="AI369" s="28">
        <f t="shared" si="42"/>
        <v>698.3</v>
      </c>
      <c r="AJ369" s="28">
        <f t="shared" si="43"/>
        <v>348.7</v>
      </c>
      <c r="AK369" s="28">
        <f t="shared" si="44"/>
        <v>344.79999999999995</v>
      </c>
      <c r="AL369" s="28">
        <f t="shared" si="45"/>
        <v>2521.2000000000003</v>
      </c>
      <c r="AM369" s="28">
        <f t="shared" si="46"/>
        <v>174.57499999999999</v>
      </c>
      <c r="AN369" s="28">
        <f t="shared" si="47"/>
        <v>172.39999999999998</v>
      </c>
      <c r="AO369" s="23">
        <v>180.08571428571432</v>
      </c>
    </row>
    <row r="370" spans="1:41" x14ac:dyDescent="0.3">
      <c r="A370" s="26" t="s">
        <v>3</v>
      </c>
      <c r="B370" s="21">
        <v>2023</v>
      </c>
      <c r="C370" s="21" t="s">
        <v>6</v>
      </c>
      <c r="D370" s="21" t="str">
        <f t="shared" si="40"/>
        <v>Apr-23</v>
      </c>
      <c r="E370" s="32">
        <v>45017</v>
      </c>
      <c r="F370" s="21" t="s">
        <v>85</v>
      </c>
      <c r="G370" s="21">
        <v>173.8</v>
      </c>
      <c r="H370" s="21">
        <v>209.3</v>
      </c>
      <c r="I370" s="21">
        <v>169.6</v>
      </c>
      <c r="J370" s="21">
        <v>178.4</v>
      </c>
      <c r="K370" s="21">
        <v>174.9</v>
      </c>
      <c r="L370" s="21">
        <v>176.3</v>
      </c>
      <c r="M370" s="21">
        <v>155.4</v>
      </c>
      <c r="N370" s="21">
        <v>173.4</v>
      </c>
      <c r="O370" s="21">
        <v>121.3</v>
      </c>
      <c r="P370" s="21">
        <v>212.9</v>
      </c>
      <c r="Q370" s="21">
        <v>172.9</v>
      </c>
      <c r="R370" s="21">
        <v>193.5</v>
      </c>
      <c r="S370" s="21">
        <v>177.9</v>
      </c>
      <c r="T370" s="21">
        <v>200.6</v>
      </c>
      <c r="U370" s="21">
        <v>186.9</v>
      </c>
      <c r="V370" s="21">
        <v>179.2</v>
      </c>
      <c r="W370" s="21">
        <v>185.7</v>
      </c>
      <c r="X370" s="21">
        <v>175.2</v>
      </c>
      <c r="Y370" s="21">
        <v>181.7</v>
      </c>
      <c r="Z370" s="21">
        <v>174.6</v>
      </c>
      <c r="AA370" s="21">
        <v>185</v>
      </c>
      <c r="AB370" s="21">
        <v>164.5</v>
      </c>
      <c r="AC370" s="21">
        <v>170.7</v>
      </c>
      <c r="AD370" s="21">
        <v>176.4</v>
      </c>
      <c r="AE370" s="21">
        <v>184</v>
      </c>
      <c r="AF370" s="21">
        <v>175</v>
      </c>
      <c r="AG370" s="21">
        <v>178.1</v>
      </c>
      <c r="AH370" s="28">
        <f t="shared" si="41"/>
        <v>4443.4000000000005</v>
      </c>
      <c r="AI370" s="28">
        <f t="shared" si="42"/>
        <v>706.09999999999991</v>
      </c>
      <c r="AJ370" s="28">
        <f t="shared" si="43"/>
        <v>366.1</v>
      </c>
      <c r="AK370" s="28">
        <f t="shared" si="44"/>
        <v>349.79999999999995</v>
      </c>
      <c r="AL370" s="28">
        <f t="shared" si="45"/>
        <v>2490.2000000000003</v>
      </c>
      <c r="AM370" s="28">
        <f t="shared" si="46"/>
        <v>176.52499999999998</v>
      </c>
      <c r="AN370" s="28">
        <f t="shared" si="47"/>
        <v>174.89999999999998</v>
      </c>
      <c r="AO370" s="22">
        <v>177.87142857142859</v>
      </c>
    </row>
    <row r="371" spans="1:41" x14ac:dyDescent="0.3">
      <c r="A371" s="27" t="s">
        <v>0</v>
      </c>
      <c r="B371" s="20">
        <v>2023</v>
      </c>
      <c r="C371" s="20" t="s">
        <v>7</v>
      </c>
      <c r="D371" s="21" t="str">
        <f t="shared" si="40"/>
        <v>May-23</v>
      </c>
      <c r="E371" s="33">
        <v>45047</v>
      </c>
      <c r="F371" s="20" t="s">
        <v>85</v>
      </c>
      <c r="G371" s="20">
        <v>173.2</v>
      </c>
      <c r="H371" s="20">
        <v>211.5</v>
      </c>
      <c r="I371" s="20">
        <v>171</v>
      </c>
      <c r="J371" s="20">
        <v>179.6</v>
      </c>
      <c r="K371" s="20">
        <v>173.3</v>
      </c>
      <c r="L371" s="20">
        <v>169</v>
      </c>
      <c r="M371" s="20">
        <v>148.69999999999999</v>
      </c>
      <c r="N371" s="20">
        <v>174.9</v>
      </c>
      <c r="O371" s="20">
        <v>121.9</v>
      </c>
      <c r="P371" s="20">
        <v>221</v>
      </c>
      <c r="Q371" s="20">
        <v>178.7</v>
      </c>
      <c r="R371" s="20">
        <v>191.1</v>
      </c>
      <c r="S371" s="20">
        <v>176.8</v>
      </c>
      <c r="T371" s="20">
        <v>199.9</v>
      </c>
      <c r="U371" s="20">
        <v>191.2</v>
      </c>
      <c r="V371" s="20">
        <v>187.9</v>
      </c>
      <c r="W371" s="20">
        <v>190.8</v>
      </c>
      <c r="X371" s="30">
        <f>'Handle missing value sheet only'!$C$1</f>
        <v>139.27096774193564</v>
      </c>
      <c r="Y371" s="20">
        <v>182.5</v>
      </c>
      <c r="Z371" s="20">
        <v>179.8</v>
      </c>
      <c r="AA371" s="20">
        <v>187.8</v>
      </c>
      <c r="AB371" s="20">
        <v>169.7</v>
      </c>
      <c r="AC371" s="20">
        <v>173.8</v>
      </c>
      <c r="AD371" s="20">
        <v>180.3</v>
      </c>
      <c r="AE371" s="20">
        <v>184.9</v>
      </c>
      <c r="AF371" s="20">
        <v>179.5</v>
      </c>
      <c r="AG371" s="20">
        <v>179.8</v>
      </c>
      <c r="AH371" s="28">
        <f t="shared" si="41"/>
        <v>4447.2709677419352</v>
      </c>
      <c r="AI371" s="28">
        <f t="shared" si="42"/>
        <v>718.5</v>
      </c>
      <c r="AJ371" s="28">
        <f t="shared" si="43"/>
        <v>379.1</v>
      </c>
      <c r="AK371" s="28">
        <f t="shared" si="44"/>
        <v>319.07096774193565</v>
      </c>
      <c r="AL371" s="28">
        <f t="shared" si="45"/>
        <v>2490.6000000000008</v>
      </c>
      <c r="AM371" s="28">
        <f t="shared" si="46"/>
        <v>179.625</v>
      </c>
      <c r="AN371" s="28">
        <f t="shared" si="47"/>
        <v>159.53548387096782</v>
      </c>
      <c r="AO371" s="23">
        <v>177.90000000000006</v>
      </c>
    </row>
    <row r="372" spans="1:41" x14ac:dyDescent="0.3">
      <c r="A372" s="26" t="s">
        <v>2</v>
      </c>
      <c r="B372" s="21">
        <v>2023</v>
      </c>
      <c r="C372" s="21" t="s">
        <v>7</v>
      </c>
      <c r="D372" s="21" t="str">
        <f t="shared" si="40"/>
        <v>May-23</v>
      </c>
      <c r="E372" s="32">
        <v>45047</v>
      </c>
      <c r="F372" s="21" t="s">
        <v>85</v>
      </c>
      <c r="G372" s="21">
        <v>174.7</v>
      </c>
      <c r="H372" s="21">
        <v>219.4</v>
      </c>
      <c r="I372" s="21">
        <v>176.7</v>
      </c>
      <c r="J372" s="21">
        <v>179.4</v>
      </c>
      <c r="K372" s="21">
        <v>164.4</v>
      </c>
      <c r="L372" s="21">
        <v>175.8</v>
      </c>
      <c r="M372" s="21">
        <v>185</v>
      </c>
      <c r="N372" s="21">
        <v>176.9</v>
      </c>
      <c r="O372" s="21">
        <v>124.2</v>
      </c>
      <c r="P372" s="21">
        <v>211.9</v>
      </c>
      <c r="Q372" s="21">
        <v>165.9</v>
      </c>
      <c r="R372" s="21">
        <v>197.7</v>
      </c>
      <c r="S372" s="21">
        <v>183.1</v>
      </c>
      <c r="T372" s="21">
        <v>204.2</v>
      </c>
      <c r="U372" s="21">
        <v>181.3</v>
      </c>
      <c r="V372" s="21">
        <v>168.1</v>
      </c>
      <c r="W372" s="21">
        <v>179.3</v>
      </c>
      <c r="X372" s="21">
        <v>175.6</v>
      </c>
      <c r="Y372" s="21">
        <v>183.4</v>
      </c>
      <c r="Z372" s="21">
        <v>170.1</v>
      </c>
      <c r="AA372" s="21">
        <v>182.2</v>
      </c>
      <c r="AB372" s="21">
        <v>160.4</v>
      </c>
      <c r="AC372" s="21">
        <v>169.2</v>
      </c>
      <c r="AD372" s="21">
        <v>174.8</v>
      </c>
      <c r="AE372" s="21">
        <v>185.6</v>
      </c>
      <c r="AF372" s="21">
        <v>171.6</v>
      </c>
      <c r="AG372" s="21">
        <v>178.2</v>
      </c>
      <c r="AH372" s="28">
        <f t="shared" si="41"/>
        <v>4461.6000000000004</v>
      </c>
      <c r="AI372" s="28">
        <f t="shared" si="42"/>
        <v>701.2</v>
      </c>
      <c r="AJ372" s="28">
        <f t="shared" si="43"/>
        <v>349.4</v>
      </c>
      <c r="AK372" s="28">
        <f t="shared" si="44"/>
        <v>345.7</v>
      </c>
      <c r="AL372" s="28">
        <f t="shared" si="45"/>
        <v>2539.2999999999997</v>
      </c>
      <c r="AM372" s="28">
        <f t="shared" si="46"/>
        <v>175.3</v>
      </c>
      <c r="AN372" s="28">
        <f t="shared" si="47"/>
        <v>172.85</v>
      </c>
      <c r="AO372" s="22">
        <v>181.37857142857141</v>
      </c>
    </row>
    <row r="373" spans="1:41" x14ac:dyDescent="0.3">
      <c r="A373" s="27" t="s">
        <v>3</v>
      </c>
      <c r="B373" s="20">
        <v>2023</v>
      </c>
      <c r="C373" s="20" t="s">
        <v>7</v>
      </c>
      <c r="D373" s="21" t="str">
        <f t="shared" si="40"/>
        <v>May-23</v>
      </c>
      <c r="E373" s="33">
        <v>45047</v>
      </c>
      <c r="F373" s="20" t="s">
        <v>85</v>
      </c>
      <c r="G373" s="20">
        <v>173.7</v>
      </c>
      <c r="H373" s="20">
        <v>214.3</v>
      </c>
      <c r="I373" s="20">
        <v>173.2</v>
      </c>
      <c r="J373" s="20">
        <v>179.5</v>
      </c>
      <c r="K373" s="20">
        <v>170</v>
      </c>
      <c r="L373" s="20">
        <v>172.2</v>
      </c>
      <c r="M373" s="20">
        <v>161</v>
      </c>
      <c r="N373" s="20">
        <v>175.6</v>
      </c>
      <c r="O373" s="20">
        <v>122.7</v>
      </c>
      <c r="P373" s="20">
        <v>218</v>
      </c>
      <c r="Q373" s="20">
        <v>173.4</v>
      </c>
      <c r="R373" s="20">
        <v>194.2</v>
      </c>
      <c r="S373" s="20">
        <v>179.1</v>
      </c>
      <c r="T373" s="20">
        <v>201</v>
      </c>
      <c r="U373" s="20">
        <v>187.3</v>
      </c>
      <c r="V373" s="20">
        <v>179.7</v>
      </c>
      <c r="W373" s="20">
        <v>186.2</v>
      </c>
      <c r="X373" s="20">
        <v>175.6</v>
      </c>
      <c r="Y373" s="20">
        <v>182.8</v>
      </c>
      <c r="Z373" s="20">
        <v>175.2</v>
      </c>
      <c r="AA373" s="20">
        <v>185.7</v>
      </c>
      <c r="AB373" s="20">
        <v>164.8</v>
      </c>
      <c r="AC373" s="20">
        <v>171.2</v>
      </c>
      <c r="AD373" s="20">
        <v>177.1</v>
      </c>
      <c r="AE373" s="20">
        <v>185.2</v>
      </c>
      <c r="AF373" s="20">
        <v>175.7</v>
      </c>
      <c r="AG373" s="20">
        <v>179.1</v>
      </c>
      <c r="AH373" s="28">
        <f t="shared" si="41"/>
        <v>4468.1999999999989</v>
      </c>
      <c r="AI373" s="28">
        <f t="shared" si="42"/>
        <v>709.2</v>
      </c>
      <c r="AJ373" s="28">
        <f t="shared" si="43"/>
        <v>367</v>
      </c>
      <c r="AK373" s="28">
        <f t="shared" si="44"/>
        <v>350.79999999999995</v>
      </c>
      <c r="AL373" s="28">
        <f t="shared" si="45"/>
        <v>2507.9</v>
      </c>
      <c r="AM373" s="28">
        <f t="shared" si="46"/>
        <v>177.3</v>
      </c>
      <c r="AN373" s="28">
        <f t="shared" si="47"/>
        <v>175.39999999999998</v>
      </c>
      <c r="AO373" s="23">
        <v>179.1357142857143</v>
      </c>
    </row>
  </sheetData>
  <autoFilter ref="A1:AO373" xr:uid="{DF933D53-E1E2-404A-B6CF-C394A8F8E29B}"/>
  <pageMargins left="0.7" right="0.7" top="0.75" bottom="0.75" header="0.3" footer="0.3"/>
  <ignoredErrors>
    <ignoredError sqref="AH2:AH373 AL2:AL37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1875B-4DDE-4B83-B025-BFD56A1276F9}">
  <dimension ref="A1:O44"/>
  <sheetViews>
    <sheetView tabSelected="1" topLeftCell="A34" workbookViewId="0">
      <selection activeCell="O4" sqref="O4"/>
    </sheetView>
  </sheetViews>
  <sheetFormatPr defaultRowHeight="14.4" x14ac:dyDescent="0.3"/>
  <cols>
    <col min="1" max="1" width="83.5546875" customWidth="1"/>
    <col min="2" max="12" width="8.88671875" hidden="1" customWidth="1"/>
  </cols>
  <sheetData>
    <row r="1" spans="1:15" x14ac:dyDescent="0.3">
      <c r="A1" s="65" t="s">
        <v>17</v>
      </c>
      <c r="B1" s="65"/>
      <c r="C1" s="65"/>
      <c r="D1" s="65"/>
      <c r="E1" s="65"/>
      <c r="F1" s="65"/>
      <c r="G1" s="65"/>
      <c r="H1" s="65"/>
      <c r="I1" s="65"/>
      <c r="J1" s="65"/>
      <c r="K1" s="65"/>
      <c r="L1" s="65"/>
    </row>
    <row r="2" spans="1:15" x14ac:dyDescent="0.3">
      <c r="A2" s="65"/>
      <c r="B2" s="65"/>
      <c r="C2" s="65"/>
      <c r="D2" s="65"/>
      <c r="E2" s="65"/>
      <c r="F2" s="65"/>
      <c r="G2" s="65"/>
      <c r="H2" s="65"/>
      <c r="I2" s="65"/>
      <c r="J2" s="65"/>
      <c r="K2" s="65"/>
      <c r="L2" s="65"/>
    </row>
    <row r="3" spans="1:15" x14ac:dyDescent="0.3">
      <c r="A3" s="65"/>
      <c r="B3" s="65"/>
      <c r="C3" s="65"/>
      <c r="D3" s="65"/>
      <c r="E3" s="65"/>
      <c r="F3" s="65"/>
      <c r="G3" s="65"/>
      <c r="H3" s="65"/>
      <c r="I3" s="65"/>
      <c r="J3" s="65"/>
      <c r="K3" s="65"/>
      <c r="L3" s="65"/>
    </row>
    <row r="4" spans="1:15" x14ac:dyDescent="0.3">
      <c r="A4" s="65"/>
      <c r="B4" s="65"/>
      <c r="C4" s="65"/>
      <c r="D4" s="65"/>
      <c r="E4" s="65"/>
      <c r="F4" s="65"/>
      <c r="G4" s="65"/>
      <c r="H4" s="65"/>
      <c r="I4" s="65"/>
      <c r="J4" s="65"/>
      <c r="K4" s="65"/>
      <c r="L4" s="65"/>
      <c r="O4" s="38" t="s">
        <v>185</v>
      </c>
    </row>
    <row r="5" spans="1:15" ht="57.6" x14ac:dyDescent="0.3">
      <c r="A5" s="3" t="s">
        <v>18</v>
      </c>
    </row>
    <row r="6" spans="1:15" x14ac:dyDescent="0.3">
      <c r="A6" s="4"/>
    </row>
    <row r="7" spans="1:15" x14ac:dyDescent="0.3">
      <c r="A7" s="5" t="s">
        <v>19</v>
      </c>
    </row>
    <row r="8" spans="1:15" x14ac:dyDescent="0.3">
      <c r="A8" s="4"/>
    </row>
    <row r="9" spans="1:15" ht="28.8" x14ac:dyDescent="0.3">
      <c r="A9" s="5" t="s">
        <v>20</v>
      </c>
    </row>
    <row r="10" spans="1:15" x14ac:dyDescent="0.3">
      <c r="A10" s="65" t="s">
        <v>21</v>
      </c>
    </row>
    <row r="11" spans="1:15" x14ac:dyDescent="0.3">
      <c r="A11" s="65"/>
    </row>
    <row r="12" spans="1:15" x14ac:dyDescent="0.3">
      <c r="A12" s="65"/>
    </row>
    <row r="13" spans="1:15" x14ac:dyDescent="0.3">
      <c r="A13" s="65"/>
    </row>
    <row r="14" spans="1:15" ht="28.8" x14ac:dyDescent="0.3">
      <c r="A14" s="6" t="s">
        <v>22</v>
      </c>
    </row>
    <row r="15" spans="1:15" x14ac:dyDescent="0.3">
      <c r="A15" s="7"/>
    </row>
    <row r="16" spans="1:15" x14ac:dyDescent="0.3">
      <c r="A16" s="7" t="s">
        <v>23</v>
      </c>
    </row>
    <row r="17" spans="1:1" x14ac:dyDescent="0.3">
      <c r="A17" s="7"/>
    </row>
    <row r="18" spans="1:1" x14ac:dyDescent="0.3">
      <c r="A18" s="7" t="s">
        <v>24</v>
      </c>
    </row>
    <row r="19" spans="1:1" x14ac:dyDescent="0.3">
      <c r="A19" s="65" t="s">
        <v>25</v>
      </c>
    </row>
    <row r="20" spans="1:1" x14ac:dyDescent="0.3">
      <c r="A20" s="65"/>
    </row>
    <row r="21" spans="1:1" x14ac:dyDescent="0.3">
      <c r="A21" s="65"/>
    </row>
    <row r="22" spans="1:1" x14ac:dyDescent="0.3">
      <c r="A22" s="65"/>
    </row>
    <row r="23" spans="1:1" ht="28.8" x14ac:dyDescent="0.3">
      <c r="A23" s="6" t="s">
        <v>26</v>
      </c>
    </row>
    <row r="24" spans="1:1" x14ac:dyDescent="0.3">
      <c r="A24" s="8"/>
    </row>
    <row r="25" spans="1:1" ht="28.8" x14ac:dyDescent="0.3">
      <c r="A25" s="9" t="s">
        <v>27</v>
      </c>
    </row>
    <row r="26" spans="1:1" x14ac:dyDescent="0.3">
      <c r="A26" s="8"/>
    </row>
    <row r="27" spans="1:1" ht="28.8" x14ac:dyDescent="0.3">
      <c r="A27" s="9" t="s">
        <v>28</v>
      </c>
    </row>
    <row r="28" spans="1:1" x14ac:dyDescent="0.3">
      <c r="A28" s="65" t="s">
        <v>29</v>
      </c>
    </row>
    <row r="29" spans="1:1" x14ac:dyDescent="0.3">
      <c r="A29" s="65"/>
    </row>
    <row r="30" spans="1:1" x14ac:dyDescent="0.3">
      <c r="A30" s="65"/>
    </row>
    <row r="31" spans="1:1" x14ac:dyDescent="0.3">
      <c r="A31" s="65"/>
    </row>
    <row r="32" spans="1:1" ht="43.2" x14ac:dyDescent="0.3">
      <c r="A32" s="6" t="s">
        <v>30</v>
      </c>
    </row>
    <row r="33" spans="1:1" x14ac:dyDescent="0.3">
      <c r="A33" s="7"/>
    </row>
    <row r="34" spans="1:1" ht="28.8" x14ac:dyDescent="0.3">
      <c r="A34" s="6" t="s">
        <v>31</v>
      </c>
    </row>
    <row r="35" spans="1:1" x14ac:dyDescent="0.3">
      <c r="A35" s="65" t="s">
        <v>182</v>
      </c>
    </row>
    <row r="36" spans="1:1" x14ac:dyDescent="0.3">
      <c r="A36" s="65"/>
    </row>
    <row r="37" spans="1:1" x14ac:dyDescent="0.3">
      <c r="A37" s="65"/>
    </row>
    <row r="38" spans="1:1" x14ac:dyDescent="0.3">
      <c r="A38" s="65"/>
    </row>
    <row r="39" spans="1:1" x14ac:dyDescent="0.3">
      <c r="A39" s="65"/>
    </row>
    <row r="40" spans="1:1" ht="43.2" x14ac:dyDescent="0.3">
      <c r="A40" s="6" t="s">
        <v>179</v>
      </c>
    </row>
    <row r="41" spans="1:1" x14ac:dyDescent="0.3">
      <c r="A41" s="8"/>
    </row>
    <row r="42" spans="1:1" ht="28.8" x14ac:dyDescent="0.3">
      <c r="A42" s="9" t="s">
        <v>180</v>
      </c>
    </row>
    <row r="43" spans="1:1" x14ac:dyDescent="0.3">
      <c r="A43" s="8"/>
    </row>
    <row r="44" spans="1:1" ht="43.2" x14ac:dyDescent="0.3">
      <c r="A44" s="9" t="s">
        <v>181</v>
      </c>
    </row>
  </sheetData>
  <mergeCells count="5">
    <mergeCell ref="A1:L4"/>
    <mergeCell ref="A10:A13"/>
    <mergeCell ref="A19:A22"/>
    <mergeCell ref="A28:A31"/>
    <mergeCell ref="A35:A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DC50B-44CF-455E-8FB4-8D35F7FC2AF1}">
  <dimension ref="A1:O39"/>
  <sheetViews>
    <sheetView topLeftCell="A14" workbookViewId="0">
      <selection activeCell="B41" sqref="B41"/>
    </sheetView>
  </sheetViews>
  <sheetFormatPr defaultRowHeight="14.4" x14ac:dyDescent="0.3"/>
  <cols>
    <col min="1" max="1" width="26.21875" customWidth="1"/>
    <col min="2" max="2" width="31.109375" customWidth="1"/>
    <col min="3" max="3" width="17.88671875" customWidth="1"/>
  </cols>
  <sheetData>
    <row r="1" spans="1:15" x14ac:dyDescent="0.3">
      <c r="A1" s="15" t="s">
        <v>64</v>
      </c>
      <c r="B1" s="15"/>
      <c r="C1" s="15" t="s">
        <v>79</v>
      </c>
    </row>
    <row r="2" spans="1:15" x14ac:dyDescent="0.3">
      <c r="A2" s="15"/>
      <c r="B2" s="15" t="s">
        <v>66</v>
      </c>
      <c r="C2" s="15"/>
    </row>
    <row r="3" spans="1:15" x14ac:dyDescent="0.3">
      <c r="A3" s="15" t="s">
        <v>65</v>
      </c>
      <c r="B3" s="16" t="s">
        <v>37</v>
      </c>
      <c r="C3" s="15"/>
    </row>
    <row r="4" spans="1:15" x14ac:dyDescent="0.3">
      <c r="A4" s="15"/>
      <c r="B4" s="16" t="s">
        <v>38</v>
      </c>
      <c r="C4" s="15"/>
    </row>
    <row r="5" spans="1:15" x14ac:dyDescent="0.3">
      <c r="A5" s="15"/>
      <c r="B5" s="16" t="s">
        <v>39</v>
      </c>
      <c r="C5" s="15"/>
    </row>
    <row r="6" spans="1:15" x14ac:dyDescent="0.3">
      <c r="A6" s="15"/>
      <c r="B6" s="16" t="s">
        <v>40</v>
      </c>
      <c r="C6" s="15"/>
    </row>
    <row r="7" spans="1:15" x14ac:dyDescent="0.3">
      <c r="A7" s="15"/>
      <c r="B7" s="16" t="s">
        <v>41</v>
      </c>
      <c r="C7" s="15"/>
    </row>
    <row r="8" spans="1:15" x14ac:dyDescent="0.3">
      <c r="A8" s="15"/>
      <c r="B8" s="16" t="s">
        <v>42</v>
      </c>
      <c r="C8" s="15"/>
    </row>
    <row r="9" spans="1:15" x14ac:dyDescent="0.3">
      <c r="A9" s="15"/>
      <c r="B9" s="16" t="s">
        <v>43</v>
      </c>
      <c r="C9" s="19"/>
      <c r="D9" s="18"/>
      <c r="E9" s="19"/>
      <c r="F9" s="19"/>
      <c r="G9" s="19"/>
      <c r="H9" s="19"/>
      <c r="I9" s="19"/>
      <c r="J9" s="19"/>
      <c r="K9" s="19"/>
      <c r="L9" s="19"/>
      <c r="M9" s="19"/>
      <c r="N9" s="19"/>
      <c r="O9" s="19"/>
    </row>
    <row r="10" spans="1:15" x14ac:dyDescent="0.3">
      <c r="A10" s="15"/>
      <c r="B10" s="16" t="s">
        <v>44</v>
      </c>
      <c r="C10" s="15"/>
    </row>
    <row r="11" spans="1:15" x14ac:dyDescent="0.3">
      <c r="A11" s="15"/>
      <c r="B11" s="16" t="s">
        <v>45</v>
      </c>
      <c r="C11" s="15"/>
    </row>
    <row r="12" spans="1:15" x14ac:dyDescent="0.3">
      <c r="A12" s="15"/>
      <c r="B12" s="16" t="s">
        <v>46</v>
      </c>
      <c r="C12" s="15"/>
    </row>
    <row r="13" spans="1:15" x14ac:dyDescent="0.3">
      <c r="A13" s="15"/>
      <c r="B13" s="16" t="s">
        <v>47</v>
      </c>
      <c r="C13" s="15"/>
    </row>
    <row r="14" spans="1:15" ht="28.8" customHeight="1" x14ac:dyDescent="0.3">
      <c r="A14" s="15"/>
      <c r="B14" s="16" t="s">
        <v>48</v>
      </c>
      <c r="C14" s="15"/>
    </row>
    <row r="15" spans="1:15" x14ac:dyDescent="0.3">
      <c r="A15" s="15"/>
      <c r="B15" s="16" t="s">
        <v>49</v>
      </c>
      <c r="C15" s="15"/>
    </row>
    <row r="16" spans="1:15" x14ac:dyDescent="0.3">
      <c r="A16" s="15"/>
      <c r="B16" s="16" t="s">
        <v>50</v>
      </c>
      <c r="C16" s="15"/>
    </row>
    <row r="17" spans="1:3" x14ac:dyDescent="0.3">
      <c r="A17" s="15"/>
      <c r="B17" s="15"/>
      <c r="C17" s="15"/>
    </row>
    <row r="18" spans="1:3" x14ac:dyDescent="0.3">
      <c r="A18" s="15" t="s">
        <v>67</v>
      </c>
      <c r="B18" s="16" t="s">
        <v>68</v>
      </c>
      <c r="C18" s="15"/>
    </row>
    <row r="19" spans="1:3" x14ac:dyDescent="0.3">
      <c r="A19" s="15"/>
      <c r="B19" s="17" t="s">
        <v>54</v>
      </c>
      <c r="C19" s="15" t="s">
        <v>69</v>
      </c>
    </row>
    <row r="20" spans="1:3" x14ac:dyDescent="0.3">
      <c r="A20" s="15"/>
      <c r="B20" s="17" t="s">
        <v>56</v>
      </c>
      <c r="C20" s="15"/>
    </row>
    <row r="21" spans="1:3" x14ac:dyDescent="0.3">
      <c r="A21" s="15"/>
      <c r="B21" s="13"/>
      <c r="C21" s="15"/>
    </row>
    <row r="22" spans="1:3" x14ac:dyDescent="0.3">
      <c r="A22" s="15" t="s">
        <v>73</v>
      </c>
      <c r="B22" s="13" t="s">
        <v>74</v>
      </c>
      <c r="C22" s="15"/>
    </row>
    <row r="23" spans="1:3" x14ac:dyDescent="0.3">
      <c r="A23" s="15"/>
      <c r="B23" s="13" t="s">
        <v>53</v>
      </c>
      <c r="C23" s="15"/>
    </row>
    <row r="24" spans="1:3" x14ac:dyDescent="0.3">
      <c r="A24" s="15"/>
      <c r="B24" s="15"/>
      <c r="C24" s="15"/>
    </row>
    <row r="25" spans="1:3" x14ac:dyDescent="0.3">
      <c r="A25" s="15" t="s">
        <v>70</v>
      </c>
      <c r="B25" s="15" t="s">
        <v>71</v>
      </c>
      <c r="C25" s="15"/>
    </row>
    <row r="26" spans="1:3" x14ac:dyDescent="0.3">
      <c r="A26" s="15"/>
      <c r="B26" s="13" t="s">
        <v>55</v>
      </c>
      <c r="C26" s="15" t="s">
        <v>72</v>
      </c>
    </row>
    <row r="27" spans="1:3" x14ac:dyDescent="0.3">
      <c r="A27" s="15"/>
      <c r="B27" s="15"/>
      <c r="C27" s="15"/>
    </row>
    <row r="28" spans="1:3" x14ac:dyDescent="0.3">
      <c r="A28" s="15" t="s">
        <v>57</v>
      </c>
      <c r="B28" s="15" t="s">
        <v>75</v>
      </c>
      <c r="C28" s="15"/>
    </row>
    <row r="29" spans="1:3" x14ac:dyDescent="0.3">
      <c r="A29" s="15"/>
      <c r="B29" s="13" t="s">
        <v>57</v>
      </c>
      <c r="C29" s="15"/>
    </row>
    <row r="30" spans="1:3" x14ac:dyDescent="0.3">
      <c r="A30" s="15"/>
      <c r="B30" s="15"/>
      <c r="C30" s="15"/>
    </row>
    <row r="31" spans="1:3" x14ac:dyDescent="0.3">
      <c r="A31" s="15" t="s">
        <v>76</v>
      </c>
      <c r="B31" s="15" t="s">
        <v>77</v>
      </c>
      <c r="C31" s="15"/>
    </row>
    <row r="32" spans="1:3" x14ac:dyDescent="0.3">
      <c r="A32" s="15"/>
      <c r="B32" s="13" t="s">
        <v>58</v>
      </c>
      <c r="C32" s="15"/>
    </row>
    <row r="33" spans="1:3" x14ac:dyDescent="0.3">
      <c r="A33" s="15"/>
      <c r="B33" s="13"/>
      <c r="C33" s="15"/>
    </row>
    <row r="34" spans="1:3" x14ac:dyDescent="0.3">
      <c r="A34" s="15" t="s">
        <v>78</v>
      </c>
      <c r="B34" s="15" t="s">
        <v>71</v>
      </c>
      <c r="C34" s="15"/>
    </row>
    <row r="35" spans="1:3" x14ac:dyDescent="0.3">
      <c r="A35" s="15"/>
      <c r="B35" s="13" t="s">
        <v>59</v>
      </c>
      <c r="C35" s="15"/>
    </row>
    <row r="36" spans="1:3" x14ac:dyDescent="0.3">
      <c r="A36" s="15"/>
      <c r="B36" s="13" t="s">
        <v>61</v>
      </c>
      <c r="C36" s="15"/>
    </row>
    <row r="37" spans="1:3" x14ac:dyDescent="0.3">
      <c r="A37" s="15"/>
      <c r="B37" s="13" t="s">
        <v>62</v>
      </c>
      <c r="C37" s="15"/>
    </row>
    <row r="38" spans="1:3" x14ac:dyDescent="0.3">
      <c r="A38" s="15"/>
      <c r="B38" s="13" t="s">
        <v>80</v>
      </c>
      <c r="C38" s="15"/>
    </row>
    <row r="39" spans="1:3" x14ac:dyDescent="0.3">
      <c r="A39" s="15" t="s">
        <v>81</v>
      </c>
      <c r="B39" s="13" t="s">
        <v>82</v>
      </c>
      <c r="C39"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51440-C208-4DBD-862F-B54CA31FE266}">
  <dimension ref="A1:C373"/>
  <sheetViews>
    <sheetView workbookViewId="0">
      <selection activeCell="B1" sqref="B1:C3"/>
    </sheetView>
  </sheetViews>
  <sheetFormatPr defaultRowHeight="14.4" x14ac:dyDescent="0.3"/>
  <sheetData>
    <row r="1" spans="1:3" x14ac:dyDescent="0.3">
      <c r="A1" s="11" t="s">
        <v>54</v>
      </c>
      <c r="B1" t="s">
        <v>83</v>
      </c>
      <c r="C1" s="25">
        <f>AVERAGE(A2:A373)</f>
        <v>139.27096774193564</v>
      </c>
    </row>
    <row r="2" spans="1:3" x14ac:dyDescent="0.3">
      <c r="A2" s="21">
        <v>139.30000000000001</v>
      </c>
      <c r="B2" t="s">
        <v>86</v>
      </c>
      <c r="C2">
        <f>MEDIAN(A2:A373)</f>
        <v>139.30000000000001</v>
      </c>
    </row>
    <row r="3" spans="1:3" x14ac:dyDescent="0.3">
      <c r="A3" s="20">
        <v>100.3</v>
      </c>
      <c r="B3" t="s">
        <v>87</v>
      </c>
      <c r="C3" s="24">
        <f>STDEV(A2:A373)</f>
        <v>17.193290427333434</v>
      </c>
    </row>
    <row r="4" spans="1:3" x14ac:dyDescent="0.3">
      <c r="A4" s="21">
        <v>100.3</v>
      </c>
    </row>
    <row r="5" spans="1:3" x14ac:dyDescent="0.3">
      <c r="A5" s="20">
        <v>139.30000000000001</v>
      </c>
    </row>
    <row r="6" spans="1:3" x14ac:dyDescent="0.3">
      <c r="A6" s="21">
        <v>100.4</v>
      </c>
    </row>
    <row r="7" spans="1:3" x14ac:dyDescent="0.3">
      <c r="A7" s="20">
        <v>100.4</v>
      </c>
    </row>
    <row r="8" spans="1:3" x14ac:dyDescent="0.3">
      <c r="A8" s="21">
        <v>139.30000000000001</v>
      </c>
    </row>
    <row r="9" spans="1:3" x14ac:dyDescent="0.3">
      <c r="A9" s="20">
        <v>100.4</v>
      </c>
    </row>
    <row r="10" spans="1:3" x14ac:dyDescent="0.3">
      <c r="A10" s="21">
        <v>100.4</v>
      </c>
    </row>
    <row r="11" spans="1:3" x14ac:dyDescent="0.3">
      <c r="A11" s="20">
        <v>139.30000000000001</v>
      </c>
    </row>
    <row r="12" spans="1:3" x14ac:dyDescent="0.3">
      <c r="A12" s="21">
        <v>100.5</v>
      </c>
    </row>
    <row r="13" spans="1:3" x14ac:dyDescent="0.3">
      <c r="A13" s="20">
        <v>100.5</v>
      </c>
    </row>
    <row r="14" spans="1:3" x14ac:dyDescent="0.3">
      <c r="A14" s="21">
        <v>139.30000000000001</v>
      </c>
    </row>
    <row r="15" spans="1:3" x14ac:dyDescent="0.3">
      <c r="A15" s="20">
        <v>100.5</v>
      </c>
    </row>
    <row r="16" spans="1:3" x14ac:dyDescent="0.3">
      <c r="A16" s="21">
        <v>100.5</v>
      </c>
    </row>
    <row r="17" spans="1:1" x14ac:dyDescent="0.3">
      <c r="A17" s="20">
        <v>139.30000000000001</v>
      </c>
    </row>
    <row r="18" spans="1:1" x14ac:dyDescent="0.3">
      <c r="A18" s="21">
        <v>106.6</v>
      </c>
    </row>
    <row r="19" spans="1:1" x14ac:dyDescent="0.3">
      <c r="A19" s="20">
        <v>106.6</v>
      </c>
    </row>
    <row r="20" spans="1:1" x14ac:dyDescent="0.3">
      <c r="A20" s="21">
        <v>139.30000000000001</v>
      </c>
    </row>
    <row r="21" spans="1:1" x14ac:dyDescent="0.3">
      <c r="A21" s="20">
        <v>107.7</v>
      </c>
    </row>
    <row r="22" spans="1:1" x14ac:dyDescent="0.3">
      <c r="A22" s="21">
        <v>107.7</v>
      </c>
    </row>
    <row r="23" spans="1:1" x14ac:dyDescent="0.3">
      <c r="A23" s="20">
        <v>139.30000000000001</v>
      </c>
    </row>
    <row r="24" spans="1:1" x14ac:dyDescent="0.3">
      <c r="A24" s="21">
        <v>108.9</v>
      </c>
    </row>
    <row r="25" spans="1:1" x14ac:dyDescent="0.3">
      <c r="A25" s="20">
        <v>108.9</v>
      </c>
    </row>
    <row r="26" spans="1:1" x14ac:dyDescent="0.3">
      <c r="A26" s="21">
        <v>139.30000000000001</v>
      </c>
    </row>
    <row r="27" spans="1:1" x14ac:dyDescent="0.3">
      <c r="A27" s="20">
        <v>109.7</v>
      </c>
    </row>
    <row r="28" spans="1:1" x14ac:dyDescent="0.3">
      <c r="A28" s="21">
        <v>109.7</v>
      </c>
    </row>
    <row r="29" spans="1:1" x14ac:dyDescent="0.3">
      <c r="A29" s="20">
        <v>139.30000000000001</v>
      </c>
    </row>
    <row r="30" spans="1:1" x14ac:dyDescent="0.3">
      <c r="A30" s="21">
        <v>110.5</v>
      </c>
    </row>
    <row r="31" spans="1:1" x14ac:dyDescent="0.3">
      <c r="A31" s="20">
        <v>110.5</v>
      </c>
    </row>
    <row r="32" spans="1:1" x14ac:dyDescent="0.3">
      <c r="A32" s="21">
        <v>139.30000000000001</v>
      </c>
    </row>
    <row r="33" spans="1:1" x14ac:dyDescent="0.3">
      <c r="A33" s="20">
        <v>111.1</v>
      </c>
    </row>
    <row r="34" spans="1:1" x14ac:dyDescent="0.3">
      <c r="A34" s="21">
        <v>111.1</v>
      </c>
    </row>
    <row r="35" spans="1:1" x14ac:dyDescent="0.3">
      <c r="A35" s="20">
        <v>139.30000000000001</v>
      </c>
    </row>
    <row r="36" spans="1:1" x14ac:dyDescent="0.3">
      <c r="A36" s="21">
        <v>110.7</v>
      </c>
    </row>
    <row r="37" spans="1:1" x14ac:dyDescent="0.3">
      <c r="A37" s="20">
        <v>110.7</v>
      </c>
    </row>
    <row r="38" spans="1:1" x14ac:dyDescent="0.3">
      <c r="A38" s="21">
        <v>139.30000000000001</v>
      </c>
    </row>
    <row r="39" spans="1:1" x14ac:dyDescent="0.3">
      <c r="A39" s="20">
        <v>111.6</v>
      </c>
    </row>
    <row r="40" spans="1:1" x14ac:dyDescent="0.3">
      <c r="A40" s="21">
        <v>111.6</v>
      </c>
    </row>
    <row r="41" spans="1:1" x14ac:dyDescent="0.3">
      <c r="A41" s="20">
        <v>139.30000000000001</v>
      </c>
    </row>
    <row r="42" spans="1:1" x14ac:dyDescent="0.3">
      <c r="A42" s="21">
        <v>112.5</v>
      </c>
    </row>
    <row r="43" spans="1:1" x14ac:dyDescent="0.3">
      <c r="A43" s="20">
        <v>112.5</v>
      </c>
    </row>
    <row r="44" spans="1:1" x14ac:dyDescent="0.3">
      <c r="A44" s="21">
        <v>139.30000000000001</v>
      </c>
    </row>
    <row r="45" spans="1:1" x14ac:dyDescent="0.3">
      <c r="A45" s="20">
        <v>113.2</v>
      </c>
    </row>
    <row r="46" spans="1:1" x14ac:dyDescent="0.3">
      <c r="A46" s="21">
        <v>113.2</v>
      </c>
    </row>
    <row r="47" spans="1:1" x14ac:dyDescent="0.3">
      <c r="A47" s="20">
        <v>139.30000000000001</v>
      </c>
    </row>
    <row r="48" spans="1:1" x14ac:dyDescent="0.3">
      <c r="A48" s="21">
        <v>113.9</v>
      </c>
    </row>
    <row r="49" spans="1:1" x14ac:dyDescent="0.3">
      <c r="A49" s="20">
        <v>113.9</v>
      </c>
    </row>
    <row r="50" spans="1:1" x14ac:dyDescent="0.3">
      <c r="A50" s="21">
        <v>139.30000000000001</v>
      </c>
    </row>
    <row r="51" spans="1:1" x14ac:dyDescent="0.3">
      <c r="A51" s="20">
        <v>114.3</v>
      </c>
    </row>
    <row r="52" spans="1:1" x14ac:dyDescent="0.3">
      <c r="A52" s="21">
        <v>114.3</v>
      </c>
    </row>
    <row r="53" spans="1:1" x14ac:dyDescent="0.3">
      <c r="A53" s="20">
        <v>139.30000000000001</v>
      </c>
    </row>
    <row r="54" spans="1:1" x14ac:dyDescent="0.3">
      <c r="A54" s="21">
        <v>113.9</v>
      </c>
    </row>
    <row r="55" spans="1:1" x14ac:dyDescent="0.3">
      <c r="A55" s="20">
        <v>113.9</v>
      </c>
    </row>
    <row r="56" spans="1:1" x14ac:dyDescent="0.3">
      <c r="A56" s="21">
        <v>139.30000000000001</v>
      </c>
    </row>
    <row r="57" spans="1:1" x14ac:dyDescent="0.3">
      <c r="A57" s="20">
        <v>114.8</v>
      </c>
    </row>
    <row r="58" spans="1:1" x14ac:dyDescent="0.3">
      <c r="A58" s="21">
        <v>114.8</v>
      </c>
    </row>
    <row r="59" spans="1:1" x14ac:dyDescent="0.3">
      <c r="A59" s="20">
        <v>139.30000000000001</v>
      </c>
    </row>
    <row r="60" spans="1:1" x14ac:dyDescent="0.3">
      <c r="A60" s="21">
        <v>115.5</v>
      </c>
    </row>
    <row r="61" spans="1:1" x14ac:dyDescent="0.3">
      <c r="A61" s="20">
        <v>115.5</v>
      </c>
    </row>
    <row r="62" spans="1:1" x14ac:dyDescent="0.3">
      <c r="A62" s="21">
        <v>139.30000000000001</v>
      </c>
    </row>
    <row r="63" spans="1:1" x14ac:dyDescent="0.3">
      <c r="A63" s="20">
        <v>116.1</v>
      </c>
    </row>
    <row r="64" spans="1:1" x14ac:dyDescent="0.3">
      <c r="A64" s="21">
        <v>116.1</v>
      </c>
    </row>
    <row r="65" spans="1:1" x14ac:dyDescent="0.3">
      <c r="A65" s="20">
        <v>139.30000000000001</v>
      </c>
    </row>
    <row r="66" spans="1:1" x14ac:dyDescent="0.3">
      <c r="A66" s="21">
        <v>116.7</v>
      </c>
    </row>
    <row r="67" spans="1:1" x14ac:dyDescent="0.3">
      <c r="A67" s="20">
        <v>116.7</v>
      </c>
    </row>
    <row r="68" spans="1:1" x14ac:dyDescent="0.3">
      <c r="A68" s="21">
        <v>139.30000000000001</v>
      </c>
    </row>
    <row r="69" spans="1:1" x14ac:dyDescent="0.3">
      <c r="A69" s="20">
        <v>117.1</v>
      </c>
    </row>
    <row r="70" spans="1:1" x14ac:dyDescent="0.3">
      <c r="A70" s="21">
        <v>117.1</v>
      </c>
    </row>
    <row r="71" spans="1:1" x14ac:dyDescent="0.3">
      <c r="A71" s="20">
        <v>139.30000000000001</v>
      </c>
    </row>
    <row r="72" spans="1:1" x14ac:dyDescent="0.3">
      <c r="A72" s="21">
        <v>116.5</v>
      </c>
    </row>
    <row r="73" spans="1:1" x14ac:dyDescent="0.3">
      <c r="A73" s="20">
        <v>116.5</v>
      </c>
    </row>
    <row r="74" spans="1:1" x14ac:dyDescent="0.3">
      <c r="A74" s="21">
        <v>139.30000000000001</v>
      </c>
    </row>
    <row r="75" spans="1:1" x14ac:dyDescent="0.3">
      <c r="A75" s="20">
        <v>117.3</v>
      </c>
    </row>
    <row r="76" spans="1:1" x14ac:dyDescent="0.3">
      <c r="A76" s="21">
        <v>117.3</v>
      </c>
    </row>
    <row r="77" spans="1:1" x14ac:dyDescent="0.3">
      <c r="A77" s="20">
        <v>139.30000000000001</v>
      </c>
    </row>
    <row r="78" spans="1:1" x14ac:dyDescent="0.3">
      <c r="A78" s="21">
        <v>118.1</v>
      </c>
    </row>
    <row r="79" spans="1:1" x14ac:dyDescent="0.3">
      <c r="A79" s="20">
        <v>118.1</v>
      </c>
    </row>
    <row r="80" spans="1:1" x14ac:dyDescent="0.3">
      <c r="A80" s="21">
        <v>139.30000000000001</v>
      </c>
    </row>
    <row r="81" spans="1:1" x14ac:dyDescent="0.3">
      <c r="A81" s="20">
        <v>118.6</v>
      </c>
    </row>
    <row r="82" spans="1:1" x14ac:dyDescent="0.3">
      <c r="A82" s="21">
        <v>118.6</v>
      </c>
    </row>
    <row r="83" spans="1:1" x14ac:dyDescent="0.3">
      <c r="A83" s="20">
        <v>139.30000000000001</v>
      </c>
    </row>
    <row r="84" spans="1:1" x14ac:dyDescent="0.3">
      <c r="A84" s="21">
        <v>119.2</v>
      </c>
    </row>
    <row r="85" spans="1:1" x14ac:dyDescent="0.3">
      <c r="A85" s="20">
        <v>119.2</v>
      </c>
    </row>
    <row r="86" spans="1:1" x14ac:dyDescent="0.3">
      <c r="A86" s="21">
        <v>139.30000000000001</v>
      </c>
    </row>
    <row r="87" spans="1:1" x14ac:dyDescent="0.3">
      <c r="A87" s="20">
        <v>119.6</v>
      </c>
    </row>
    <row r="88" spans="1:1" x14ac:dyDescent="0.3">
      <c r="A88" s="21">
        <v>119.6</v>
      </c>
    </row>
    <row r="89" spans="1:1" x14ac:dyDescent="0.3">
      <c r="A89" s="20">
        <v>139.30000000000001</v>
      </c>
    </row>
    <row r="90" spans="1:1" x14ac:dyDescent="0.3">
      <c r="A90" s="21">
        <v>119</v>
      </c>
    </row>
    <row r="91" spans="1:1" x14ac:dyDescent="0.3">
      <c r="A91" s="20">
        <v>119</v>
      </c>
    </row>
    <row r="92" spans="1:1" x14ac:dyDescent="0.3">
      <c r="A92" s="21">
        <v>139.30000000000001</v>
      </c>
    </row>
    <row r="93" spans="1:1" x14ac:dyDescent="0.3">
      <c r="A93" s="20">
        <v>119.9</v>
      </c>
    </row>
    <row r="94" spans="1:1" x14ac:dyDescent="0.3">
      <c r="A94" s="21">
        <v>119.9</v>
      </c>
    </row>
    <row r="95" spans="1:1" x14ac:dyDescent="0.3">
      <c r="A95" s="20">
        <v>139.30000000000001</v>
      </c>
    </row>
    <row r="96" spans="1:1" x14ac:dyDescent="0.3">
      <c r="A96" s="21">
        <v>120.9</v>
      </c>
    </row>
    <row r="97" spans="1:1" x14ac:dyDescent="0.3">
      <c r="A97" s="20">
        <v>120.9</v>
      </c>
    </row>
    <row r="98" spans="1:1" x14ac:dyDescent="0.3">
      <c r="A98" s="21">
        <v>139.30000000000001</v>
      </c>
    </row>
    <row r="99" spans="1:1" x14ac:dyDescent="0.3">
      <c r="A99" s="20">
        <v>121.6</v>
      </c>
    </row>
    <row r="100" spans="1:1" x14ac:dyDescent="0.3">
      <c r="A100" s="21">
        <v>121.6</v>
      </c>
    </row>
    <row r="101" spans="1:1" x14ac:dyDescent="0.3">
      <c r="A101" s="20">
        <v>139.30000000000001</v>
      </c>
    </row>
    <row r="102" spans="1:1" x14ac:dyDescent="0.3">
      <c r="A102" s="21">
        <v>122.4</v>
      </c>
    </row>
    <row r="103" spans="1:1" x14ac:dyDescent="0.3">
      <c r="A103" s="20">
        <v>122.4</v>
      </c>
    </row>
    <row r="104" spans="1:1" x14ac:dyDescent="0.3">
      <c r="A104" s="21">
        <v>139.30000000000001</v>
      </c>
    </row>
    <row r="105" spans="1:1" x14ac:dyDescent="0.3">
      <c r="A105" s="20">
        <v>122.9</v>
      </c>
    </row>
    <row r="106" spans="1:1" x14ac:dyDescent="0.3">
      <c r="A106" s="21">
        <v>122.9</v>
      </c>
    </row>
    <row r="107" spans="1:1" x14ac:dyDescent="0.3">
      <c r="A107" s="20">
        <v>139.30000000000001</v>
      </c>
    </row>
    <row r="108" spans="1:1" x14ac:dyDescent="0.3">
      <c r="A108" s="21">
        <v>122.4</v>
      </c>
    </row>
    <row r="109" spans="1:1" x14ac:dyDescent="0.3">
      <c r="A109" s="20">
        <v>122.4</v>
      </c>
    </row>
    <row r="110" spans="1:1" x14ac:dyDescent="0.3">
      <c r="A110" s="21">
        <v>139.30000000000001</v>
      </c>
    </row>
    <row r="111" spans="1:1" x14ac:dyDescent="0.3">
      <c r="A111" s="20">
        <v>123.4</v>
      </c>
    </row>
    <row r="112" spans="1:1" x14ac:dyDescent="0.3">
      <c r="A112" s="21">
        <v>123.4</v>
      </c>
    </row>
    <row r="113" spans="1:1" x14ac:dyDescent="0.3">
      <c r="A113" s="20">
        <v>139.30000000000001</v>
      </c>
    </row>
    <row r="114" spans="1:1" x14ac:dyDescent="0.3">
      <c r="A114" s="21">
        <v>124.4</v>
      </c>
    </row>
    <row r="115" spans="1:1" x14ac:dyDescent="0.3">
      <c r="A115" s="20">
        <v>124.4</v>
      </c>
    </row>
    <row r="116" spans="1:1" x14ac:dyDescent="0.3">
      <c r="A116" s="21">
        <v>139.30000000000001</v>
      </c>
    </row>
    <row r="117" spans="1:1" x14ac:dyDescent="0.3">
      <c r="A117" s="20">
        <v>124.9</v>
      </c>
    </row>
    <row r="118" spans="1:1" x14ac:dyDescent="0.3">
      <c r="A118" s="21">
        <v>124.9</v>
      </c>
    </row>
    <row r="119" spans="1:1" x14ac:dyDescent="0.3">
      <c r="A119" s="20">
        <v>139.30000000000001</v>
      </c>
    </row>
    <row r="120" spans="1:1" x14ac:dyDescent="0.3">
      <c r="A120" s="21">
        <v>125.6</v>
      </c>
    </row>
    <row r="121" spans="1:1" x14ac:dyDescent="0.3">
      <c r="A121" s="20">
        <v>125.6</v>
      </c>
    </row>
    <row r="122" spans="1:1" x14ac:dyDescent="0.3">
      <c r="A122" s="21">
        <v>139.30000000000001</v>
      </c>
    </row>
    <row r="123" spans="1:1" x14ac:dyDescent="0.3">
      <c r="A123" s="20">
        <v>126</v>
      </c>
    </row>
    <row r="124" spans="1:1" x14ac:dyDescent="0.3">
      <c r="A124" s="21">
        <v>126</v>
      </c>
    </row>
    <row r="125" spans="1:1" x14ac:dyDescent="0.3">
      <c r="A125" s="20">
        <v>139.30000000000001</v>
      </c>
    </row>
    <row r="126" spans="1:1" x14ac:dyDescent="0.3">
      <c r="A126" s="21">
        <v>125.5</v>
      </c>
    </row>
    <row r="127" spans="1:1" x14ac:dyDescent="0.3">
      <c r="A127" s="20">
        <v>125.5</v>
      </c>
    </row>
    <row r="128" spans="1:1" x14ac:dyDescent="0.3">
      <c r="A128" s="21">
        <v>139.30000000000001</v>
      </c>
    </row>
    <row r="129" spans="1:1" x14ac:dyDescent="0.3">
      <c r="A129" s="20">
        <v>126.4</v>
      </c>
    </row>
    <row r="130" spans="1:1" x14ac:dyDescent="0.3">
      <c r="A130" s="21">
        <v>126.4</v>
      </c>
    </row>
    <row r="131" spans="1:1" x14ac:dyDescent="0.3">
      <c r="A131" s="20">
        <v>139.30000000000001</v>
      </c>
    </row>
    <row r="132" spans="1:1" x14ac:dyDescent="0.3">
      <c r="A132" s="21">
        <v>127.3</v>
      </c>
    </row>
    <row r="133" spans="1:1" x14ac:dyDescent="0.3">
      <c r="A133" s="20">
        <v>127.3</v>
      </c>
    </row>
    <row r="134" spans="1:1" x14ac:dyDescent="0.3">
      <c r="A134" s="21">
        <v>139.30000000000001</v>
      </c>
    </row>
    <row r="135" spans="1:1" x14ac:dyDescent="0.3">
      <c r="A135" s="20">
        <v>127.9</v>
      </c>
    </row>
    <row r="136" spans="1:1" x14ac:dyDescent="0.3">
      <c r="A136" s="21">
        <v>127.9</v>
      </c>
    </row>
    <row r="137" spans="1:1" x14ac:dyDescent="0.3">
      <c r="A137" s="20">
        <v>139.30000000000001</v>
      </c>
    </row>
    <row r="138" spans="1:1" x14ac:dyDescent="0.3">
      <c r="A138" s="21">
        <v>128.69999999999999</v>
      </c>
    </row>
    <row r="139" spans="1:1" x14ac:dyDescent="0.3">
      <c r="A139" s="20">
        <v>128.69999999999999</v>
      </c>
    </row>
    <row r="140" spans="1:1" x14ac:dyDescent="0.3">
      <c r="A140" s="21">
        <v>139.30000000000001</v>
      </c>
    </row>
    <row r="141" spans="1:1" x14ac:dyDescent="0.3">
      <c r="A141" s="20">
        <v>129.1</v>
      </c>
    </row>
    <row r="142" spans="1:1" x14ac:dyDescent="0.3">
      <c r="A142" s="21">
        <v>129.1</v>
      </c>
    </row>
    <row r="143" spans="1:1" x14ac:dyDescent="0.3">
      <c r="A143" s="20">
        <v>139.30000000000001</v>
      </c>
    </row>
    <row r="144" spans="1:1" x14ac:dyDescent="0.3">
      <c r="A144" s="21">
        <v>128.5</v>
      </c>
    </row>
    <row r="145" spans="1:1" x14ac:dyDescent="0.3">
      <c r="A145" s="20">
        <v>128.5</v>
      </c>
    </row>
    <row r="146" spans="1:1" x14ac:dyDescent="0.3">
      <c r="A146" s="21">
        <v>139.30000000000001</v>
      </c>
    </row>
    <row r="147" spans="1:1" x14ac:dyDescent="0.3">
      <c r="A147" s="20">
        <v>129.6</v>
      </c>
    </row>
    <row r="148" spans="1:1" x14ac:dyDescent="0.3">
      <c r="A148" s="21">
        <v>129.6</v>
      </c>
    </row>
    <row r="149" spans="1:1" x14ac:dyDescent="0.3">
      <c r="A149" s="20">
        <v>139.30000000000001</v>
      </c>
    </row>
    <row r="150" spans="1:1" x14ac:dyDescent="0.3">
      <c r="A150" s="21">
        <v>130.5</v>
      </c>
    </row>
    <row r="151" spans="1:1" x14ac:dyDescent="0.3">
      <c r="A151" s="20">
        <v>130.5</v>
      </c>
    </row>
    <row r="152" spans="1:1" x14ac:dyDescent="0.3">
      <c r="A152" s="21">
        <v>139.30000000000001</v>
      </c>
    </row>
    <row r="153" spans="1:1" x14ac:dyDescent="0.3">
      <c r="A153" s="20">
        <v>131.1</v>
      </c>
    </row>
    <row r="154" spans="1:1" x14ac:dyDescent="0.3">
      <c r="A154" s="21">
        <v>131.1</v>
      </c>
    </row>
    <row r="155" spans="1:1" x14ac:dyDescent="0.3">
      <c r="A155" s="20">
        <v>139.30000000000001</v>
      </c>
    </row>
    <row r="156" spans="1:1" x14ac:dyDescent="0.3">
      <c r="A156" s="21">
        <v>131.69999999999999</v>
      </c>
    </row>
    <row r="157" spans="1:1" x14ac:dyDescent="0.3">
      <c r="A157" s="20">
        <v>131.69999999999999</v>
      </c>
    </row>
    <row r="158" spans="1:1" x14ac:dyDescent="0.3">
      <c r="A158" s="21">
        <v>139.30000000000001</v>
      </c>
    </row>
    <row r="159" spans="1:1" x14ac:dyDescent="0.3">
      <c r="A159" s="20">
        <v>132.1</v>
      </c>
    </row>
    <row r="160" spans="1:1" x14ac:dyDescent="0.3">
      <c r="A160" s="21">
        <v>132.1</v>
      </c>
    </row>
    <row r="161" spans="1:1" x14ac:dyDescent="0.3">
      <c r="A161" s="20">
        <v>139.30000000000001</v>
      </c>
    </row>
    <row r="162" spans="1:1" x14ac:dyDescent="0.3">
      <c r="A162" s="21">
        <v>131.4</v>
      </c>
    </row>
    <row r="163" spans="1:1" x14ac:dyDescent="0.3">
      <c r="A163" s="20">
        <v>131.4</v>
      </c>
    </row>
    <row r="164" spans="1:1" x14ac:dyDescent="0.3">
      <c r="A164" s="21">
        <v>139.30000000000001</v>
      </c>
    </row>
    <row r="165" spans="1:1" x14ac:dyDescent="0.3">
      <c r="A165" s="20">
        <v>132.6</v>
      </c>
    </row>
    <row r="166" spans="1:1" x14ac:dyDescent="0.3">
      <c r="A166" s="21">
        <v>132.6</v>
      </c>
    </row>
    <row r="167" spans="1:1" x14ac:dyDescent="0.3">
      <c r="A167" s="20">
        <v>139.30000000000001</v>
      </c>
    </row>
    <row r="168" spans="1:1" x14ac:dyDescent="0.3">
      <c r="A168" s="21">
        <v>134.4</v>
      </c>
    </row>
    <row r="169" spans="1:1" x14ac:dyDescent="0.3">
      <c r="A169" s="20">
        <v>134.4</v>
      </c>
    </row>
    <row r="170" spans="1:1" x14ac:dyDescent="0.3">
      <c r="A170" s="21">
        <v>139.30000000000001</v>
      </c>
    </row>
    <row r="171" spans="1:1" x14ac:dyDescent="0.3">
      <c r="A171" s="20">
        <v>135.69999999999999</v>
      </c>
    </row>
    <row r="172" spans="1:1" x14ac:dyDescent="0.3">
      <c r="A172" s="21">
        <v>135.69999999999999</v>
      </c>
    </row>
    <row r="173" spans="1:1" x14ac:dyDescent="0.3">
      <c r="A173" s="20">
        <v>139.30000000000001</v>
      </c>
    </row>
    <row r="174" spans="1:1" x14ac:dyDescent="0.3">
      <c r="A174" s="21">
        <v>137.30000000000001</v>
      </c>
    </row>
    <row r="175" spans="1:1" x14ac:dyDescent="0.3">
      <c r="A175" s="20">
        <v>137.30000000000001</v>
      </c>
    </row>
    <row r="176" spans="1:1" x14ac:dyDescent="0.3">
      <c r="A176" s="21">
        <v>139.30000000000001</v>
      </c>
    </row>
    <row r="177" spans="1:1" x14ac:dyDescent="0.3">
      <c r="A177" s="20">
        <v>138.6</v>
      </c>
    </row>
    <row r="178" spans="1:1" x14ac:dyDescent="0.3">
      <c r="A178" s="21">
        <v>138.6</v>
      </c>
    </row>
    <row r="179" spans="1:1" x14ac:dyDescent="0.3">
      <c r="A179" s="20">
        <v>139.30000000000001</v>
      </c>
    </row>
    <row r="180" spans="1:1" x14ac:dyDescent="0.3">
      <c r="A180" s="21">
        <v>139.1</v>
      </c>
    </row>
    <row r="181" spans="1:1" x14ac:dyDescent="0.3">
      <c r="A181" s="20">
        <v>139.1</v>
      </c>
    </row>
    <row r="182" spans="1:1" x14ac:dyDescent="0.3">
      <c r="A182" s="21">
        <v>139.30000000000001</v>
      </c>
    </row>
    <row r="183" spans="1:1" x14ac:dyDescent="0.3">
      <c r="A183" s="20">
        <v>140.4</v>
      </c>
    </row>
    <row r="184" spans="1:1" x14ac:dyDescent="0.3">
      <c r="A184" s="21">
        <v>140.4</v>
      </c>
    </row>
    <row r="185" spans="1:1" x14ac:dyDescent="0.3">
      <c r="A185" s="20">
        <v>139.30000000000001</v>
      </c>
    </row>
    <row r="186" spans="1:1" x14ac:dyDescent="0.3">
      <c r="A186" s="21">
        <v>141.30000000000001</v>
      </c>
    </row>
    <row r="187" spans="1:1" x14ac:dyDescent="0.3">
      <c r="A187" s="20">
        <v>141.30000000000001</v>
      </c>
    </row>
    <row r="188" spans="1:1" x14ac:dyDescent="0.3">
      <c r="A188" s="21">
        <v>139.30000000000001</v>
      </c>
    </row>
    <row r="189" spans="1:1" x14ac:dyDescent="0.3">
      <c r="A189" s="20">
        <v>142</v>
      </c>
    </row>
    <row r="190" spans="1:1" x14ac:dyDescent="0.3">
      <c r="A190" s="21">
        <v>142</v>
      </c>
    </row>
    <row r="191" spans="1:1" x14ac:dyDescent="0.3">
      <c r="A191" s="20">
        <v>139.30000000000001</v>
      </c>
    </row>
    <row r="192" spans="1:1" x14ac:dyDescent="0.3">
      <c r="A192" s="21">
        <v>142.9</v>
      </c>
    </row>
    <row r="193" spans="1:1" x14ac:dyDescent="0.3">
      <c r="A193" s="20">
        <v>142.9</v>
      </c>
    </row>
    <row r="194" spans="1:1" x14ac:dyDescent="0.3">
      <c r="A194" s="21">
        <v>139.30000000000001</v>
      </c>
    </row>
    <row r="195" spans="1:1" x14ac:dyDescent="0.3">
      <c r="A195" s="20">
        <v>143.19999999999999</v>
      </c>
    </row>
    <row r="196" spans="1:1" x14ac:dyDescent="0.3">
      <c r="A196" s="21">
        <v>143.19999999999999</v>
      </c>
    </row>
    <row r="197" spans="1:1" x14ac:dyDescent="0.3">
      <c r="A197" s="20">
        <v>139.30000000000001</v>
      </c>
    </row>
    <row r="198" spans="1:1" x14ac:dyDescent="0.3">
      <c r="A198" s="21">
        <v>142.5</v>
      </c>
    </row>
    <row r="199" spans="1:1" x14ac:dyDescent="0.3">
      <c r="A199" s="20">
        <v>142.5</v>
      </c>
    </row>
    <row r="200" spans="1:1" x14ac:dyDescent="0.3">
      <c r="A200" s="21">
        <v>139.30000000000001</v>
      </c>
    </row>
    <row r="201" spans="1:1" x14ac:dyDescent="0.3">
      <c r="A201" s="20">
        <v>143.6</v>
      </c>
    </row>
    <row r="202" spans="1:1" x14ac:dyDescent="0.3">
      <c r="A202" s="21">
        <v>143.6</v>
      </c>
    </row>
    <row r="203" spans="1:1" x14ac:dyDescent="0.3">
      <c r="A203" s="20">
        <v>139.30000000000001</v>
      </c>
    </row>
    <row r="204" spans="1:1" x14ac:dyDescent="0.3">
      <c r="A204" s="21">
        <v>144.6</v>
      </c>
    </row>
    <row r="205" spans="1:1" x14ac:dyDescent="0.3">
      <c r="A205" s="20">
        <v>144.6</v>
      </c>
    </row>
    <row r="206" spans="1:1" x14ac:dyDescent="0.3">
      <c r="A206" s="21">
        <v>139.30000000000001</v>
      </c>
    </row>
    <row r="207" spans="1:1" x14ac:dyDescent="0.3">
      <c r="A207" s="20">
        <v>145.30000000000001</v>
      </c>
    </row>
    <row r="208" spans="1:1" x14ac:dyDescent="0.3">
      <c r="A208" s="21">
        <v>145.30000000000001</v>
      </c>
    </row>
    <row r="209" spans="1:1" x14ac:dyDescent="0.3">
      <c r="A209" s="20">
        <v>139.30000000000001</v>
      </c>
    </row>
    <row r="210" spans="1:1" x14ac:dyDescent="0.3">
      <c r="A210" s="21">
        <v>146.30000000000001</v>
      </c>
    </row>
    <row r="211" spans="1:1" x14ac:dyDescent="0.3">
      <c r="A211" s="20">
        <v>146.9</v>
      </c>
    </row>
    <row r="212" spans="1:1" x14ac:dyDescent="0.3">
      <c r="A212" s="21">
        <v>139.30000000000001</v>
      </c>
    </row>
    <row r="213" spans="1:1" x14ac:dyDescent="0.3">
      <c r="A213" s="20">
        <v>146.9</v>
      </c>
    </row>
    <row r="214" spans="1:1" x14ac:dyDescent="0.3">
      <c r="A214" s="21">
        <v>146.9</v>
      </c>
    </row>
    <row r="215" spans="1:1" x14ac:dyDescent="0.3">
      <c r="A215" s="20">
        <v>139.30000000000001</v>
      </c>
    </row>
    <row r="216" spans="1:1" x14ac:dyDescent="0.3">
      <c r="A216" s="21">
        <v>146.5</v>
      </c>
    </row>
    <row r="217" spans="1:1" x14ac:dyDescent="0.3">
      <c r="A217" s="20">
        <v>146.5</v>
      </c>
    </row>
    <row r="218" spans="1:1" x14ac:dyDescent="0.3">
      <c r="A218" s="21">
        <v>139.30000000000001</v>
      </c>
    </row>
    <row r="219" spans="1:1" x14ac:dyDescent="0.3">
      <c r="A219" s="20">
        <v>147.69999999999999</v>
      </c>
    </row>
    <row r="220" spans="1:1" x14ac:dyDescent="0.3">
      <c r="A220" s="21">
        <v>147.69999999999999</v>
      </c>
    </row>
    <row r="221" spans="1:1" x14ac:dyDescent="0.3">
      <c r="A221" s="20">
        <v>139.30000000000001</v>
      </c>
    </row>
    <row r="222" spans="1:1" x14ac:dyDescent="0.3">
      <c r="A222" s="21">
        <v>148.5</v>
      </c>
    </row>
    <row r="223" spans="1:1" x14ac:dyDescent="0.3">
      <c r="A223" s="20">
        <v>148.5</v>
      </c>
    </row>
    <row r="224" spans="1:1" x14ac:dyDescent="0.3">
      <c r="A224" s="21">
        <v>139.30000000000001</v>
      </c>
    </row>
    <row r="225" spans="1:1" x14ac:dyDescent="0.3">
      <c r="A225" s="20">
        <v>149</v>
      </c>
    </row>
    <row r="226" spans="1:1" x14ac:dyDescent="0.3">
      <c r="A226" s="21">
        <v>149</v>
      </c>
    </row>
    <row r="227" spans="1:1" x14ac:dyDescent="0.3">
      <c r="A227" s="20">
        <v>139.30000000000001</v>
      </c>
    </row>
    <row r="228" spans="1:1" x14ac:dyDescent="0.3">
      <c r="A228" s="21">
        <v>150.1</v>
      </c>
    </row>
    <row r="229" spans="1:1" x14ac:dyDescent="0.3">
      <c r="A229" s="20">
        <v>150.1</v>
      </c>
    </row>
    <row r="230" spans="1:1" x14ac:dyDescent="0.3">
      <c r="A230" s="21">
        <v>139.30000000000001</v>
      </c>
    </row>
    <row r="231" spans="1:1" x14ac:dyDescent="0.3">
      <c r="A231" s="20">
        <v>149.4</v>
      </c>
    </row>
    <row r="232" spans="1:1" x14ac:dyDescent="0.3">
      <c r="A232" s="21">
        <v>149.4</v>
      </c>
    </row>
    <row r="233" spans="1:1" x14ac:dyDescent="0.3">
      <c r="A233" s="20">
        <v>139.30000000000001</v>
      </c>
    </row>
    <row r="234" spans="1:1" x14ac:dyDescent="0.3">
      <c r="A234" s="21">
        <v>150.6</v>
      </c>
    </row>
    <row r="235" spans="1:1" x14ac:dyDescent="0.3">
      <c r="A235" s="20">
        <v>150.6</v>
      </c>
    </row>
    <row r="236" spans="1:1" x14ac:dyDescent="0.3">
      <c r="A236" s="21">
        <v>139.30000000000001</v>
      </c>
    </row>
    <row r="237" spans="1:1" x14ac:dyDescent="0.3">
      <c r="A237" s="20">
        <v>151.6</v>
      </c>
    </row>
    <row r="238" spans="1:1" x14ac:dyDescent="0.3">
      <c r="A238" s="21">
        <v>151.6</v>
      </c>
    </row>
    <row r="239" spans="1:1" x14ac:dyDescent="0.3">
      <c r="A239" s="20">
        <v>139.30000000000001</v>
      </c>
    </row>
    <row r="240" spans="1:1" x14ac:dyDescent="0.3">
      <c r="A240" s="21">
        <v>152.19999999999999</v>
      </c>
    </row>
    <row r="241" spans="1:1" x14ac:dyDescent="0.3">
      <c r="A241" s="20">
        <v>152.19999999999999</v>
      </c>
    </row>
    <row r="242" spans="1:1" x14ac:dyDescent="0.3">
      <c r="A242" s="21">
        <v>139.30000000000001</v>
      </c>
    </row>
    <row r="243" spans="1:1" x14ac:dyDescent="0.3">
      <c r="A243" s="20">
        <v>153</v>
      </c>
    </row>
    <row r="244" spans="1:1" x14ac:dyDescent="0.3">
      <c r="A244" s="21">
        <v>153</v>
      </c>
    </row>
    <row r="245" spans="1:1" x14ac:dyDescent="0.3">
      <c r="A245" s="20">
        <v>139.30000000000001</v>
      </c>
    </row>
    <row r="246" spans="1:1" x14ac:dyDescent="0.3">
      <c r="A246" s="21">
        <v>153.5</v>
      </c>
    </row>
    <row r="247" spans="1:1" x14ac:dyDescent="0.3">
      <c r="A247" s="20">
        <v>153.5</v>
      </c>
    </row>
    <row r="248" spans="1:1" x14ac:dyDescent="0.3">
      <c r="A248" s="21">
        <v>139.30000000000001</v>
      </c>
    </row>
    <row r="249" spans="1:1" x14ac:dyDescent="0.3">
      <c r="A249" s="20">
        <v>152.80000000000001</v>
      </c>
    </row>
    <row r="250" spans="1:1" x14ac:dyDescent="0.3">
      <c r="A250" s="21">
        <v>152.80000000000001</v>
      </c>
    </row>
    <row r="251" spans="1:1" x14ac:dyDescent="0.3">
      <c r="A251" s="20">
        <v>139.30000000000001</v>
      </c>
    </row>
    <row r="252" spans="1:1" x14ac:dyDescent="0.3">
      <c r="A252" s="21">
        <v>153.9</v>
      </c>
    </row>
    <row r="253" spans="1:1" x14ac:dyDescent="0.3">
      <c r="A253" s="20">
        <v>153.9</v>
      </c>
    </row>
    <row r="254" spans="1:1" x14ac:dyDescent="0.3">
      <c r="A254" s="21">
        <v>139.30000000000001</v>
      </c>
    </row>
    <row r="255" spans="1:1" x14ac:dyDescent="0.3">
      <c r="A255" s="20">
        <v>154.80000000000001</v>
      </c>
    </row>
    <row r="256" spans="1:1" x14ac:dyDescent="0.3">
      <c r="A256" s="21">
        <v>154.80000000000001</v>
      </c>
    </row>
    <row r="257" spans="1:1" x14ac:dyDescent="0.3">
      <c r="A257" s="20">
        <v>139.30000000000001</v>
      </c>
    </row>
    <row r="258" spans="1:1" x14ac:dyDescent="0.3">
      <c r="A258" s="21">
        <v>154.5</v>
      </c>
    </row>
    <row r="259" spans="1:1" x14ac:dyDescent="0.3">
      <c r="A259" s="20">
        <v>154.5</v>
      </c>
    </row>
    <row r="260" spans="1:1" x14ac:dyDescent="0.3">
      <c r="A260" s="21">
        <v>139.30000000000001</v>
      </c>
    </row>
    <row r="261" spans="1:1" x14ac:dyDescent="0.3">
      <c r="A261" s="20">
        <v>155.6</v>
      </c>
    </row>
    <row r="262" spans="1:1" x14ac:dyDescent="0.3">
      <c r="A262" s="21">
        <v>155.6</v>
      </c>
    </row>
    <row r="263" spans="1:1" x14ac:dyDescent="0.3">
      <c r="A263" s="20">
        <v>139.30000000000001</v>
      </c>
    </row>
    <row r="264" spans="1:1" x14ac:dyDescent="0.3">
      <c r="A264" s="21">
        <v>139.30000000000001</v>
      </c>
    </row>
    <row r="265" spans="1:1" x14ac:dyDescent="0.3">
      <c r="A265" s="20">
        <v>139.30000000000001</v>
      </c>
    </row>
    <row r="266" spans="1:1" x14ac:dyDescent="0.3">
      <c r="A266" s="21">
        <v>139.30000000000001</v>
      </c>
    </row>
    <row r="267" spans="1:1" x14ac:dyDescent="0.3">
      <c r="A267" s="20">
        <v>154.69999999999999</v>
      </c>
    </row>
    <row r="268" spans="1:1" x14ac:dyDescent="0.3">
      <c r="A268" s="21">
        <v>154.69999999999999</v>
      </c>
    </row>
    <row r="269" spans="1:1" x14ac:dyDescent="0.3">
      <c r="A269" s="20">
        <v>139.30000000000001</v>
      </c>
    </row>
    <row r="270" spans="1:1" x14ac:dyDescent="0.3">
      <c r="A270" s="21">
        <v>154.69999999999999</v>
      </c>
    </row>
    <row r="271" spans="1:1" x14ac:dyDescent="0.3">
      <c r="A271" s="20">
        <v>154.69999999999999</v>
      </c>
    </row>
    <row r="272" spans="1:1" x14ac:dyDescent="0.3">
      <c r="A272" s="21">
        <v>139.30000000000001</v>
      </c>
    </row>
    <row r="273" spans="1:1" x14ac:dyDescent="0.3">
      <c r="A273" s="20">
        <v>155.5</v>
      </c>
    </row>
    <row r="274" spans="1:1" x14ac:dyDescent="0.3">
      <c r="A274" s="21">
        <v>155.5</v>
      </c>
    </row>
    <row r="275" spans="1:1" x14ac:dyDescent="0.3">
      <c r="A275" s="20">
        <v>139.30000000000001</v>
      </c>
    </row>
    <row r="276" spans="1:1" x14ac:dyDescent="0.3">
      <c r="A276" s="21">
        <v>156.30000000000001</v>
      </c>
    </row>
    <row r="277" spans="1:1" x14ac:dyDescent="0.3">
      <c r="A277" s="20">
        <v>156.30000000000001</v>
      </c>
    </row>
    <row r="278" spans="1:1" x14ac:dyDescent="0.3">
      <c r="A278" s="21">
        <v>139.30000000000001</v>
      </c>
    </row>
    <row r="279" spans="1:1" x14ac:dyDescent="0.3">
      <c r="A279" s="20">
        <v>156.5</v>
      </c>
    </row>
    <row r="280" spans="1:1" x14ac:dyDescent="0.3">
      <c r="A280" s="21">
        <v>156.5</v>
      </c>
    </row>
    <row r="281" spans="1:1" x14ac:dyDescent="0.3">
      <c r="A281" s="20">
        <v>139.30000000000001</v>
      </c>
    </row>
    <row r="282" spans="1:1" x14ac:dyDescent="0.3">
      <c r="A282" s="21">
        <v>158</v>
      </c>
    </row>
    <row r="283" spans="1:1" x14ac:dyDescent="0.3">
      <c r="A283" s="20">
        <v>158</v>
      </c>
    </row>
    <row r="284" spans="1:1" x14ac:dyDescent="0.3">
      <c r="A284" s="21">
        <v>139.30000000000001</v>
      </c>
    </row>
    <row r="285" spans="1:1" x14ac:dyDescent="0.3">
      <c r="A285" s="20">
        <v>158.4</v>
      </c>
    </row>
    <row r="286" spans="1:1" x14ac:dyDescent="0.3">
      <c r="A286" s="21">
        <v>158.4</v>
      </c>
    </row>
    <row r="287" spans="1:1" x14ac:dyDescent="0.3">
      <c r="A287" s="20">
        <v>139.30000000000001</v>
      </c>
    </row>
    <row r="288" spans="1:1" x14ac:dyDescent="0.3">
      <c r="A288" s="21">
        <v>157.69999999999999</v>
      </c>
    </row>
    <row r="289" spans="1:1" x14ac:dyDescent="0.3">
      <c r="A289" s="20">
        <v>157.69999999999999</v>
      </c>
    </row>
    <row r="290" spans="1:1" x14ac:dyDescent="0.3">
      <c r="A290" s="21">
        <v>139.30000000000001</v>
      </c>
    </row>
    <row r="291" spans="1:1" x14ac:dyDescent="0.3">
      <c r="A291" s="20">
        <v>159.80000000000001</v>
      </c>
    </row>
    <row r="292" spans="1:1" x14ac:dyDescent="0.3">
      <c r="A292" s="21">
        <v>159.80000000000001</v>
      </c>
    </row>
    <row r="293" spans="1:1" x14ac:dyDescent="0.3">
      <c r="A293" s="20">
        <v>139.30000000000001</v>
      </c>
    </row>
    <row r="294" spans="1:1" x14ac:dyDescent="0.3">
      <c r="A294" s="21">
        <v>159.9</v>
      </c>
    </row>
    <row r="295" spans="1:1" x14ac:dyDescent="0.3">
      <c r="A295" s="20">
        <v>159.9</v>
      </c>
    </row>
    <row r="296" spans="1:1" x14ac:dyDescent="0.3">
      <c r="A296" s="21">
        <v>139.30000000000001</v>
      </c>
    </row>
    <row r="297" spans="1:1" x14ac:dyDescent="0.3">
      <c r="A297" s="20">
        <v>161.4</v>
      </c>
    </row>
    <row r="298" spans="1:1" x14ac:dyDescent="0.3">
      <c r="A298" s="21">
        <v>161.4</v>
      </c>
    </row>
    <row r="299" spans="1:1" x14ac:dyDescent="0.3">
      <c r="A299" s="20">
        <v>139.30000000000001</v>
      </c>
    </row>
    <row r="300" spans="1:1" x14ac:dyDescent="0.3">
      <c r="A300" s="21">
        <v>161.6</v>
      </c>
    </row>
    <row r="301" spans="1:1" x14ac:dyDescent="0.3">
      <c r="A301" s="20">
        <v>161.6</v>
      </c>
    </row>
    <row r="302" spans="1:1" x14ac:dyDescent="0.3">
      <c r="A302" s="21">
        <v>139.30000000000001</v>
      </c>
    </row>
    <row r="303" spans="1:1" x14ac:dyDescent="0.3">
      <c r="A303" s="20">
        <v>160.5</v>
      </c>
    </row>
    <row r="304" spans="1:1" x14ac:dyDescent="0.3">
      <c r="A304" s="21">
        <v>160.5</v>
      </c>
    </row>
    <row r="305" spans="1:1" x14ac:dyDescent="0.3">
      <c r="A305" s="20">
        <v>139.30000000000001</v>
      </c>
    </row>
    <row r="306" spans="1:1" x14ac:dyDescent="0.3">
      <c r="A306" s="21">
        <v>161.5</v>
      </c>
    </row>
    <row r="307" spans="1:1" x14ac:dyDescent="0.3">
      <c r="A307" s="20">
        <v>161.5</v>
      </c>
    </row>
    <row r="308" spans="1:1" x14ac:dyDescent="0.3">
      <c r="A308" s="21">
        <v>139.30000000000001</v>
      </c>
    </row>
    <row r="309" spans="1:1" x14ac:dyDescent="0.3">
      <c r="A309" s="20">
        <v>162.1</v>
      </c>
    </row>
    <row r="310" spans="1:1" x14ac:dyDescent="0.3">
      <c r="A310" s="21">
        <v>162.1</v>
      </c>
    </row>
    <row r="311" spans="1:1" x14ac:dyDescent="0.3">
      <c r="A311" s="20">
        <v>139.30000000000001</v>
      </c>
    </row>
    <row r="312" spans="1:1" x14ac:dyDescent="0.3">
      <c r="A312" s="21">
        <v>162.1</v>
      </c>
    </row>
    <row r="313" spans="1:1" x14ac:dyDescent="0.3">
      <c r="A313" s="20">
        <v>162.1</v>
      </c>
    </row>
    <row r="314" spans="1:1" x14ac:dyDescent="0.3">
      <c r="A314" s="21">
        <v>139.30000000000001</v>
      </c>
    </row>
    <row r="315" spans="1:1" x14ac:dyDescent="0.3">
      <c r="A315" s="20">
        <v>163.6</v>
      </c>
    </row>
    <row r="316" spans="1:1" x14ac:dyDescent="0.3">
      <c r="A316" s="21">
        <v>163.6</v>
      </c>
    </row>
    <row r="317" spans="1:1" x14ac:dyDescent="0.3">
      <c r="A317" s="20">
        <v>139.30000000000001</v>
      </c>
    </row>
    <row r="318" spans="1:1" x14ac:dyDescent="0.3">
      <c r="A318" s="21">
        <v>164.2</v>
      </c>
    </row>
    <row r="319" spans="1:1" x14ac:dyDescent="0.3">
      <c r="A319" s="20">
        <v>164.2</v>
      </c>
    </row>
    <row r="320" spans="1:1" x14ac:dyDescent="0.3">
      <c r="A320" s="21">
        <v>139.30000000000001</v>
      </c>
    </row>
    <row r="321" spans="1:1" x14ac:dyDescent="0.3">
      <c r="A321" s="20">
        <v>163.4</v>
      </c>
    </row>
    <row r="322" spans="1:1" x14ac:dyDescent="0.3">
      <c r="A322" s="21">
        <v>163.4</v>
      </c>
    </row>
    <row r="323" spans="1:1" x14ac:dyDescent="0.3">
      <c r="A323" s="20">
        <v>139.30000000000001</v>
      </c>
    </row>
    <row r="324" spans="1:1" x14ac:dyDescent="0.3">
      <c r="A324" s="21">
        <v>164.5</v>
      </c>
    </row>
    <row r="325" spans="1:1" x14ac:dyDescent="0.3">
      <c r="A325" s="20">
        <v>164.5</v>
      </c>
    </row>
    <row r="326" spans="1:1" x14ac:dyDescent="0.3">
      <c r="A326" s="21">
        <v>139.30000000000001</v>
      </c>
    </row>
    <row r="327" spans="1:1" x14ac:dyDescent="0.3">
      <c r="A327" s="20">
        <v>165.5</v>
      </c>
    </row>
    <row r="328" spans="1:1" x14ac:dyDescent="0.3">
      <c r="A328" s="21">
        <v>165.5</v>
      </c>
    </row>
    <row r="329" spans="1:1" x14ac:dyDescent="0.3">
      <c r="A329" s="20">
        <v>139.30000000000001</v>
      </c>
    </row>
    <row r="330" spans="1:1" x14ac:dyDescent="0.3">
      <c r="A330" s="21">
        <v>165.3</v>
      </c>
    </row>
    <row r="331" spans="1:1" x14ac:dyDescent="0.3">
      <c r="A331" s="20">
        <v>165.3</v>
      </c>
    </row>
    <row r="332" spans="1:1" x14ac:dyDescent="0.3">
      <c r="A332" s="21">
        <v>139.30000000000001</v>
      </c>
    </row>
    <row r="333" spans="1:1" x14ac:dyDescent="0.3">
      <c r="A333" s="20">
        <v>167</v>
      </c>
    </row>
    <row r="334" spans="1:1" x14ac:dyDescent="0.3">
      <c r="A334" s="21">
        <v>167</v>
      </c>
    </row>
    <row r="335" spans="1:1" x14ac:dyDescent="0.3">
      <c r="A335" s="20">
        <v>139.30000000000001</v>
      </c>
    </row>
    <row r="336" spans="1:1" x14ac:dyDescent="0.3">
      <c r="A336" s="21">
        <v>167.5</v>
      </c>
    </row>
    <row r="337" spans="1:1" x14ac:dyDescent="0.3">
      <c r="A337" s="20">
        <v>167.5</v>
      </c>
    </row>
    <row r="338" spans="1:1" x14ac:dyDescent="0.3">
      <c r="A338" s="21">
        <v>139.30000000000001</v>
      </c>
    </row>
    <row r="339" spans="1:1" x14ac:dyDescent="0.3">
      <c r="A339" s="20">
        <v>166.8</v>
      </c>
    </row>
    <row r="340" spans="1:1" x14ac:dyDescent="0.3">
      <c r="A340" s="21">
        <v>166.8</v>
      </c>
    </row>
    <row r="341" spans="1:1" x14ac:dyDescent="0.3">
      <c r="A341" s="20">
        <v>139.30000000000001</v>
      </c>
    </row>
    <row r="342" spans="1:1" x14ac:dyDescent="0.3">
      <c r="A342" s="21">
        <v>167.8</v>
      </c>
    </row>
    <row r="343" spans="1:1" x14ac:dyDescent="0.3">
      <c r="A343" s="20">
        <v>167.8</v>
      </c>
    </row>
    <row r="344" spans="1:1" x14ac:dyDescent="0.3">
      <c r="A344" s="21">
        <v>139.30000000000001</v>
      </c>
    </row>
    <row r="345" spans="1:1" x14ac:dyDescent="0.3">
      <c r="A345" s="20">
        <v>169</v>
      </c>
    </row>
    <row r="346" spans="1:1" x14ac:dyDescent="0.3">
      <c r="A346" s="21">
        <v>169</v>
      </c>
    </row>
    <row r="347" spans="1:1" x14ac:dyDescent="0.3">
      <c r="A347" s="20">
        <v>139.30000000000001</v>
      </c>
    </row>
    <row r="348" spans="1:1" x14ac:dyDescent="0.3">
      <c r="A348" s="21">
        <v>169.5</v>
      </c>
    </row>
    <row r="349" spans="1:1" x14ac:dyDescent="0.3">
      <c r="A349" s="20">
        <v>169.5</v>
      </c>
    </row>
    <row r="350" spans="1:1" x14ac:dyDescent="0.3">
      <c r="A350" s="21">
        <v>139.30000000000001</v>
      </c>
    </row>
    <row r="351" spans="1:1" x14ac:dyDescent="0.3">
      <c r="A351" s="20">
        <v>171.2</v>
      </c>
    </row>
    <row r="352" spans="1:1" x14ac:dyDescent="0.3">
      <c r="A352" s="21">
        <v>171.2</v>
      </c>
    </row>
    <row r="353" spans="1:1" x14ac:dyDescent="0.3">
      <c r="A353" s="20">
        <v>139.30000000000001</v>
      </c>
    </row>
    <row r="354" spans="1:1" x14ac:dyDescent="0.3">
      <c r="A354" s="21">
        <v>171.8</v>
      </c>
    </row>
    <row r="355" spans="1:1" x14ac:dyDescent="0.3">
      <c r="A355" s="20">
        <v>171.8</v>
      </c>
    </row>
    <row r="356" spans="1:1" x14ac:dyDescent="0.3">
      <c r="A356" s="21">
        <v>139.30000000000001</v>
      </c>
    </row>
    <row r="357" spans="1:1" x14ac:dyDescent="0.3">
      <c r="A357" s="20">
        <v>170.7</v>
      </c>
    </row>
    <row r="358" spans="1:1" x14ac:dyDescent="0.3">
      <c r="A358" s="21">
        <v>170.7</v>
      </c>
    </row>
    <row r="359" spans="1:1" x14ac:dyDescent="0.3">
      <c r="A359" s="20">
        <v>139.30000000000001</v>
      </c>
    </row>
    <row r="360" spans="1:1" x14ac:dyDescent="0.3">
      <c r="A360" s="21">
        <v>172.1</v>
      </c>
    </row>
    <row r="361" spans="1:1" x14ac:dyDescent="0.3">
      <c r="A361" s="20">
        <v>172.1</v>
      </c>
    </row>
    <row r="362" spans="1:1" x14ac:dyDescent="0.3">
      <c r="A362" s="21">
        <v>139.30000000000001</v>
      </c>
    </row>
    <row r="363" spans="1:1" x14ac:dyDescent="0.3">
      <c r="A363" s="20">
        <v>173.5</v>
      </c>
    </row>
    <row r="364" spans="1:1" x14ac:dyDescent="0.3">
      <c r="A364" s="21">
        <v>173.5</v>
      </c>
    </row>
    <row r="365" spans="1:1" x14ac:dyDescent="0.3">
      <c r="A365" s="20">
        <v>139.30000000000001</v>
      </c>
    </row>
    <row r="366" spans="1:1" x14ac:dyDescent="0.3">
      <c r="A366" s="21">
        <v>173.5</v>
      </c>
    </row>
    <row r="367" spans="1:1" x14ac:dyDescent="0.3">
      <c r="A367" s="20">
        <v>173.5</v>
      </c>
    </row>
    <row r="368" spans="1:1" x14ac:dyDescent="0.3">
      <c r="A368" s="21">
        <v>139.30000000000001</v>
      </c>
    </row>
    <row r="369" spans="1:1" x14ac:dyDescent="0.3">
      <c r="A369" s="20">
        <v>175.2</v>
      </c>
    </row>
    <row r="370" spans="1:1" x14ac:dyDescent="0.3">
      <c r="A370" s="21">
        <v>175.2</v>
      </c>
    </row>
    <row r="371" spans="1:1" x14ac:dyDescent="0.3">
      <c r="A371" s="20">
        <v>139.30000000000001</v>
      </c>
    </row>
    <row r="372" spans="1:1" x14ac:dyDescent="0.3">
      <c r="A372" s="21">
        <v>175.6</v>
      </c>
    </row>
    <row r="373" spans="1:1" x14ac:dyDescent="0.3">
      <c r="A373" s="20">
        <v>175.6</v>
      </c>
    </row>
  </sheetData>
  <autoFilter ref="A1" xr:uid="{46B51440-C208-4DBD-862F-B54CA31FE26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2EC61-105A-4CF6-BC71-29797381EC68}">
  <dimension ref="A1:AN23"/>
  <sheetViews>
    <sheetView topLeftCell="A8" zoomScale="72" workbookViewId="0">
      <selection activeCell="G20" sqref="G20"/>
    </sheetView>
  </sheetViews>
  <sheetFormatPr defaultRowHeight="14.4" x14ac:dyDescent="0.3"/>
  <cols>
    <col min="1" max="1" width="11.21875" bestFit="1" customWidth="1"/>
    <col min="2" max="2" width="5" bestFit="1" customWidth="1"/>
    <col min="3" max="3" width="6.77734375" bestFit="1" customWidth="1"/>
    <col min="4" max="4" width="10.33203125" bestFit="1" customWidth="1"/>
    <col min="5" max="5" width="20.77734375" customWidth="1"/>
    <col min="6" max="6" width="18.77734375" bestFit="1" customWidth="1"/>
    <col min="7" max="7" width="12.5546875" bestFit="1" customWidth="1"/>
    <col min="8" max="8" width="14.44140625" customWidth="1"/>
    <col min="9" max="9" width="16.33203125" bestFit="1" customWidth="1"/>
    <col min="10" max="10" width="11.21875" bestFit="1" customWidth="1"/>
    <col min="11" max="11" width="13.44140625" customWidth="1"/>
    <col min="12" max="12" width="10.21875" bestFit="1" customWidth="1"/>
    <col min="13" max="13" width="18" bestFit="1" customWidth="1"/>
    <col min="14" max="14" width="22.109375" bestFit="1" customWidth="1"/>
    <col min="15" max="15" width="6.21875" bestFit="1" customWidth="1"/>
    <col min="16" max="16" width="22" bestFit="1" customWidth="1"/>
    <col min="17" max="17" width="31.33203125" bestFit="1" customWidth="1"/>
    <col min="18" max="18" width="18.109375" bestFit="1" customWidth="1"/>
    <col min="19" max="19" width="25.6640625" bestFit="1" customWidth="1"/>
    <col min="20" max="20" width="8" bestFit="1" customWidth="1"/>
    <col min="22" max="22" width="20" bestFit="1" customWidth="1"/>
    <col min="23" max="23" width="7.77734375" bestFit="1" customWidth="1"/>
    <col min="24" max="24" width="18.6640625" customWidth="1"/>
    <col min="25" max="25" width="26.6640625" bestFit="1" customWidth="1"/>
    <col min="26" max="26" width="6.44140625" bestFit="1" customWidth="1"/>
    <col min="27" max="27" width="26.88671875" bestFit="1" customWidth="1"/>
    <col min="28" max="28" width="24.44140625" bestFit="1" customWidth="1"/>
    <col min="29" max="29" width="9.44140625" bestFit="1" customWidth="1"/>
    <col min="30" max="30" width="22.33203125" bestFit="1" customWidth="1"/>
    <col min="31" max="31" width="12.88671875" bestFit="1" customWidth="1"/>
    <col min="32" max="32" width="12.44140625" bestFit="1" customWidth="1"/>
    <col min="33" max="33" width="14" bestFit="1" customWidth="1"/>
    <col min="34" max="34" width="13.109375" bestFit="1" customWidth="1"/>
    <col min="35" max="35" width="14.5546875" bestFit="1" customWidth="1"/>
    <col min="36" max="36" width="21.5546875" bestFit="1" customWidth="1"/>
    <col min="37" max="37" width="19.88671875" bestFit="1" customWidth="1"/>
    <col min="38" max="38" width="22.109375" bestFit="1" customWidth="1"/>
    <col min="39" max="39" width="23.6640625" bestFit="1" customWidth="1"/>
    <col min="40" max="40" width="22" bestFit="1" customWidth="1"/>
  </cols>
  <sheetData>
    <row r="1" spans="1:40" x14ac:dyDescent="0.3">
      <c r="A1" s="10" t="s">
        <v>32</v>
      </c>
      <c r="B1" s="11" t="s">
        <v>33</v>
      </c>
      <c r="C1" s="11" t="s">
        <v>34</v>
      </c>
      <c r="D1" s="11" t="s">
        <v>35</v>
      </c>
      <c r="E1" s="11" t="s">
        <v>36</v>
      </c>
      <c r="F1" s="11" t="s">
        <v>37</v>
      </c>
      <c r="G1" s="11" t="s">
        <v>38</v>
      </c>
      <c r="H1" s="11" t="s">
        <v>39</v>
      </c>
      <c r="I1" s="11" t="s">
        <v>40</v>
      </c>
      <c r="J1" s="11" t="s">
        <v>41</v>
      </c>
      <c r="K1" s="11" t="s">
        <v>42</v>
      </c>
      <c r="L1" s="11" t="s">
        <v>43</v>
      </c>
      <c r="M1" s="11" t="s">
        <v>44</v>
      </c>
      <c r="N1" s="11" t="s">
        <v>45</v>
      </c>
      <c r="O1" s="11" t="s">
        <v>46</v>
      </c>
      <c r="P1" s="11" t="s">
        <v>47</v>
      </c>
      <c r="Q1" s="11" t="s">
        <v>48</v>
      </c>
      <c r="R1" s="11" t="s">
        <v>49</v>
      </c>
      <c r="S1" s="11" t="s">
        <v>50</v>
      </c>
      <c r="T1" s="11" t="s">
        <v>51</v>
      </c>
      <c r="U1" s="11" t="s">
        <v>52</v>
      </c>
      <c r="V1" s="11" t="s">
        <v>53</v>
      </c>
      <c r="W1" s="11" t="s">
        <v>54</v>
      </c>
      <c r="X1" s="11" t="s">
        <v>55</v>
      </c>
      <c r="Y1" s="11" t="s">
        <v>56</v>
      </c>
      <c r="Z1" s="11" t="s">
        <v>57</v>
      </c>
      <c r="AA1" s="11" t="s">
        <v>58</v>
      </c>
      <c r="AB1" s="11" t="s">
        <v>59</v>
      </c>
      <c r="AC1" s="11" t="s">
        <v>60</v>
      </c>
      <c r="AD1" s="11" t="s">
        <v>61</v>
      </c>
      <c r="AE1" s="11" t="s">
        <v>62</v>
      </c>
      <c r="AF1" s="11" t="s">
        <v>63</v>
      </c>
      <c r="AG1" s="11" t="s">
        <v>88</v>
      </c>
      <c r="AH1" s="11" t="s">
        <v>94</v>
      </c>
      <c r="AI1" s="11" t="s">
        <v>93</v>
      </c>
      <c r="AJ1" s="11" t="s">
        <v>92</v>
      </c>
      <c r="AK1" s="11" t="s">
        <v>91</v>
      </c>
      <c r="AL1" s="11" t="s">
        <v>95</v>
      </c>
      <c r="AM1" s="11" t="s">
        <v>90</v>
      </c>
      <c r="AN1" s="12" t="s">
        <v>89</v>
      </c>
    </row>
    <row r="2" spans="1:40" x14ac:dyDescent="0.3">
      <c r="A2" s="27" t="s">
        <v>0</v>
      </c>
      <c r="B2" s="20">
        <v>2023</v>
      </c>
      <c r="C2" s="20" t="s">
        <v>7</v>
      </c>
      <c r="D2" s="33">
        <v>45047</v>
      </c>
      <c r="E2" s="20" t="s">
        <v>85</v>
      </c>
      <c r="F2" s="20">
        <v>173.2</v>
      </c>
      <c r="G2" s="20">
        <v>211.5</v>
      </c>
      <c r="H2" s="20">
        <v>171</v>
      </c>
      <c r="I2" s="20">
        <v>179.6</v>
      </c>
      <c r="J2" s="20">
        <v>173.3</v>
      </c>
      <c r="K2" s="20">
        <v>169</v>
      </c>
      <c r="L2" s="20">
        <v>148.69999999999999</v>
      </c>
      <c r="M2" s="20">
        <v>174.9</v>
      </c>
      <c r="N2" s="20">
        <v>121.9</v>
      </c>
      <c r="O2" s="20">
        <v>221</v>
      </c>
      <c r="P2" s="20">
        <v>178.7</v>
      </c>
      <c r="Q2" s="20">
        <v>191.1</v>
      </c>
      <c r="R2" s="20">
        <v>176.8</v>
      </c>
      <c r="S2" s="20">
        <v>199.9</v>
      </c>
      <c r="T2" s="20">
        <v>191.2</v>
      </c>
      <c r="U2" s="20">
        <v>187.9</v>
      </c>
      <c r="V2" s="20">
        <v>190.8</v>
      </c>
      <c r="W2" s="30">
        <v>139.27096774193564</v>
      </c>
      <c r="X2" s="20">
        <v>182.5</v>
      </c>
      <c r="Y2" s="20">
        <v>179.8</v>
      </c>
      <c r="Z2" s="20">
        <v>187.8</v>
      </c>
      <c r="AA2" s="20">
        <v>169.7</v>
      </c>
      <c r="AB2" s="20">
        <v>173.8</v>
      </c>
      <c r="AC2" s="20">
        <v>180.3</v>
      </c>
      <c r="AD2" s="20">
        <v>184.9</v>
      </c>
      <c r="AE2" s="20">
        <v>179.5</v>
      </c>
      <c r="AF2" s="20">
        <v>179.8</v>
      </c>
      <c r="AG2" s="28">
        <v>4447.2709677419352</v>
      </c>
      <c r="AH2" s="28">
        <v>718.5</v>
      </c>
      <c r="AI2" s="28">
        <v>379.1</v>
      </c>
      <c r="AJ2" s="28">
        <v>319.07096774193565</v>
      </c>
      <c r="AK2" s="28">
        <v>2490.6000000000008</v>
      </c>
      <c r="AL2" s="28">
        <v>179.625</v>
      </c>
      <c r="AM2" s="28">
        <v>159.53548387096782</v>
      </c>
      <c r="AN2" s="23">
        <v>177.90000000000006</v>
      </c>
    </row>
    <row r="3" spans="1:40" x14ac:dyDescent="0.3">
      <c r="A3" s="26" t="s">
        <v>2</v>
      </c>
      <c r="B3" s="21">
        <v>2023</v>
      </c>
      <c r="C3" s="21" t="s">
        <v>7</v>
      </c>
      <c r="D3" s="32">
        <v>45047</v>
      </c>
      <c r="E3" s="21" t="s">
        <v>85</v>
      </c>
      <c r="F3" s="21">
        <v>174.7</v>
      </c>
      <c r="G3" s="21">
        <v>219.4</v>
      </c>
      <c r="H3" s="21">
        <v>176.7</v>
      </c>
      <c r="I3" s="21">
        <v>179.4</v>
      </c>
      <c r="J3" s="21">
        <v>164.4</v>
      </c>
      <c r="K3" s="21">
        <v>175.8</v>
      </c>
      <c r="L3" s="21">
        <v>185</v>
      </c>
      <c r="M3" s="21">
        <v>176.9</v>
      </c>
      <c r="N3" s="21">
        <v>124.2</v>
      </c>
      <c r="O3" s="21">
        <v>211.9</v>
      </c>
      <c r="P3" s="21">
        <v>165.9</v>
      </c>
      <c r="Q3" s="21">
        <v>197.7</v>
      </c>
      <c r="R3" s="21">
        <v>183.1</v>
      </c>
      <c r="S3" s="21">
        <v>204.2</v>
      </c>
      <c r="T3" s="21">
        <v>181.3</v>
      </c>
      <c r="U3" s="21">
        <v>168.1</v>
      </c>
      <c r="V3" s="21">
        <v>179.3</v>
      </c>
      <c r="W3" s="21">
        <v>175.6</v>
      </c>
      <c r="X3" s="21">
        <v>183.4</v>
      </c>
      <c r="Y3" s="21">
        <v>170.1</v>
      </c>
      <c r="Z3" s="21">
        <v>182.2</v>
      </c>
      <c r="AA3" s="21">
        <v>160.4</v>
      </c>
      <c r="AB3" s="21">
        <v>169.2</v>
      </c>
      <c r="AC3" s="21">
        <v>174.8</v>
      </c>
      <c r="AD3" s="21">
        <v>185.6</v>
      </c>
      <c r="AE3" s="21">
        <v>171.6</v>
      </c>
      <c r="AF3" s="21">
        <v>178.2</v>
      </c>
      <c r="AG3" s="28">
        <v>4461.6000000000004</v>
      </c>
      <c r="AH3" s="28">
        <v>701.2</v>
      </c>
      <c r="AI3" s="28">
        <v>349.4</v>
      </c>
      <c r="AJ3" s="28">
        <v>345.7</v>
      </c>
      <c r="AK3" s="28">
        <v>2539.2999999999997</v>
      </c>
      <c r="AL3" s="28">
        <v>175.3</v>
      </c>
      <c r="AM3" s="28">
        <v>172.85</v>
      </c>
      <c r="AN3" s="22">
        <v>181.37857142857141</v>
      </c>
    </row>
    <row r="4" spans="1:40" x14ac:dyDescent="0.3">
      <c r="A4" s="27" t="s">
        <v>3</v>
      </c>
      <c r="B4" s="20">
        <v>2023</v>
      </c>
      <c r="C4" s="20" t="s">
        <v>7</v>
      </c>
      <c r="D4" s="33">
        <v>45047</v>
      </c>
      <c r="E4" s="20" t="s">
        <v>85</v>
      </c>
      <c r="F4" s="20">
        <v>173.7</v>
      </c>
      <c r="G4" s="20">
        <v>214.3</v>
      </c>
      <c r="H4" s="20">
        <v>173.2</v>
      </c>
      <c r="I4" s="20">
        <v>179.5</v>
      </c>
      <c r="J4" s="20">
        <v>170</v>
      </c>
      <c r="K4" s="20">
        <v>172.2</v>
      </c>
      <c r="L4" s="20">
        <v>161</v>
      </c>
      <c r="M4" s="20">
        <v>175.6</v>
      </c>
      <c r="N4" s="20">
        <v>122.7</v>
      </c>
      <c r="O4" s="20">
        <v>218</v>
      </c>
      <c r="P4" s="20">
        <v>173.4</v>
      </c>
      <c r="Q4" s="20">
        <v>194.2</v>
      </c>
      <c r="R4" s="20">
        <v>179.1</v>
      </c>
      <c r="S4" s="20">
        <v>201</v>
      </c>
      <c r="T4" s="20">
        <v>187.3</v>
      </c>
      <c r="U4" s="20">
        <v>179.7</v>
      </c>
      <c r="V4" s="20">
        <v>186.2</v>
      </c>
      <c r="W4" s="20">
        <v>175.6</v>
      </c>
      <c r="X4" s="20">
        <v>182.8</v>
      </c>
      <c r="Y4" s="20">
        <v>175.2</v>
      </c>
      <c r="Z4" s="20">
        <v>185.7</v>
      </c>
      <c r="AA4" s="20">
        <v>164.8</v>
      </c>
      <c r="AB4" s="20">
        <v>171.2</v>
      </c>
      <c r="AC4" s="20">
        <v>177.1</v>
      </c>
      <c r="AD4" s="20">
        <v>185.2</v>
      </c>
      <c r="AE4" s="20">
        <v>175.7</v>
      </c>
      <c r="AF4" s="20">
        <v>179.1</v>
      </c>
      <c r="AG4" s="28">
        <v>4468.1999999999989</v>
      </c>
      <c r="AH4" s="28">
        <v>709.2</v>
      </c>
      <c r="AI4" s="28">
        <v>367</v>
      </c>
      <c r="AJ4" s="28">
        <v>350.79999999999995</v>
      </c>
      <c r="AK4" s="28">
        <v>2507.9</v>
      </c>
      <c r="AL4" s="28">
        <v>177.3</v>
      </c>
      <c r="AM4" s="28">
        <v>175.39999999999998</v>
      </c>
      <c r="AN4" s="23">
        <v>179.1357142857143</v>
      </c>
    </row>
    <row r="15" spans="1:40" x14ac:dyDescent="0.3">
      <c r="F15" t="s">
        <v>98</v>
      </c>
      <c r="G15" t="s">
        <v>99</v>
      </c>
      <c r="H15" t="s">
        <v>0</v>
      </c>
      <c r="I15" t="s">
        <v>99</v>
      </c>
      <c r="J15" t="s">
        <v>2</v>
      </c>
      <c r="K15" t="s">
        <v>99</v>
      </c>
    </row>
    <row r="16" spans="1:40" x14ac:dyDescent="0.3">
      <c r="E16" s="11" t="s">
        <v>55</v>
      </c>
      <c r="F16">
        <v>182.8</v>
      </c>
      <c r="G16" s="36">
        <f>F16/$F$23</f>
        <v>4.0909497806821238E-2</v>
      </c>
      <c r="H16">
        <v>182.5</v>
      </c>
      <c r="I16" s="39">
        <f>H16/$H$23</f>
        <v>4.1036134283722707E-2</v>
      </c>
      <c r="J16">
        <v>183.4</v>
      </c>
      <c r="K16" s="39">
        <f>J16/$J$23</f>
        <v>4.1106329567868027E-2</v>
      </c>
    </row>
    <row r="17" spans="5:11" x14ac:dyDescent="0.3">
      <c r="E17" s="11" t="s">
        <v>57</v>
      </c>
      <c r="F17">
        <v>185.7</v>
      </c>
      <c r="G17" s="36">
        <f t="shared" ref="G17:G23" si="0">F17/$F$23</f>
        <v>4.1558499686688746E-2</v>
      </c>
      <c r="H17">
        <v>187.8</v>
      </c>
      <c r="I17" s="39">
        <f t="shared" ref="I17:I23" si="1">H17/$H$23</f>
        <v>4.2227868594428078E-2</v>
      </c>
      <c r="J17">
        <v>182.2</v>
      </c>
      <c r="K17" s="39">
        <f t="shared" ref="K17:K23" si="2">J17/$J$23</f>
        <v>4.0837367760444679E-2</v>
      </c>
    </row>
    <row r="18" spans="5:11" x14ac:dyDescent="0.3">
      <c r="E18" s="11" t="s">
        <v>58</v>
      </c>
      <c r="F18">
        <v>164.8</v>
      </c>
      <c r="G18" s="36">
        <f t="shared" si="0"/>
        <v>3.688121027660908E-2</v>
      </c>
      <c r="H18">
        <v>169.7</v>
      </c>
      <c r="I18" s="39">
        <f t="shared" si="1"/>
        <v>3.8157983495604071E-2</v>
      </c>
      <c r="J18">
        <v>160.4</v>
      </c>
      <c r="K18" s="39">
        <f t="shared" si="2"/>
        <v>3.5951228258920567E-2</v>
      </c>
    </row>
    <row r="19" spans="5:11" x14ac:dyDescent="0.3">
      <c r="E19" s="11" t="s">
        <v>94</v>
      </c>
      <c r="F19" s="28">
        <v>709.2</v>
      </c>
      <c r="G19" s="36">
        <f t="shared" si="0"/>
        <v>0.15871452869035899</v>
      </c>
      <c r="H19" s="28">
        <v>718.5</v>
      </c>
      <c r="I19" s="39">
        <f t="shared" si="1"/>
        <v>0.16155869853619048</v>
      </c>
      <c r="J19" s="28">
        <v>701.2</v>
      </c>
      <c r="K19" s="39">
        <f t="shared" si="2"/>
        <v>0.15716334947104177</v>
      </c>
    </row>
    <row r="20" spans="5:11" x14ac:dyDescent="0.3">
      <c r="E20" s="11" t="s">
        <v>93</v>
      </c>
      <c r="F20" s="28">
        <v>367</v>
      </c>
      <c r="G20" s="36">
        <f t="shared" si="0"/>
        <v>8.2132306865992308E-2</v>
      </c>
      <c r="H20" s="28">
        <v>379.1</v>
      </c>
      <c r="I20" s="39">
        <f t="shared" si="1"/>
        <v>8.5242731544982353E-2</v>
      </c>
      <c r="J20" s="28">
        <v>349.4</v>
      </c>
      <c r="K20" s="39">
        <f t="shared" si="2"/>
        <v>7.8312712928097536E-2</v>
      </c>
    </row>
    <row r="21" spans="5:11" x14ac:dyDescent="0.3">
      <c r="E21" s="11" t="s">
        <v>92</v>
      </c>
      <c r="F21" s="28">
        <v>350.79999999999995</v>
      </c>
      <c r="G21" s="36">
        <f t="shared" si="0"/>
        <v>7.8506848088801359E-2</v>
      </c>
      <c r="H21" s="28">
        <v>319.07096774193565</v>
      </c>
      <c r="I21" s="39">
        <f t="shared" si="1"/>
        <v>7.1744871661892751E-2</v>
      </c>
      <c r="J21" s="28">
        <v>345.7</v>
      </c>
      <c r="K21" s="39">
        <f t="shared" si="2"/>
        <v>7.7483414021875557E-2</v>
      </c>
    </row>
    <row r="22" spans="5:11" x14ac:dyDescent="0.3">
      <c r="E22" s="11" t="s">
        <v>91</v>
      </c>
      <c r="F22" s="28">
        <v>2507.9</v>
      </c>
      <c r="G22" s="36">
        <f t="shared" si="0"/>
        <v>0.56125234983439265</v>
      </c>
      <c r="H22" s="28">
        <v>2490.6000000000008</v>
      </c>
      <c r="I22" s="39">
        <f t="shared" si="1"/>
        <v>0.56002518381939614</v>
      </c>
      <c r="J22" s="28">
        <v>2539.2999999999997</v>
      </c>
      <c r="K22" s="39">
        <f t="shared" si="2"/>
        <v>0.56914559799175168</v>
      </c>
    </row>
    <row r="23" spans="5:11" x14ac:dyDescent="0.3">
      <c r="E23" s="11" t="s">
        <v>88</v>
      </c>
      <c r="F23">
        <v>4468.3999999999996</v>
      </c>
      <c r="G23" s="36">
        <f t="shared" si="0"/>
        <v>1</v>
      </c>
      <c r="H23">
        <v>4447.3</v>
      </c>
      <c r="I23" s="37">
        <f t="shared" si="1"/>
        <v>1</v>
      </c>
      <c r="J23">
        <v>4461.6000000000004</v>
      </c>
      <c r="K23" s="37">
        <f t="shared" si="2"/>
        <v>1</v>
      </c>
    </row>
  </sheetData>
  <autoFilter ref="A1:AN4" xr:uid="{C852EC61-105A-4CF6-BC71-29797381EC68}"/>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84837-A577-40A3-A8E8-19A411747320}">
  <dimension ref="A2:D42"/>
  <sheetViews>
    <sheetView topLeftCell="A33" zoomScale="104" workbookViewId="0">
      <selection activeCell="B30" sqref="B30"/>
    </sheetView>
  </sheetViews>
  <sheetFormatPr defaultRowHeight="14.4" x14ac:dyDescent="0.3"/>
  <cols>
    <col min="1" max="1" width="16.21875" customWidth="1"/>
    <col min="2" max="2" width="32" bestFit="1" customWidth="1"/>
    <col min="3" max="3" width="22.21875" bestFit="1" customWidth="1"/>
    <col min="4" max="4" width="16.33203125" bestFit="1" customWidth="1"/>
    <col min="5" max="5" width="16.109375" bestFit="1" customWidth="1"/>
    <col min="6" max="24" width="24.33203125" bestFit="1" customWidth="1"/>
    <col min="25" max="25" width="10.77734375" bestFit="1" customWidth="1"/>
  </cols>
  <sheetData>
    <row r="2" spans="1:4" x14ac:dyDescent="0.3">
      <c r="A2" s="34" t="s">
        <v>32</v>
      </c>
      <c r="B2" t="s">
        <v>3</v>
      </c>
    </row>
    <row r="4" spans="1:4" x14ac:dyDescent="0.3">
      <c r="B4" s="34" t="s">
        <v>97</v>
      </c>
    </row>
    <row r="5" spans="1:4" x14ac:dyDescent="0.3">
      <c r="A5" s="34" t="s">
        <v>33</v>
      </c>
      <c r="B5" t="s">
        <v>103</v>
      </c>
      <c r="C5" t="s">
        <v>104</v>
      </c>
      <c r="D5" t="s">
        <v>105</v>
      </c>
    </row>
    <row r="6" spans="1:4" x14ac:dyDescent="0.3">
      <c r="A6">
        <v>2021</v>
      </c>
      <c r="B6" s="25">
        <v>165.04880952380952</v>
      </c>
      <c r="C6" s="25">
        <v>159.05833333333334</v>
      </c>
      <c r="D6" s="25">
        <v>165.84166666666667</v>
      </c>
    </row>
    <row r="7" spans="1:4" x14ac:dyDescent="0.3">
      <c r="A7">
        <v>2022</v>
      </c>
      <c r="B7" s="25">
        <v>174.14047619047619</v>
      </c>
      <c r="C7" s="25">
        <v>175.13333333333333</v>
      </c>
      <c r="D7" s="25">
        <v>175.92499999999998</v>
      </c>
    </row>
    <row r="8" spans="1:4" x14ac:dyDescent="0.3">
      <c r="A8" t="s">
        <v>96</v>
      </c>
      <c r="B8" s="25">
        <v>169.59464285714284</v>
      </c>
      <c r="C8" s="25">
        <v>167.0958333333333</v>
      </c>
      <c r="D8" s="25">
        <v>170.88333333333333</v>
      </c>
    </row>
    <row r="19" spans="1:4" x14ac:dyDescent="0.3">
      <c r="A19" s="34" t="s">
        <v>32</v>
      </c>
      <c r="B19" t="s">
        <v>3</v>
      </c>
    </row>
    <row r="21" spans="1:4" x14ac:dyDescent="0.3">
      <c r="A21" s="34" t="s">
        <v>101</v>
      </c>
    </row>
    <row r="22" spans="1:4" x14ac:dyDescent="0.3">
      <c r="A22" s="34" t="s">
        <v>33</v>
      </c>
      <c r="B22" t="s">
        <v>100</v>
      </c>
    </row>
    <row r="23" spans="1:4" x14ac:dyDescent="0.3">
      <c r="A23">
        <v>2017</v>
      </c>
      <c r="B23" s="25">
        <v>133.49999999999997</v>
      </c>
    </row>
    <row r="24" spans="1:4" x14ac:dyDescent="0.3">
      <c r="A24">
        <v>2018</v>
      </c>
      <c r="B24" s="25">
        <v>138.77500000000001</v>
      </c>
    </row>
    <row r="25" spans="1:4" x14ac:dyDescent="0.3">
      <c r="A25">
        <v>2019</v>
      </c>
      <c r="B25" s="25">
        <v>144.18181818181822</v>
      </c>
    </row>
    <row r="26" spans="1:4" x14ac:dyDescent="0.3">
      <c r="A26">
        <v>2020</v>
      </c>
      <c r="B26" s="25">
        <v>153.38</v>
      </c>
    </row>
    <row r="27" spans="1:4" x14ac:dyDescent="0.3">
      <c r="A27">
        <v>2021</v>
      </c>
      <c r="B27" s="25">
        <v>161.45833333333331</v>
      </c>
    </row>
    <row r="28" spans="1:4" x14ac:dyDescent="0.3">
      <c r="A28">
        <v>2022</v>
      </c>
      <c r="B28" s="25">
        <v>172.14999999999998</v>
      </c>
    </row>
    <row r="29" spans="1:4" x14ac:dyDescent="0.3">
      <c r="A29">
        <v>2023</v>
      </c>
      <c r="B29" s="25">
        <v>177.61999999999998</v>
      </c>
      <c r="D29" s="40"/>
    </row>
    <row r="30" spans="1:4" x14ac:dyDescent="0.3">
      <c r="A30" t="s">
        <v>96</v>
      </c>
      <c r="B30" s="25">
        <v>152.41216216216222</v>
      </c>
    </row>
    <row r="35" spans="1:3" x14ac:dyDescent="0.3">
      <c r="A35" s="35" t="s">
        <v>33</v>
      </c>
      <c r="B35" s="35" t="s">
        <v>100</v>
      </c>
      <c r="C35" t="s">
        <v>102</v>
      </c>
    </row>
    <row r="36" spans="1:3" x14ac:dyDescent="0.3">
      <c r="A36">
        <v>2017</v>
      </c>
      <c r="B36" s="25">
        <v>133.49999999999997</v>
      </c>
      <c r="C36" s="39"/>
    </row>
    <row r="37" spans="1:3" x14ac:dyDescent="0.3">
      <c r="A37">
        <v>2018</v>
      </c>
      <c r="B37" s="25">
        <v>138.77500000000001</v>
      </c>
      <c r="C37" s="39">
        <f>(B37-B36)/B36</f>
        <v>3.9513108614232476E-2</v>
      </c>
    </row>
    <row r="38" spans="1:3" x14ac:dyDescent="0.3">
      <c r="A38">
        <v>2019</v>
      </c>
      <c r="B38" s="25">
        <v>144.18181818181822</v>
      </c>
      <c r="C38" s="39">
        <f t="shared" ref="C38:C42" si="0">(B38-B37)/B37</f>
        <v>3.8961038961039161E-2</v>
      </c>
    </row>
    <row r="39" spans="1:3" x14ac:dyDescent="0.3">
      <c r="A39">
        <v>2020</v>
      </c>
      <c r="B39" s="25">
        <v>153.38</v>
      </c>
      <c r="C39" s="39">
        <f t="shared" si="0"/>
        <v>6.3795712484236794E-2</v>
      </c>
    </row>
    <row r="40" spans="1:3" x14ac:dyDescent="0.3">
      <c r="A40">
        <v>2021</v>
      </c>
      <c r="B40" s="25">
        <v>161.45833333333331</v>
      </c>
      <c r="C40" s="39">
        <f t="shared" si="0"/>
        <v>5.2668752988220886E-2</v>
      </c>
    </row>
    <row r="41" spans="1:3" x14ac:dyDescent="0.3">
      <c r="A41">
        <v>2022</v>
      </c>
      <c r="B41" s="25">
        <v>172.14999999999998</v>
      </c>
      <c r="C41" s="39">
        <f t="shared" si="0"/>
        <v>6.6219354838709665E-2</v>
      </c>
    </row>
    <row r="42" spans="1:3" x14ac:dyDescent="0.3">
      <c r="A42">
        <v>2023</v>
      </c>
      <c r="B42" s="25">
        <v>177.61999999999998</v>
      </c>
      <c r="C42" s="39">
        <f t="shared" si="0"/>
        <v>3.1774615161196632E-2</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79AB-4420-4393-AE2E-5CEF5B5490F0}">
  <sheetPr filterMode="1"/>
  <dimension ref="A1:BH94"/>
  <sheetViews>
    <sheetView topLeftCell="L45" zoomScale="75" workbookViewId="0">
      <selection activeCell="H5" sqref="H5:H35"/>
    </sheetView>
  </sheetViews>
  <sheetFormatPr defaultRowHeight="14.4" x14ac:dyDescent="0.3"/>
  <cols>
    <col min="1" max="1" width="24.44140625" bestFit="1" customWidth="1"/>
    <col min="2" max="2" width="14.6640625" bestFit="1" customWidth="1"/>
    <col min="3" max="3" width="31.6640625" bestFit="1" customWidth="1"/>
    <col min="4" max="4" width="30.109375" bestFit="1" customWidth="1"/>
    <col min="5" max="7" width="25.109375" bestFit="1" customWidth="1"/>
    <col min="8" max="8" width="25.109375" customWidth="1"/>
    <col min="9" max="9" width="25.109375" bestFit="1" customWidth="1"/>
    <col min="10" max="10" width="25.109375" customWidth="1"/>
    <col min="11" max="11" width="25.109375" bestFit="1" customWidth="1"/>
    <col min="12" max="12" width="25.109375" customWidth="1"/>
    <col min="13" max="13" width="25.109375" bestFit="1" customWidth="1"/>
    <col min="14" max="14" width="25.109375" customWidth="1"/>
    <col min="15" max="15" width="25.109375" bestFit="1" customWidth="1"/>
    <col min="16" max="16" width="25.109375" customWidth="1"/>
    <col min="17" max="17" width="25.109375" bestFit="1" customWidth="1"/>
    <col min="18" max="18" width="25.109375" customWidth="1"/>
    <col min="19" max="19" width="25.109375" bestFit="1" customWidth="1"/>
    <col min="20" max="20" width="25.109375" customWidth="1"/>
    <col min="21" max="22" width="24.77734375" customWidth="1"/>
    <col min="23" max="24" width="27.77734375" customWidth="1"/>
    <col min="25" max="26" width="20.109375" customWidth="1"/>
    <col min="27" max="27" width="22.33203125" bestFit="1" customWidth="1"/>
    <col min="28" max="28" width="22.33203125" customWidth="1"/>
    <col min="29" max="29" width="32.88671875" bestFit="1" customWidth="1"/>
    <col min="30" max="30" width="32.88671875" customWidth="1"/>
    <col min="31" max="31" width="18.5546875" bestFit="1" customWidth="1"/>
    <col min="32" max="32" width="18.5546875" customWidth="1"/>
    <col min="33" max="33" width="25.88671875" bestFit="1" customWidth="1"/>
    <col min="34" max="34" width="25.88671875" customWidth="1"/>
    <col min="35" max="35" width="8.21875" bestFit="1" customWidth="1"/>
    <col min="36" max="36" width="9.44140625" bestFit="1" customWidth="1"/>
    <col min="37" max="37" width="20.5546875" bestFit="1" customWidth="1"/>
    <col min="38" max="38" width="8" bestFit="1" customWidth="1"/>
    <col min="39" max="39" width="12.6640625" bestFit="1" customWidth="1"/>
    <col min="40" max="40" width="27.44140625" bestFit="1" customWidth="1"/>
    <col min="41" max="41" width="6.77734375" bestFit="1" customWidth="1"/>
    <col min="42" max="42" width="27.21875" bestFit="1" customWidth="1"/>
    <col min="43" max="43" width="25.33203125" bestFit="1" customWidth="1"/>
    <col min="44" max="44" width="9.5546875" bestFit="1" customWidth="1"/>
    <col min="45" max="45" width="22.88671875" bestFit="1" customWidth="1"/>
    <col min="46" max="46" width="13.44140625" bestFit="1" customWidth="1"/>
    <col min="47" max="47" width="13.21875" bestFit="1" customWidth="1"/>
    <col min="48" max="48" width="14.5546875" bestFit="1" customWidth="1"/>
    <col min="49" max="49" width="13.5546875" bestFit="1" customWidth="1"/>
    <col min="50" max="50" width="14.88671875" bestFit="1" customWidth="1"/>
    <col min="51" max="51" width="22.21875" bestFit="1" customWidth="1"/>
    <col min="52" max="52" width="20.33203125" bestFit="1" customWidth="1"/>
    <col min="53" max="53" width="23.109375" bestFit="1" customWidth="1"/>
    <col min="54" max="54" width="24.5546875" bestFit="1" customWidth="1"/>
    <col min="55" max="55" width="22.6640625" bestFit="1" customWidth="1"/>
    <col min="56" max="56" width="15.77734375" customWidth="1"/>
    <col min="57" max="57" width="22.77734375" customWidth="1"/>
    <col min="58" max="58" width="19.6640625" customWidth="1"/>
    <col min="59" max="59" width="17.33203125" customWidth="1"/>
    <col min="60" max="60" width="19.109375" customWidth="1"/>
  </cols>
  <sheetData>
    <row r="1" spans="1:60" x14ac:dyDescent="0.3">
      <c r="A1" s="10" t="s">
        <v>32</v>
      </c>
      <c r="B1" s="11" t="s">
        <v>33</v>
      </c>
      <c r="C1" s="11" t="s">
        <v>34</v>
      </c>
      <c r="D1" s="11" t="s">
        <v>106</v>
      </c>
      <c r="E1" s="11" t="s">
        <v>35</v>
      </c>
      <c r="F1" s="11" t="s">
        <v>36</v>
      </c>
      <c r="G1" s="11" t="s">
        <v>37</v>
      </c>
      <c r="H1" s="11" t="s">
        <v>148</v>
      </c>
      <c r="I1" s="11" t="s">
        <v>38</v>
      </c>
      <c r="J1" s="11" t="s">
        <v>149</v>
      </c>
      <c r="K1" s="11" t="s">
        <v>39</v>
      </c>
      <c r="L1" s="11" t="s">
        <v>150</v>
      </c>
      <c r="M1" s="11" t="s">
        <v>40</v>
      </c>
      <c r="N1" s="11" t="s">
        <v>151</v>
      </c>
      <c r="O1" s="11" t="s">
        <v>41</v>
      </c>
      <c r="P1" s="11" t="s">
        <v>152</v>
      </c>
      <c r="Q1" s="11" t="s">
        <v>42</v>
      </c>
      <c r="R1" s="11" t="s">
        <v>153</v>
      </c>
      <c r="S1" s="11" t="s">
        <v>43</v>
      </c>
      <c r="T1" s="11" t="s">
        <v>154</v>
      </c>
      <c r="U1" s="11" t="s">
        <v>44</v>
      </c>
      <c r="V1" s="11" t="s">
        <v>155</v>
      </c>
      <c r="W1" s="11" t="s">
        <v>45</v>
      </c>
      <c r="X1" s="11" t="s">
        <v>156</v>
      </c>
      <c r="Y1" s="11" t="s">
        <v>46</v>
      </c>
      <c r="Z1" s="11" t="s">
        <v>157</v>
      </c>
      <c r="AA1" s="11" t="s">
        <v>47</v>
      </c>
      <c r="AB1" s="11" t="s">
        <v>158</v>
      </c>
      <c r="AC1" s="11" t="s">
        <v>48</v>
      </c>
      <c r="AD1" s="11" t="s">
        <v>159</v>
      </c>
      <c r="AE1" s="11" t="s">
        <v>49</v>
      </c>
      <c r="AF1" s="11" t="s">
        <v>160</v>
      </c>
      <c r="AG1" s="11" t="s">
        <v>50</v>
      </c>
      <c r="AH1" s="11" t="s">
        <v>161</v>
      </c>
      <c r="AI1" s="11" t="s">
        <v>51</v>
      </c>
      <c r="AJ1" s="11" t="s">
        <v>52</v>
      </c>
      <c r="AK1" s="11" t="s">
        <v>53</v>
      </c>
      <c r="AL1" s="11" t="s">
        <v>54</v>
      </c>
      <c r="AM1" s="11" t="s">
        <v>55</v>
      </c>
      <c r="AN1" s="11" t="s">
        <v>56</v>
      </c>
      <c r="AO1" s="11" t="s">
        <v>57</v>
      </c>
      <c r="AP1" s="11" t="s">
        <v>58</v>
      </c>
      <c r="AQ1" s="11" t="s">
        <v>59</v>
      </c>
      <c r="AR1" s="11" t="s">
        <v>60</v>
      </c>
      <c r="AS1" s="11" t="s">
        <v>61</v>
      </c>
      <c r="AT1" s="11" t="s">
        <v>62</v>
      </c>
      <c r="AU1" s="11" t="s">
        <v>63</v>
      </c>
      <c r="AV1" s="11" t="s">
        <v>88</v>
      </c>
      <c r="AW1" s="11" t="s">
        <v>94</v>
      </c>
      <c r="AX1" s="11" t="s">
        <v>93</v>
      </c>
      <c r="AY1" s="11" t="s">
        <v>92</v>
      </c>
      <c r="AZ1" s="11" t="s">
        <v>91</v>
      </c>
      <c r="BA1" s="11" t="s">
        <v>95</v>
      </c>
      <c r="BB1" s="11" t="s">
        <v>90</v>
      </c>
      <c r="BC1" s="12" t="s">
        <v>89</v>
      </c>
      <c r="BD1" s="41" t="s">
        <v>145</v>
      </c>
      <c r="BE1" t="s">
        <v>162</v>
      </c>
      <c r="BF1" t="s">
        <v>165</v>
      </c>
      <c r="BG1" t="s">
        <v>163</v>
      </c>
      <c r="BH1" t="s">
        <v>164</v>
      </c>
    </row>
    <row r="2" spans="1:60" x14ac:dyDescent="0.3">
      <c r="A2" s="26" t="s">
        <v>0</v>
      </c>
      <c r="B2" s="21">
        <v>2022</v>
      </c>
      <c r="C2" s="21" t="s">
        <v>8</v>
      </c>
      <c r="D2" s="21" t="str">
        <f t="shared" ref="D2:D37" si="0">TEXT(DATE(B2, MONTH(1&amp;C2), 1), "mmm-yy")</f>
        <v>Jun-22</v>
      </c>
      <c r="E2" s="32">
        <v>44713</v>
      </c>
      <c r="F2" s="21" t="s">
        <v>85</v>
      </c>
      <c r="G2" s="21">
        <v>153.80000000000001</v>
      </c>
      <c r="H2" s="21"/>
      <c r="I2" s="21">
        <v>217.2</v>
      </c>
      <c r="J2" s="21"/>
      <c r="K2" s="21">
        <v>169.6</v>
      </c>
      <c r="L2" s="21"/>
      <c r="M2" s="21">
        <v>165.4</v>
      </c>
      <c r="N2" s="21"/>
      <c r="O2" s="21">
        <v>208.1</v>
      </c>
      <c r="P2" s="21"/>
      <c r="Q2" s="21">
        <v>165.8</v>
      </c>
      <c r="R2" s="21"/>
      <c r="S2" s="21">
        <v>167.3</v>
      </c>
      <c r="T2" s="21"/>
      <c r="U2" s="21">
        <v>164.6</v>
      </c>
      <c r="V2" s="21"/>
      <c r="W2" s="21">
        <v>119.1</v>
      </c>
      <c r="X2" s="21"/>
      <c r="Y2" s="21">
        <v>188.9</v>
      </c>
      <c r="Z2" s="21"/>
      <c r="AA2" s="21">
        <v>174.2</v>
      </c>
      <c r="AB2" s="21"/>
      <c r="AC2" s="21">
        <v>181.9</v>
      </c>
      <c r="AD2" s="21"/>
      <c r="AE2" s="21">
        <v>172.4</v>
      </c>
      <c r="AF2" s="21"/>
      <c r="AG2" s="21">
        <v>192.9</v>
      </c>
      <c r="AH2" s="21"/>
      <c r="AI2" s="21">
        <v>180.7</v>
      </c>
      <c r="AJ2" s="21">
        <v>178.7</v>
      </c>
      <c r="AK2" s="21">
        <v>180.4</v>
      </c>
      <c r="AL2" s="28">
        <f>'Handle missing value sheet only'!$C$1</f>
        <v>139.27096774193564</v>
      </c>
      <c r="AM2" s="21">
        <v>176.7</v>
      </c>
      <c r="AN2" s="21">
        <v>170.3</v>
      </c>
      <c r="AO2" s="21">
        <v>178.2</v>
      </c>
      <c r="AP2" s="21">
        <v>165.5</v>
      </c>
      <c r="AQ2" s="21">
        <v>168</v>
      </c>
      <c r="AR2" s="21">
        <v>172.6</v>
      </c>
      <c r="AS2" s="21">
        <v>169.5</v>
      </c>
      <c r="AT2" s="21">
        <v>171</v>
      </c>
      <c r="AU2" s="21">
        <v>173.6</v>
      </c>
      <c r="AV2" s="28">
        <f t="shared" ref="AV2:AV37" si="1">SUM(AL2:AT2,G2:AJ2)</f>
        <v>4311.6709677419358</v>
      </c>
      <c r="AW2" s="28">
        <f t="shared" ref="AW2:AW37" si="2">SUM(AT2,AS2,AR2,AQ2)</f>
        <v>681.1</v>
      </c>
      <c r="AX2" s="28">
        <f t="shared" ref="AX2:AX37" si="3">SUM(AJ2,AI2)</f>
        <v>359.4</v>
      </c>
      <c r="AY2" s="28">
        <f t="shared" ref="AY2:AY37" si="4">SUM(AN2,AL2)</f>
        <v>309.57096774193565</v>
      </c>
      <c r="AZ2" s="28">
        <f t="shared" ref="AZ2:AZ37" si="5">SUM(G2:AG2)</f>
        <v>2441.2000000000003</v>
      </c>
      <c r="BA2" s="28">
        <f t="shared" ref="BA2:BA37" si="6">AVERAGE(AT2,AS2,AR2,AQ2)</f>
        <v>170.27500000000001</v>
      </c>
      <c r="BB2" s="28">
        <f t="shared" ref="BB2:BB37" si="7">AVERAGE(AL2,AN2)</f>
        <v>154.78548387096782</v>
      </c>
      <c r="BC2" s="29">
        <v>174.37142857142859</v>
      </c>
      <c r="BE2" s="11" t="s">
        <v>37</v>
      </c>
      <c r="BF2" s="39" t="e">
        <f>SUM(#REF!)</f>
        <v>#REF!</v>
      </c>
      <c r="BG2" s="44" t="e">
        <f>SUM(#REF!)</f>
        <v>#REF!</v>
      </c>
      <c r="BH2" s="44" t="e">
        <f>SUM(#REF!)</f>
        <v>#REF!</v>
      </c>
    </row>
    <row r="3" spans="1:60" hidden="1" x14ac:dyDescent="0.3">
      <c r="A3" s="27" t="s">
        <v>2</v>
      </c>
      <c r="B3" s="20">
        <v>2022</v>
      </c>
      <c r="C3" s="20" t="s">
        <v>8</v>
      </c>
      <c r="D3" s="21" t="str">
        <f t="shared" si="0"/>
        <v>Jun-22</v>
      </c>
      <c r="E3" s="33">
        <v>44713</v>
      </c>
      <c r="F3" s="20" t="s">
        <v>85</v>
      </c>
      <c r="G3" s="20">
        <v>157.5</v>
      </c>
      <c r="H3" s="20"/>
      <c r="I3" s="20">
        <v>223.4</v>
      </c>
      <c r="J3" s="20"/>
      <c r="K3" s="20">
        <v>172.8</v>
      </c>
      <c r="L3" s="20"/>
      <c r="M3" s="20">
        <v>166.4</v>
      </c>
      <c r="N3" s="20"/>
      <c r="O3" s="20">
        <v>188.6</v>
      </c>
      <c r="P3" s="20"/>
      <c r="Q3" s="20">
        <v>174.1</v>
      </c>
      <c r="R3" s="20"/>
      <c r="S3" s="20">
        <v>211.5</v>
      </c>
      <c r="T3" s="20"/>
      <c r="U3" s="20">
        <v>163.6</v>
      </c>
      <c r="V3" s="20"/>
      <c r="W3" s="20">
        <v>121.4</v>
      </c>
      <c r="X3" s="20"/>
      <c r="Y3" s="20">
        <v>183.5</v>
      </c>
      <c r="Z3" s="20"/>
      <c r="AA3" s="20">
        <v>159.1</v>
      </c>
      <c r="AB3" s="20"/>
      <c r="AC3" s="20">
        <v>186.3</v>
      </c>
      <c r="AD3" s="20"/>
      <c r="AE3" s="20">
        <v>179.3</v>
      </c>
      <c r="AF3" s="20"/>
      <c r="AG3" s="20">
        <v>198.3</v>
      </c>
      <c r="AH3" s="20"/>
      <c r="AI3" s="20">
        <v>171.6</v>
      </c>
      <c r="AJ3" s="20">
        <v>157.4</v>
      </c>
      <c r="AK3" s="20">
        <v>169.4</v>
      </c>
      <c r="AL3" s="20">
        <v>166.8</v>
      </c>
      <c r="AM3" s="20">
        <v>174.9</v>
      </c>
      <c r="AN3" s="20">
        <v>162.1</v>
      </c>
      <c r="AO3" s="20">
        <v>170.9</v>
      </c>
      <c r="AP3" s="20">
        <v>157.19999999999999</v>
      </c>
      <c r="AQ3" s="20">
        <v>164.1</v>
      </c>
      <c r="AR3" s="20">
        <v>166.5</v>
      </c>
      <c r="AS3" s="20">
        <v>169.2</v>
      </c>
      <c r="AT3" s="20">
        <v>163.80000000000001</v>
      </c>
      <c r="AU3" s="20">
        <v>171.4</v>
      </c>
      <c r="AV3" s="28">
        <f t="shared" si="1"/>
        <v>4310.3</v>
      </c>
      <c r="AW3" s="28">
        <f t="shared" si="2"/>
        <v>663.6</v>
      </c>
      <c r="AX3" s="28">
        <f t="shared" si="3"/>
        <v>329</v>
      </c>
      <c r="AY3" s="28">
        <f t="shared" si="4"/>
        <v>328.9</v>
      </c>
      <c r="AZ3" s="28">
        <f t="shared" si="5"/>
        <v>2485.8000000000002</v>
      </c>
      <c r="BA3" s="28">
        <f t="shared" si="6"/>
        <v>165.9</v>
      </c>
      <c r="BB3" s="28">
        <f t="shared" si="7"/>
        <v>164.45</v>
      </c>
      <c r="BC3" s="31">
        <v>177.55714285714288</v>
      </c>
      <c r="BD3" s="42">
        <f>(BC3-BC2)/BC2</f>
        <v>1.826970342454529E-2</v>
      </c>
      <c r="BE3" s="11" t="s">
        <v>38</v>
      </c>
      <c r="BF3" s="44" t="e">
        <f>SUM(#REF!)</f>
        <v>#REF!</v>
      </c>
      <c r="BG3" s="44" t="e">
        <f>SUM(#REF!)</f>
        <v>#REF!</v>
      </c>
      <c r="BH3" s="44" t="e">
        <f>SUM(#REF!)</f>
        <v>#REF!</v>
      </c>
    </row>
    <row r="4" spans="1:60" hidden="1" x14ac:dyDescent="0.3">
      <c r="A4" s="26" t="s">
        <v>3</v>
      </c>
      <c r="B4" s="21">
        <v>2022</v>
      </c>
      <c r="C4" s="21" t="s">
        <v>8</v>
      </c>
      <c r="D4" s="21" t="str">
        <f t="shared" si="0"/>
        <v>Jun-22</v>
      </c>
      <c r="E4" s="32">
        <v>44713</v>
      </c>
      <c r="F4" s="21" t="s">
        <v>85</v>
      </c>
      <c r="G4" s="28">
        <v>155</v>
      </c>
      <c r="H4" s="21"/>
      <c r="I4" s="21">
        <v>219.4</v>
      </c>
      <c r="J4" s="21"/>
      <c r="K4" s="21">
        <v>170.8</v>
      </c>
      <c r="L4" s="21"/>
      <c r="M4" s="21">
        <v>165.8</v>
      </c>
      <c r="N4" s="21"/>
      <c r="O4" s="21">
        <v>200.9</v>
      </c>
      <c r="P4" s="21"/>
      <c r="Q4" s="21">
        <v>169.7</v>
      </c>
      <c r="R4" s="21"/>
      <c r="S4" s="21">
        <v>182.3</v>
      </c>
      <c r="T4" s="21"/>
      <c r="U4" s="21">
        <v>164.3</v>
      </c>
      <c r="V4" s="21"/>
      <c r="W4" s="21">
        <v>119.9</v>
      </c>
      <c r="X4" s="21"/>
      <c r="Y4" s="21">
        <v>187.1</v>
      </c>
      <c r="Z4" s="21"/>
      <c r="AA4" s="21">
        <v>167.9</v>
      </c>
      <c r="AB4" s="21"/>
      <c r="AC4" s="21">
        <v>183.9</v>
      </c>
      <c r="AD4" s="21"/>
      <c r="AE4" s="21">
        <v>174.9</v>
      </c>
      <c r="AF4" s="21"/>
      <c r="AG4" s="21">
        <v>194.3</v>
      </c>
      <c r="AH4" s="21"/>
      <c r="AI4" s="21">
        <v>177.1</v>
      </c>
      <c r="AJ4" s="21">
        <v>169.9</v>
      </c>
      <c r="AK4" s="21">
        <v>176</v>
      </c>
      <c r="AL4" s="21">
        <v>166.8</v>
      </c>
      <c r="AM4" s="21">
        <v>176</v>
      </c>
      <c r="AN4" s="21">
        <v>166.4</v>
      </c>
      <c r="AO4" s="21">
        <v>175.4</v>
      </c>
      <c r="AP4" s="21">
        <v>161.1</v>
      </c>
      <c r="AQ4" s="21">
        <v>165.8</v>
      </c>
      <c r="AR4" s="21">
        <v>169</v>
      </c>
      <c r="AS4" s="21">
        <v>169.4</v>
      </c>
      <c r="AT4" s="21">
        <v>167.5</v>
      </c>
      <c r="AU4" s="21">
        <v>172.6</v>
      </c>
      <c r="AV4" s="28">
        <f t="shared" si="1"/>
        <v>4320.6000000000013</v>
      </c>
      <c r="AW4" s="28">
        <f t="shared" si="2"/>
        <v>671.7</v>
      </c>
      <c r="AX4" s="28">
        <f t="shared" si="3"/>
        <v>347</v>
      </c>
      <c r="AY4" s="28">
        <f t="shared" si="4"/>
        <v>333.20000000000005</v>
      </c>
      <c r="AZ4" s="28">
        <f t="shared" si="5"/>
        <v>2456.2000000000003</v>
      </c>
      <c r="BA4" s="28">
        <f t="shared" si="6"/>
        <v>167.92500000000001</v>
      </c>
      <c r="BB4" s="28">
        <f t="shared" si="7"/>
        <v>166.60000000000002</v>
      </c>
      <c r="BC4" s="29">
        <v>175.44285714285715</v>
      </c>
      <c r="BD4" s="42">
        <f t="shared" ref="BD4:BD37" si="8">(BC4-BC3)/BC3</f>
        <v>-1.1907635368895402E-2</v>
      </c>
      <c r="BE4" s="11" t="s">
        <v>39</v>
      </c>
      <c r="BF4" s="44" t="e">
        <f>SUM(#REF!)</f>
        <v>#REF!</v>
      </c>
      <c r="BG4" s="44" t="e">
        <f>SUM(#REF!)</f>
        <v>#REF!</v>
      </c>
      <c r="BH4" s="44" t="e">
        <f>SUM(#REF!)</f>
        <v>#REF!</v>
      </c>
    </row>
    <row r="5" spans="1:60" x14ac:dyDescent="0.3">
      <c r="A5" s="27" t="s">
        <v>0</v>
      </c>
      <c r="B5" s="20">
        <v>2022</v>
      </c>
      <c r="C5" s="20" t="s">
        <v>9</v>
      </c>
      <c r="D5" s="21" t="str">
        <f t="shared" si="0"/>
        <v>Jul-22</v>
      </c>
      <c r="E5" s="33">
        <v>44743</v>
      </c>
      <c r="F5" s="20" t="s">
        <v>85</v>
      </c>
      <c r="G5" s="20">
        <v>155.19999999999999</v>
      </c>
      <c r="H5" s="48">
        <f t="shared" ref="H5:H37" si="9">(G5-G2)/G2</f>
        <v>9.102730819245626E-3</v>
      </c>
      <c r="I5" s="20">
        <v>210.8</v>
      </c>
      <c r="J5" s="48">
        <f t="shared" ref="J5:J37" si="10">(I5-I2)/I2</f>
        <v>-2.9465930018416103E-2</v>
      </c>
      <c r="K5" s="20">
        <v>174.3</v>
      </c>
      <c r="L5" s="49">
        <f t="shared" ref="L5:L37" si="11">(K5-K2)/K2</f>
        <v>2.7712264150943498E-2</v>
      </c>
      <c r="M5" s="20">
        <v>166.3</v>
      </c>
      <c r="N5" s="48">
        <f t="shared" ref="N5:N37" si="12">(M5-M2)/M2</f>
        <v>5.4413542926239761E-3</v>
      </c>
      <c r="O5" s="20">
        <v>202.2</v>
      </c>
      <c r="P5" s="48">
        <f t="shared" ref="P5:P37" si="13">(O5-O2)/O2</f>
        <v>-2.8351753964440202E-2</v>
      </c>
      <c r="Q5" s="20">
        <v>169.6</v>
      </c>
      <c r="R5" s="48">
        <f t="shared" ref="R5:R37" si="14">(Q5-Q2)/Q2</f>
        <v>2.2919179734619918E-2</v>
      </c>
      <c r="S5" s="20">
        <v>168.6</v>
      </c>
      <c r="T5" s="48">
        <f t="shared" ref="T5:T37" si="15">(S5-S2)/S2</f>
        <v>7.770472205618547E-3</v>
      </c>
      <c r="U5" s="20">
        <v>164.4</v>
      </c>
      <c r="V5" s="47">
        <f t="shared" ref="V5:V37" si="16">(U5-U2)/U2</f>
        <v>-1.2150668286755081E-3</v>
      </c>
      <c r="W5" s="20">
        <v>119.2</v>
      </c>
      <c r="X5" s="48">
        <f t="shared" ref="X5:X37" si="17">(W5-W2)/W2</f>
        <v>8.3963056255254855E-4</v>
      </c>
      <c r="Y5" s="20">
        <v>191.8</v>
      </c>
      <c r="Z5" s="48">
        <f t="shared" ref="Z5:Z37" si="18">(Y5-Y2)/Y2</f>
        <v>1.5352038115405005E-2</v>
      </c>
      <c r="AA5" s="20">
        <v>174.5</v>
      </c>
      <c r="AB5" s="48">
        <f t="shared" ref="AB5:AB37" si="19">(AA5-AA2)/AA2</f>
        <v>1.7221584385764144E-3</v>
      </c>
      <c r="AC5" s="20">
        <v>183.1</v>
      </c>
      <c r="AD5" s="48">
        <f t="shared" ref="AD5:AD37" si="20">(AC5-AC2)/AC2</f>
        <v>6.5970313358987825E-3</v>
      </c>
      <c r="AE5" s="20">
        <v>172.5</v>
      </c>
      <c r="AF5" s="48">
        <f t="shared" ref="AF5:AF37" si="21">(AE5-AE2)/AE2</f>
        <v>5.80046403712264E-4</v>
      </c>
      <c r="AG5" s="20">
        <v>193.2</v>
      </c>
      <c r="AH5" s="48">
        <f t="shared" ref="AH5:AH37" si="22">(AG5-AG2)/AG2</f>
        <v>1.5552099533436129E-3</v>
      </c>
      <c r="AI5" s="20">
        <v>182</v>
      </c>
      <c r="AJ5" s="20">
        <v>180.3</v>
      </c>
      <c r="AK5" s="20">
        <v>181.7</v>
      </c>
      <c r="AL5" s="30">
        <f>'Handle missing value sheet only'!$C$1</f>
        <v>139.27096774193564</v>
      </c>
      <c r="AM5" s="20">
        <v>179.6</v>
      </c>
      <c r="AN5" s="20">
        <v>171.3</v>
      </c>
      <c r="AO5" s="20">
        <v>178.8</v>
      </c>
      <c r="AP5" s="20">
        <v>166.3</v>
      </c>
      <c r="AQ5" s="20">
        <v>168.6</v>
      </c>
      <c r="AR5" s="20">
        <v>174.7</v>
      </c>
      <c r="AS5" s="20">
        <v>169.7</v>
      </c>
      <c r="AT5" s="20">
        <v>171.8</v>
      </c>
      <c r="AU5" s="20">
        <v>174.3</v>
      </c>
      <c r="AV5" s="28">
        <f t="shared" si="1"/>
        <v>4328.1115271071367</v>
      </c>
      <c r="AW5" s="28">
        <f t="shared" si="2"/>
        <v>684.80000000000007</v>
      </c>
      <c r="AX5" s="28">
        <f t="shared" si="3"/>
        <v>362.3</v>
      </c>
      <c r="AY5" s="28">
        <f t="shared" si="4"/>
        <v>310.57096774193565</v>
      </c>
      <c r="AZ5" s="28">
        <f t="shared" si="5"/>
        <v>2445.7390041552471</v>
      </c>
      <c r="BA5" s="28">
        <f t="shared" si="6"/>
        <v>171.20000000000002</v>
      </c>
      <c r="BB5" s="28">
        <f t="shared" si="7"/>
        <v>155.28548387096782</v>
      </c>
      <c r="BC5" s="31">
        <v>174.69285714285712</v>
      </c>
      <c r="BD5" s="42">
        <f t="shared" si="8"/>
        <v>-4.2748961810929065E-3</v>
      </c>
      <c r="BE5" s="11" t="s">
        <v>40</v>
      </c>
      <c r="BF5" s="44" t="e">
        <f>SUM(#REF!)</f>
        <v>#REF!</v>
      </c>
      <c r="BG5" s="44" t="e">
        <f>SUM(#REF!)</f>
        <v>#REF!</v>
      </c>
      <c r="BH5" s="44" t="e">
        <f>SUM(#REF!)</f>
        <v>#REF!</v>
      </c>
    </row>
    <row r="6" spans="1:60" hidden="1" x14ac:dyDescent="0.3">
      <c r="A6" s="26" t="s">
        <v>2</v>
      </c>
      <c r="B6" s="21">
        <v>2022</v>
      </c>
      <c r="C6" s="21" t="s">
        <v>9</v>
      </c>
      <c r="D6" s="21" t="str">
        <f t="shared" si="0"/>
        <v>Jul-22</v>
      </c>
      <c r="E6" s="32">
        <v>44743</v>
      </c>
      <c r="F6" s="21" t="s">
        <v>85</v>
      </c>
      <c r="G6" s="21">
        <v>159.30000000000001</v>
      </c>
      <c r="H6" s="50">
        <f t="shared" si="9"/>
        <v>1.1428571428571501E-2</v>
      </c>
      <c r="I6" s="21">
        <v>217.1</v>
      </c>
      <c r="J6" s="50">
        <f t="shared" si="10"/>
        <v>-2.8200537153088682E-2</v>
      </c>
      <c r="K6" s="21">
        <v>176.6</v>
      </c>
      <c r="L6" s="50">
        <f t="shared" si="11"/>
        <v>2.1990740740740641E-2</v>
      </c>
      <c r="M6" s="21">
        <v>167.1</v>
      </c>
      <c r="N6" s="50">
        <f t="shared" si="12"/>
        <v>4.2067307692307005E-3</v>
      </c>
      <c r="O6" s="21">
        <v>184.8</v>
      </c>
      <c r="P6" s="50">
        <f t="shared" si="13"/>
        <v>-2.014846235418867E-2</v>
      </c>
      <c r="Q6" s="21">
        <v>179.5</v>
      </c>
      <c r="R6" s="50">
        <f t="shared" si="14"/>
        <v>3.1016657093624389E-2</v>
      </c>
      <c r="S6" s="21">
        <v>208.5</v>
      </c>
      <c r="T6" s="50">
        <f t="shared" si="15"/>
        <v>-1.4184397163120567E-2</v>
      </c>
      <c r="U6" s="21">
        <v>164</v>
      </c>
      <c r="V6" s="50">
        <f t="shared" si="16"/>
        <v>2.4449877750611594E-3</v>
      </c>
      <c r="W6" s="21">
        <v>121.5</v>
      </c>
      <c r="X6" s="50">
        <f t="shared" si="17"/>
        <v>8.2372322899501083E-4</v>
      </c>
      <c r="Y6" s="21">
        <v>186.3</v>
      </c>
      <c r="Z6" s="50">
        <f t="shared" si="18"/>
        <v>1.5258855585831125E-2</v>
      </c>
      <c r="AA6" s="21">
        <v>159.80000000000001</v>
      </c>
      <c r="AB6" s="50">
        <f t="shared" si="19"/>
        <v>4.3997485857952051E-3</v>
      </c>
      <c r="AC6" s="21">
        <v>187.7</v>
      </c>
      <c r="AD6" s="50">
        <f t="shared" si="20"/>
        <v>7.514761137949421E-3</v>
      </c>
      <c r="AE6" s="21">
        <v>179.4</v>
      </c>
      <c r="AF6" s="50">
        <f t="shared" si="21"/>
        <v>5.5772448410482047E-4</v>
      </c>
      <c r="AG6" s="21">
        <v>198.6</v>
      </c>
      <c r="AH6" s="50">
        <f t="shared" si="22"/>
        <v>1.5128593040846341E-3</v>
      </c>
      <c r="AI6" s="21">
        <v>172.7</v>
      </c>
      <c r="AJ6" s="21">
        <v>158.69999999999999</v>
      </c>
      <c r="AK6" s="21">
        <v>170.6</v>
      </c>
      <c r="AL6" s="21">
        <v>167.8</v>
      </c>
      <c r="AM6" s="21">
        <v>179.5</v>
      </c>
      <c r="AN6" s="21">
        <v>163.1</v>
      </c>
      <c r="AO6" s="21">
        <v>171.7</v>
      </c>
      <c r="AP6" s="21">
        <v>157.4</v>
      </c>
      <c r="AQ6" s="21">
        <v>164.6</v>
      </c>
      <c r="AR6" s="21">
        <v>169.1</v>
      </c>
      <c r="AS6" s="21">
        <v>169.8</v>
      </c>
      <c r="AT6" s="21">
        <v>164.7</v>
      </c>
      <c r="AU6" s="21">
        <v>172.3</v>
      </c>
      <c r="AV6" s="28">
        <f t="shared" si="1"/>
        <v>4329.3386219634631</v>
      </c>
      <c r="AW6" s="28">
        <f t="shared" si="2"/>
        <v>668.2</v>
      </c>
      <c r="AX6" s="28">
        <f t="shared" si="3"/>
        <v>331.4</v>
      </c>
      <c r="AY6" s="28">
        <f t="shared" si="4"/>
        <v>330.9</v>
      </c>
      <c r="AZ6" s="28">
        <f t="shared" si="5"/>
        <v>2490.2371091041596</v>
      </c>
      <c r="BA6" s="28">
        <f t="shared" si="6"/>
        <v>167.05</v>
      </c>
      <c r="BB6" s="28">
        <f t="shared" si="7"/>
        <v>165.45</v>
      </c>
      <c r="BC6" s="29">
        <v>177.87142857142857</v>
      </c>
      <c r="BD6" s="42">
        <f t="shared" si="8"/>
        <v>1.8195199738316323E-2</v>
      </c>
      <c r="BE6" s="11" t="s">
        <v>41</v>
      </c>
      <c r="BF6" s="44" t="e">
        <f>SUM(#REF!)</f>
        <v>#REF!</v>
      </c>
      <c r="BG6" s="44" t="e">
        <f>SUM(#REF!)</f>
        <v>#REF!</v>
      </c>
      <c r="BH6" s="44" t="e">
        <f>SUM(#REF!)</f>
        <v>#REF!</v>
      </c>
    </row>
    <row r="7" spans="1:60" hidden="1" x14ac:dyDescent="0.3">
      <c r="A7" s="27" t="s">
        <v>3</v>
      </c>
      <c r="B7" s="20">
        <v>2022</v>
      </c>
      <c r="C7" s="20" t="s">
        <v>9</v>
      </c>
      <c r="D7" s="21" t="str">
        <f t="shared" si="0"/>
        <v>Jul-22</v>
      </c>
      <c r="E7" s="33">
        <v>44743</v>
      </c>
      <c r="F7" s="20" t="s">
        <v>85</v>
      </c>
      <c r="G7" s="20">
        <v>156.5</v>
      </c>
      <c r="H7" s="48">
        <f t="shared" si="9"/>
        <v>9.6774193548387101E-3</v>
      </c>
      <c r="I7" s="20">
        <v>213</v>
      </c>
      <c r="J7" s="48">
        <f t="shared" si="10"/>
        <v>-2.9170464904284436E-2</v>
      </c>
      <c r="K7" s="20">
        <v>175.2</v>
      </c>
      <c r="L7" s="48">
        <f t="shared" si="11"/>
        <v>2.5761124121779725E-2</v>
      </c>
      <c r="M7" s="20">
        <v>166.6</v>
      </c>
      <c r="N7" s="48">
        <f t="shared" si="12"/>
        <v>4.8250904704462173E-3</v>
      </c>
      <c r="O7" s="20">
        <v>195.8</v>
      </c>
      <c r="P7" s="48">
        <f t="shared" si="13"/>
        <v>-2.5385764061722219E-2</v>
      </c>
      <c r="Q7" s="20">
        <v>174.2</v>
      </c>
      <c r="R7" s="48">
        <f t="shared" si="14"/>
        <v>2.6517383618149679E-2</v>
      </c>
      <c r="S7" s="20">
        <v>182.1</v>
      </c>
      <c r="T7" s="48">
        <f t="shared" si="15"/>
        <v>-1.0970927043336097E-3</v>
      </c>
      <c r="U7" s="20">
        <v>164.3</v>
      </c>
      <c r="V7" s="48">
        <f t="shared" si="16"/>
        <v>0</v>
      </c>
      <c r="W7" s="20">
        <v>120</v>
      </c>
      <c r="X7" s="48">
        <f t="shared" si="17"/>
        <v>8.3402835696408937E-4</v>
      </c>
      <c r="Y7" s="20">
        <v>190</v>
      </c>
      <c r="Z7" s="48">
        <f t="shared" si="18"/>
        <v>1.5499732763228252E-2</v>
      </c>
      <c r="AA7" s="20">
        <v>168.4</v>
      </c>
      <c r="AB7" s="48">
        <f t="shared" si="19"/>
        <v>2.9779630732578916E-3</v>
      </c>
      <c r="AC7" s="20">
        <v>185.2</v>
      </c>
      <c r="AD7" s="48">
        <f t="shared" si="20"/>
        <v>7.0690592713430287E-3</v>
      </c>
      <c r="AE7" s="20">
        <v>175</v>
      </c>
      <c r="AF7" s="48">
        <f t="shared" si="21"/>
        <v>5.7175528873638828E-4</v>
      </c>
      <c r="AG7" s="20">
        <v>194.6</v>
      </c>
      <c r="AH7" s="48">
        <f t="shared" si="22"/>
        <v>1.5440041173442251E-3</v>
      </c>
      <c r="AI7" s="20">
        <v>178.3</v>
      </c>
      <c r="AJ7" s="20">
        <v>171.3</v>
      </c>
      <c r="AK7" s="20">
        <v>177.3</v>
      </c>
      <c r="AL7" s="20">
        <v>167.8</v>
      </c>
      <c r="AM7" s="20">
        <v>179.6</v>
      </c>
      <c r="AN7" s="20">
        <v>167.4</v>
      </c>
      <c r="AO7" s="20">
        <v>176.1</v>
      </c>
      <c r="AP7" s="20">
        <v>161.6</v>
      </c>
      <c r="AQ7" s="20">
        <v>166.3</v>
      </c>
      <c r="AR7" s="20">
        <v>171.4</v>
      </c>
      <c r="AS7" s="20">
        <v>169.7</v>
      </c>
      <c r="AT7" s="20">
        <v>168.4</v>
      </c>
      <c r="AU7" s="20">
        <v>173.4</v>
      </c>
      <c r="AV7" s="28">
        <f t="shared" si="1"/>
        <v>4338.8396242387662</v>
      </c>
      <c r="AW7" s="28">
        <f t="shared" si="2"/>
        <v>675.8</v>
      </c>
      <c r="AX7" s="28">
        <f t="shared" si="3"/>
        <v>349.6</v>
      </c>
      <c r="AY7" s="28">
        <f t="shared" si="4"/>
        <v>335.20000000000005</v>
      </c>
      <c r="AZ7" s="28">
        <f t="shared" si="5"/>
        <v>2460.9380802346482</v>
      </c>
      <c r="BA7" s="28">
        <f t="shared" si="6"/>
        <v>168.95</v>
      </c>
      <c r="BB7" s="28">
        <f t="shared" si="7"/>
        <v>167.60000000000002</v>
      </c>
      <c r="BC7" s="31">
        <v>175.77857142857144</v>
      </c>
      <c r="BD7" s="42">
        <f t="shared" si="8"/>
        <v>-1.1766123202955499E-2</v>
      </c>
      <c r="BE7" s="11" t="s">
        <v>42</v>
      </c>
      <c r="BF7" s="44" t="e">
        <f>SUM(#REF!)</f>
        <v>#REF!</v>
      </c>
      <c r="BG7" s="44" t="e">
        <f>SUM(#REF!)</f>
        <v>#REF!</v>
      </c>
      <c r="BH7" s="44" t="e">
        <f>SUM(#REF!)</f>
        <v>#REF!</v>
      </c>
    </row>
    <row r="8" spans="1:60" x14ac:dyDescent="0.3">
      <c r="A8" s="26" t="s">
        <v>0</v>
      </c>
      <c r="B8" s="21">
        <v>2022</v>
      </c>
      <c r="C8" s="21" t="s">
        <v>10</v>
      </c>
      <c r="D8" s="21" t="str">
        <f t="shared" si="0"/>
        <v>Aug-22</v>
      </c>
      <c r="E8" s="32">
        <v>44774</v>
      </c>
      <c r="F8" s="21" t="s">
        <v>85</v>
      </c>
      <c r="G8" s="21">
        <v>159.5</v>
      </c>
      <c r="H8" s="48">
        <f t="shared" si="9"/>
        <v>2.7706185567010384E-2</v>
      </c>
      <c r="I8" s="21">
        <v>204.1</v>
      </c>
      <c r="J8" s="48">
        <f t="shared" si="10"/>
        <v>-3.1783681214421329E-2</v>
      </c>
      <c r="K8" s="21">
        <v>168.3</v>
      </c>
      <c r="L8" s="49">
        <f t="shared" si="11"/>
        <v>-3.4423407917383818E-2</v>
      </c>
      <c r="M8" s="21">
        <v>167.9</v>
      </c>
      <c r="N8" s="48">
        <f t="shared" si="12"/>
        <v>9.6211665664461474E-3</v>
      </c>
      <c r="O8" s="21">
        <v>198.1</v>
      </c>
      <c r="P8" s="48">
        <f t="shared" si="13"/>
        <v>-2.0276953511374849E-2</v>
      </c>
      <c r="Q8" s="21">
        <v>169.2</v>
      </c>
      <c r="R8" s="48">
        <f t="shared" si="14"/>
        <v>-2.3584905660377696E-3</v>
      </c>
      <c r="S8" s="21">
        <v>173.1</v>
      </c>
      <c r="T8" s="48">
        <f t="shared" si="15"/>
        <v>2.6690391459074734E-2</v>
      </c>
      <c r="U8" s="21">
        <v>167.1</v>
      </c>
      <c r="V8" s="47">
        <f t="shared" si="16"/>
        <v>1.6423357664233508E-2</v>
      </c>
      <c r="W8" s="21">
        <v>120.2</v>
      </c>
      <c r="X8" s="48">
        <f t="shared" si="17"/>
        <v>8.389261744966443E-3</v>
      </c>
      <c r="Y8" s="21">
        <v>195.6</v>
      </c>
      <c r="Z8" s="48">
        <f t="shared" si="18"/>
        <v>1.981230448383724E-2</v>
      </c>
      <c r="AA8" s="21">
        <v>174.8</v>
      </c>
      <c r="AB8" s="48">
        <f t="shared" si="19"/>
        <v>1.7191977077364547E-3</v>
      </c>
      <c r="AC8" s="21">
        <v>184</v>
      </c>
      <c r="AD8" s="48">
        <f t="shared" si="20"/>
        <v>4.9153468050246079E-3</v>
      </c>
      <c r="AE8" s="21">
        <v>173.9</v>
      </c>
      <c r="AF8" s="48">
        <f t="shared" si="21"/>
        <v>8.1159420289855407E-3</v>
      </c>
      <c r="AG8" s="21">
        <v>193.7</v>
      </c>
      <c r="AH8" s="48">
        <f t="shared" si="22"/>
        <v>2.587991718426501E-3</v>
      </c>
      <c r="AI8" s="21">
        <v>183.2</v>
      </c>
      <c r="AJ8" s="21">
        <v>181.7</v>
      </c>
      <c r="AK8" s="21">
        <v>183</v>
      </c>
      <c r="AL8" s="28">
        <f>'Handle missing value sheet only'!$C$1</f>
        <v>139.27096774193564</v>
      </c>
      <c r="AM8" s="21">
        <v>179.1</v>
      </c>
      <c r="AN8" s="21">
        <v>172.3</v>
      </c>
      <c r="AO8" s="21">
        <v>179.4</v>
      </c>
      <c r="AP8" s="21">
        <v>166.6</v>
      </c>
      <c r="AQ8" s="21">
        <v>169.3</v>
      </c>
      <c r="AR8" s="21">
        <v>175.7</v>
      </c>
      <c r="AS8" s="21">
        <v>171.1</v>
      </c>
      <c r="AT8" s="21">
        <v>172.6</v>
      </c>
      <c r="AU8" s="21">
        <v>175.3</v>
      </c>
      <c r="AV8" s="28">
        <f t="shared" si="1"/>
        <v>4339.8081063544705</v>
      </c>
      <c r="AW8" s="28">
        <f t="shared" si="2"/>
        <v>688.7</v>
      </c>
      <c r="AX8" s="28">
        <f t="shared" si="3"/>
        <v>364.9</v>
      </c>
      <c r="AY8" s="28">
        <f t="shared" si="4"/>
        <v>311.57096774193565</v>
      </c>
      <c r="AZ8" s="28">
        <f t="shared" si="5"/>
        <v>2449.5345506208178</v>
      </c>
      <c r="BA8" s="28">
        <f t="shared" si="6"/>
        <v>172.17500000000001</v>
      </c>
      <c r="BB8" s="28">
        <f t="shared" si="7"/>
        <v>155.78548387096782</v>
      </c>
      <c r="BC8" s="29">
        <v>174.96428571428569</v>
      </c>
      <c r="BD8" s="42">
        <f t="shared" si="8"/>
        <v>-4.6324515421189124E-3</v>
      </c>
      <c r="BE8" s="11" t="s">
        <v>43</v>
      </c>
      <c r="BF8" s="44" t="e">
        <f>SUM(#REF!)</f>
        <v>#REF!</v>
      </c>
      <c r="BG8" s="44" t="e">
        <f>SUM(#REF!)</f>
        <v>#REF!</v>
      </c>
      <c r="BH8" s="44" t="e">
        <f>SUM(#REF!)</f>
        <v>#REF!</v>
      </c>
    </row>
    <row r="9" spans="1:60" hidden="1" x14ac:dyDescent="0.3">
      <c r="A9" s="27" t="s">
        <v>2</v>
      </c>
      <c r="B9" s="20">
        <v>2022</v>
      </c>
      <c r="C9" s="20" t="s">
        <v>10</v>
      </c>
      <c r="D9" s="21" t="str">
        <f t="shared" si="0"/>
        <v>Aug-22</v>
      </c>
      <c r="E9" s="33">
        <v>44774</v>
      </c>
      <c r="F9" s="20" t="s">
        <v>85</v>
      </c>
      <c r="G9" s="20">
        <v>162.1</v>
      </c>
      <c r="H9" s="50">
        <f t="shared" si="9"/>
        <v>1.7576898932831028E-2</v>
      </c>
      <c r="I9" s="20">
        <v>210.9</v>
      </c>
      <c r="J9" s="50">
        <f t="shared" si="10"/>
        <v>-2.8558268079226113E-2</v>
      </c>
      <c r="K9" s="20">
        <v>170.6</v>
      </c>
      <c r="L9" s="50">
        <f t="shared" si="11"/>
        <v>-3.3975084937712348E-2</v>
      </c>
      <c r="M9" s="20">
        <v>168.4</v>
      </c>
      <c r="N9" s="50">
        <f t="shared" si="12"/>
        <v>7.7797725912627852E-3</v>
      </c>
      <c r="O9" s="20">
        <v>182.5</v>
      </c>
      <c r="P9" s="50">
        <f t="shared" si="13"/>
        <v>-1.2445887445887507E-2</v>
      </c>
      <c r="Q9" s="20">
        <v>177.1</v>
      </c>
      <c r="R9" s="50">
        <f t="shared" si="14"/>
        <v>-1.3370473537604488E-2</v>
      </c>
      <c r="S9" s="20">
        <v>213.1</v>
      </c>
      <c r="T9" s="50">
        <f t="shared" si="15"/>
        <v>2.206235011990405E-2</v>
      </c>
      <c r="U9" s="20">
        <v>167.3</v>
      </c>
      <c r="V9" s="50">
        <f t="shared" si="16"/>
        <v>2.0121951219512265E-2</v>
      </c>
      <c r="W9" s="20">
        <v>122.2</v>
      </c>
      <c r="X9" s="50">
        <f t="shared" si="17"/>
        <v>5.7613168724280073E-3</v>
      </c>
      <c r="Y9" s="20">
        <v>189.7</v>
      </c>
      <c r="Z9" s="50">
        <f t="shared" si="18"/>
        <v>1.8250134192163054E-2</v>
      </c>
      <c r="AA9" s="20">
        <v>160.5</v>
      </c>
      <c r="AB9" s="50">
        <f t="shared" si="19"/>
        <v>4.3804755944930451E-3</v>
      </c>
      <c r="AC9" s="20">
        <v>188.9</v>
      </c>
      <c r="AD9" s="50">
        <f t="shared" si="20"/>
        <v>6.3931806073522493E-3</v>
      </c>
      <c r="AE9" s="20">
        <v>180.4</v>
      </c>
      <c r="AF9" s="50">
        <f t="shared" si="21"/>
        <v>5.5741360089186171E-3</v>
      </c>
      <c r="AG9" s="20">
        <v>198.7</v>
      </c>
      <c r="AH9" s="50">
        <f t="shared" si="22"/>
        <v>5.0352467270893412E-4</v>
      </c>
      <c r="AI9" s="20">
        <v>173.7</v>
      </c>
      <c r="AJ9" s="20">
        <v>160</v>
      </c>
      <c r="AK9" s="20">
        <v>171.6</v>
      </c>
      <c r="AL9" s="20">
        <v>169</v>
      </c>
      <c r="AM9" s="20">
        <v>178.4</v>
      </c>
      <c r="AN9" s="20">
        <v>164.2</v>
      </c>
      <c r="AO9" s="20">
        <v>172.6</v>
      </c>
      <c r="AP9" s="20">
        <v>157.69999999999999</v>
      </c>
      <c r="AQ9" s="20">
        <v>165.1</v>
      </c>
      <c r="AR9" s="20">
        <v>169.9</v>
      </c>
      <c r="AS9" s="20">
        <v>171.4</v>
      </c>
      <c r="AT9" s="20">
        <v>165.4</v>
      </c>
      <c r="AU9" s="20">
        <v>173.1</v>
      </c>
      <c r="AV9" s="28">
        <f t="shared" si="1"/>
        <v>4339.8200540268117</v>
      </c>
      <c r="AW9" s="28">
        <f t="shared" si="2"/>
        <v>671.80000000000007</v>
      </c>
      <c r="AX9" s="28">
        <f t="shared" si="3"/>
        <v>333.7</v>
      </c>
      <c r="AY9" s="28">
        <f t="shared" si="4"/>
        <v>333.2</v>
      </c>
      <c r="AZ9" s="28">
        <f t="shared" si="5"/>
        <v>2492.4195505021385</v>
      </c>
      <c r="BA9" s="28">
        <f t="shared" si="6"/>
        <v>167.95000000000002</v>
      </c>
      <c r="BB9" s="28">
        <f t="shared" si="7"/>
        <v>166.6</v>
      </c>
      <c r="BC9" s="31">
        <v>178.02857142857141</v>
      </c>
      <c r="BD9" s="42">
        <f t="shared" si="8"/>
        <v>1.7513778322106568E-2</v>
      </c>
      <c r="BE9" s="11" t="s">
        <v>44</v>
      </c>
      <c r="BF9" s="44" t="e">
        <f>SUM(#REF!)</f>
        <v>#REF!</v>
      </c>
      <c r="BG9" s="44" t="e">
        <f>SUM(#REF!)</f>
        <v>#REF!</v>
      </c>
      <c r="BH9" s="44" t="e">
        <f>SUM(#REF!)</f>
        <v>#REF!</v>
      </c>
    </row>
    <row r="10" spans="1:60" hidden="1" x14ac:dyDescent="0.3">
      <c r="A10" s="26" t="s">
        <v>3</v>
      </c>
      <c r="B10" s="21">
        <v>2022</v>
      </c>
      <c r="C10" s="21" t="s">
        <v>10</v>
      </c>
      <c r="D10" s="21" t="str">
        <f t="shared" si="0"/>
        <v>Aug-22</v>
      </c>
      <c r="E10" s="32">
        <v>44774</v>
      </c>
      <c r="F10" s="21" t="s">
        <v>85</v>
      </c>
      <c r="G10" s="21">
        <v>160.30000000000001</v>
      </c>
      <c r="H10" s="48">
        <f t="shared" si="9"/>
        <v>2.4281150159744483E-2</v>
      </c>
      <c r="I10" s="21">
        <v>206.5</v>
      </c>
      <c r="J10" s="48">
        <f t="shared" si="10"/>
        <v>-3.0516431924882629E-2</v>
      </c>
      <c r="K10" s="21">
        <v>169.2</v>
      </c>
      <c r="L10" s="48">
        <f t="shared" si="11"/>
        <v>-3.4246575342465758E-2</v>
      </c>
      <c r="M10" s="21">
        <v>168.1</v>
      </c>
      <c r="N10" s="48">
        <f t="shared" si="12"/>
        <v>9.00360144057623E-3</v>
      </c>
      <c r="O10" s="21">
        <v>192.4</v>
      </c>
      <c r="P10" s="48">
        <f t="shared" si="13"/>
        <v>-1.7364657814096043E-2</v>
      </c>
      <c r="Q10" s="21">
        <v>172.9</v>
      </c>
      <c r="R10" s="48">
        <f t="shared" si="14"/>
        <v>-7.4626865671640818E-3</v>
      </c>
      <c r="S10" s="21">
        <v>186.7</v>
      </c>
      <c r="T10" s="48">
        <f t="shared" si="15"/>
        <v>2.5260845689181737E-2</v>
      </c>
      <c r="U10" s="21">
        <v>167.2</v>
      </c>
      <c r="V10" s="48">
        <f t="shared" si="16"/>
        <v>1.7650639074862917E-2</v>
      </c>
      <c r="W10" s="21">
        <v>120.9</v>
      </c>
      <c r="X10" s="48">
        <f t="shared" si="17"/>
        <v>7.5000000000000474E-3</v>
      </c>
      <c r="Y10" s="21">
        <v>193.6</v>
      </c>
      <c r="Z10" s="48">
        <f t="shared" si="18"/>
        <v>1.8947368421052602E-2</v>
      </c>
      <c r="AA10" s="21">
        <v>168.8</v>
      </c>
      <c r="AB10" s="48">
        <f t="shared" si="19"/>
        <v>2.3752969121140478E-3</v>
      </c>
      <c r="AC10" s="21">
        <v>186.3</v>
      </c>
      <c r="AD10" s="48">
        <f t="shared" si="20"/>
        <v>5.9395248380130824E-3</v>
      </c>
      <c r="AE10" s="21">
        <v>176.3</v>
      </c>
      <c r="AF10" s="48">
        <f t="shared" si="21"/>
        <v>7.4285714285714935E-3</v>
      </c>
      <c r="AG10" s="21">
        <v>195</v>
      </c>
      <c r="AH10" s="48">
        <f t="shared" si="22"/>
        <v>2.0554984583761853E-3</v>
      </c>
      <c r="AI10" s="21">
        <v>179.5</v>
      </c>
      <c r="AJ10" s="21">
        <v>172.7</v>
      </c>
      <c r="AK10" s="21">
        <v>178.5</v>
      </c>
      <c r="AL10" s="21">
        <v>169</v>
      </c>
      <c r="AM10" s="21">
        <v>178.8</v>
      </c>
      <c r="AN10" s="21">
        <v>168.5</v>
      </c>
      <c r="AO10" s="21">
        <v>176.8</v>
      </c>
      <c r="AP10" s="21">
        <v>161.9</v>
      </c>
      <c r="AQ10" s="21">
        <v>166.9</v>
      </c>
      <c r="AR10" s="21">
        <v>172.3</v>
      </c>
      <c r="AS10" s="21">
        <v>171.2</v>
      </c>
      <c r="AT10" s="21">
        <v>169.1</v>
      </c>
      <c r="AU10" s="21">
        <v>174.3</v>
      </c>
      <c r="AV10" s="28">
        <f t="shared" si="1"/>
        <v>4350.9308521447738</v>
      </c>
      <c r="AW10" s="28">
        <f t="shared" si="2"/>
        <v>679.49999999999989</v>
      </c>
      <c r="AX10" s="28">
        <f t="shared" si="3"/>
        <v>352.2</v>
      </c>
      <c r="AY10" s="28">
        <f t="shared" si="4"/>
        <v>337.5</v>
      </c>
      <c r="AZ10" s="28">
        <f t="shared" si="5"/>
        <v>2464.2287966463159</v>
      </c>
      <c r="BA10" s="28">
        <f t="shared" si="6"/>
        <v>169.87499999999997</v>
      </c>
      <c r="BB10" s="28">
        <f t="shared" si="7"/>
        <v>168.75</v>
      </c>
      <c r="BC10" s="29">
        <v>176.01428571428573</v>
      </c>
      <c r="BD10" s="42">
        <f t="shared" si="8"/>
        <v>-1.1314395763119676E-2</v>
      </c>
      <c r="BE10" s="11" t="s">
        <v>45</v>
      </c>
      <c r="BF10" s="44" t="e">
        <f>SUM(#REF!)</f>
        <v>#REF!</v>
      </c>
      <c r="BG10" s="44" t="e">
        <f>SUM(#REF!)</f>
        <v>#REF!</v>
      </c>
      <c r="BH10" s="44" t="e">
        <f>SUM(#REF!)</f>
        <v>#REF!</v>
      </c>
    </row>
    <row r="11" spans="1:60" x14ac:dyDescent="0.3">
      <c r="A11" s="27" t="s">
        <v>0</v>
      </c>
      <c r="B11" s="20">
        <v>2022</v>
      </c>
      <c r="C11" s="20" t="s">
        <v>11</v>
      </c>
      <c r="D11" s="21" t="str">
        <f t="shared" si="0"/>
        <v>Sep-22</v>
      </c>
      <c r="E11" s="33">
        <v>44805</v>
      </c>
      <c r="F11" s="20" t="s">
        <v>85</v>
      </c>
      <c r="G11" s="20">
        <v>162.9</v>
      </c>
      <c r="H11" s="48">
        <f t="shared" si="9"/>
        <v>2.1316614420062732E-2</v>
      </c>
      <c r="I11" s="20">
        <v>206.7</v>
      </c>
      <c r="J11" s="48">
        <f t="shared" si="10"/>
        <v>1.2738853503184686E-2</v>
      </c>
      <c r="K11" s="20">
        <v>169</v>
      </c>
      <c r="L11" s="49">
        <f t="shared" si="11"/>
        <v>4.1592394533570328E-3</v>
      </c>
      <c r="M11" s="20">
        <v>169.5</v>
      </c>
      <c r="N11" s="48">
        <f t="shared" si="12"/>
        <v>9.5294818344252193E-3</v>
      </c>
      <c r="O11" s="20">
        <v>194.1</v>
      </c>
      <c r="P11" s="48">
        <f t="shared" si="13"/>
        <v>-2.0191822311963654E-2</v>
      </c>
      <c r="Q11" s="20">
        <v>164.1</v>
      </c>
      <c r="R11" s="48">
        <f t="shared" si="14"/>
        <v>-3.0141843971631173E-2</v>
      </c>
      <c r="S11" s="20">
        <v>176.9</v>
      </c>
      <c r="T11" s="48">
        <f t="shared" si="15"/>
        <v>2.1952628538417167E-2</v>
      </c>
      <c r="U11" s="20">
        <v>169</v>
      </c>
      <c r="V11" s="47">
        <f t="shared" si="16"/>
        <v>1.1370436864153236E-2</v>
      </c>
      <c r="W11" s="20">
        <v>120.8</v>
      </c>
      <c r="X11" s="48">
        <f t="shared" si="17"/>
        <v>4.9916805324458757E-3</v>
      </c>
      <c r="Y11" s="20">
        <v>199.1</v>
      </c>
      <c r="Z11" s="48">
        <f t="shared" si="18"/>
        <v>1.7893660531697341E-2</v>
      </c>
      <c r="AA11" s="20">
        <v>175.4</v>
      </c>
      <c r="AB11" s="48">
        <f t="shared" si="19"/>
        <v>3.4324942791761686E-3</v>
      </c>
      <c r="AC11" s="20">
        <v>184.8</v>
      </c>
      <c r="AD11" s="48">
        <f t="shared" si="20"/>
        <v>4.3478260869565834E-3</v>
      </c>
      <c r="AE11" s="20">
        <v>175.5</v>
      </c>
      <c r="AF11" s="48">
        <f t="shared" si="21"/>
        <v>9.2006900517538487E-3</v>
      </c>
      <c r="AG11" s="20">
        <v>194.5</v>
      </c>
      <c r="AH11" s="48">
        <f t="shared" si="22"/>
        <v>4.1300980898296927E-3</v>
      </c>
      <c r="AI11" s="20">
        <v>184.7</v>
      </c>
      <c r="AJ11" s="20">
        <v>183.3</v>
      </c>
      <c r="AK11" s="20">
        <v>184.5</v>
      </c>
      <c r="AL11" s="30">
        <f>'Handle missing value sheet only'!$C$1</f>
        <v>139.27096774193564</v>
      </c>
      <c r="AM11" s="20">
        <v>179.7</v>
      </c>
      <c r="AN11" s="20">
        <v>173.6</v>
      </c>
      <c r="AO11" s="20">
        <v>180.2</v>
      </c>
      <c r="AP11" s="20">
        <v>166.9</v>
      </c>
      <c r="AQ11" s="20">
        <v>170</v>
      </c>
      <c r="AR11" s="20">
        <v>176.2</v>
      </c>
      <c r="AS11" s="20">
        <v>170.8</v>
      </c>
      <c r="AT11" s="20">
        <v>173.1</v>
      </c>
      <c r="AU11" s="20">
        <v>176.4</v>
      </c>
      <c r="AV11" s="28">
        <f t="shared" si="1"/>
        <v>4360.1456977798371</v>
      </c>
      <c r="AW11" s="28">
        <f t="shared" si="2"/>
        <v>690.09999999999991</v>
      </c>
      <c r="AX11" s="28">
        <f t="shared" si="3"/>
        <v>368</v>
      </c>
      <c r="AY11" s="28">
        <f t="shared" si="4"/>
        <v>312.8709677419356</v>
      </c>
      <c r="AZ11" s="28">
        <f t="shared" si="5"/>
        <v>2462.3705999398117</v>
      </c>
      <c r="BA11" s="28">
        <f t="shared" si="6"/>
        <v>172.52499999999998</v>
      </c>
      <c r="BB11" s="28">
        <f t="shared" si="7"/>
        <v>156.4354838709678</v>
      </c>
      <c r="BC11" s="31">
        <v>175.87857142857143</v>
      </c>
      <c r="BD11" s="42">
        <f t="shared" si="8"/>
        <v>-7.7104131158193504E-4</v>
      </c>
      <c r="BE11" s="11" t="s">
        <v>46</v>
      </c>
      <c r="BF11" s="44" t="e">
        <f>SUM(#REF!)</f>
        <v>#REF!</v>
      </c>
      <c r="BG11" s="44" t="e">
        <f>SUM(#REF!)</f>
        <v>#REF!</v>
      </c>
      <c r="BH11" s="44" t="e">
        <f>SUM(#REF!)</f>
        <v>#REF!</v>
      </c>
    </row>
    <row r="12" spans="1:60" hidden="1" x14ac:dyDescent="0.3">
      <c r="A12" s="26" t="s">
        <v>2</v>
      </c>
      <c r="B12" s="21">
        <v>2022</v>
      </c>
      <c r="C12" s="21" t="s">
        <v>11</v>
      </c>
      <c r="D12" s="21" t="str">
        <f t="shared" si="0"/>
        <v>Sep-22</v>
      </c>
      <c r="E12" s="32">
        <v>44805</v>
      </c>
      <c r="F12" s="21" t="s">
        <v>85</v>
      </c>
      <c r="G12" s="21">
        <v>164.9</v>
      </c>
      <c r="H12" s="50">
        <f t="shared" si="9"/>
        <v>1.7273288093769348E-2</v>
      </c>
      <c r="I12" s="21">
        <v>213.7</v>
      </c>
      <c r="J12" s="50">
        <f t="shared" si="10"/>
        <v>1.3276434329065827E-2</v>
      </c>
      <c r="K12" s="21">
        <v>170.9</v>
      </c>
      <c r="L12" s="50">
        <f t="shared" si="11"/>
        <v>1.7584994138335954E-3</v>
      </c>
      <c r="M12" s="21">
        <v>170.1</v>
      </c>
      <c r="N12" s="50">
        <f t="shared" si="12"/>
        <v>1.0095011876484494E-2</v>
      </c>
      <c r="O12" s="21">
        <v>179.3</v>
      </c>
      <c r="P12" s="50">
        <f t="shared" si="13"/>
        <v>-1.7534246575342402E-2</v>
      </c>
      <c r="Q12" s="21">
        <v>167.5</v>
      </c>
      <c r="R12" s="50">
        <f t="shared" si="14"/>
        <v>-5.4206662902315045E-2</v>
      </c>
      <c r="S12" s="21">
        <v>220.8</v>
      </c>
      <c r="T12" s="50">
        <f t="shared" si="15"/>
        <v>3.6133270764899188E-2</v>
      </c>
      <c r="U12" s="21">
        <v>169.2</v>
      </c>
      <c r="V12" s="50">
        <f t="shared" si="16"/>
        <v>1.1356843992827119E-2</v>
      </c>
      <c r="W12" s="21">
        <v>123.1</v>
      </c>
      <c r="X12" s="50">
        <f t="shared" si="17"/>
        <v>7.3649754500817628E-3</v>
      </c>
      <c r="Y12" s="21">
        <v>193.6</v>
      </c>
      <c r="Z12" s="50">
        <f t="shared" si="18"/>
        <v>2.0558777016341623E-2</v>
      </c>
      <c r="AA12" s="21">
        <v>161.1</v>
      </c>
      <c r="AB12" s="50">
        <f t="shared" si="19"/>
        <v>3.7383177570093104E-3</v>
      </c>
      <c r="AC12" s="21">
        <v>190.4</v>
      </c>
      <c r="AD12" s="50">
        <f t="shared" si="20"/>
        <v>7.9407093700370572E-3</v>
      </c>
      <c r="AE12" s="21">
        <v>181.8</v>
      </c>
      <c r="AF12" s="50">
        <f t="shared" si="21"/>
        <v>7.7605321507760849E-3</v>
      </c>
      <c r="AG12" s="21">
        <v>199.7</v>
      </c>
      <c r="AH12" s="50">
        <f t="shared" si="22"/>
        <v>5.0327126321087065E-3</v>
      </c>
      <c r="AI12" s="21">
        <v>175</v>
      </c>
      <c r="AJ12" s="21">
        <v>161.69999999999999</v>
      </c>
      <c r="AK12" s="21">
        <v>173</v>
      </c>
      <c r="AL12" s="21">
        <v>169.5</v>
      </c>
      <c r="AM12" s="21">
        <v>179.2</v>
      </c>
      <c r="AN12" s="21">
        <v>165</v>
      </c>
      <c r="AO12" s="21">
        <v>173.8</v>
      </c>
      <c r="AP12" s="21">
        <v>158.19999999999999</v>
      </c>
      <c r="AQ12" s="21">
        <v>165.8</v>
      </c>
      <c r="AR12" s="21">
        <v>170.9</v>
      </c>
      <c r="AS12" s="21">
        <v>171.1</v>
      </c>
      <c r="AT12" s="21">
        <v>166.1</v>
      </c>
      <c r="AU12" s="21">
        <v>174.1</v>
      </c>
      <c r="AV12" s="28">
        <f t="shared" si="1"/>
        <v>4362.4705484633696</v>
      </c>
      <c r="AW12" s="28">
        <f t="shared" si="2"/>
        <v>673.90000000000009</v>
      </c>
      <c r="AX12" s="28">
        <f t="shared" si="3"/>
        <v>336.7</v>
      </c>
      <c r="AY12" s="28">
        <f t="shared" si="4"/>
        <v>334.5</v>
      </c>
      <c r="AZ12" s="28">
        <f t="shared" si="5"/>
        <v>2506.1655157507371</v>
      </c>
      <c r="BA12" s="28">
        <f t="shared" si="6"/>
        <v>168.47500000000002</v>
      </c>
      <c r="BB12" s="28">
        <f t="shared" si="7"/>
        <v>167.25</v>
      </c>
      <c r="BC12" s="29">
        <v>179.00714285714284</v>
      </c>
      <c r="BD12" s="42">
        <f t="shared" si="8"/>
        <v>1.7788246761158134E-2</v>
      </c>
      <c r="BE12" s="11" t="s">
        <v>47</v>
      </c>
      <c r="BF12" s="44" t="e">
        <f>SUM(#REF!)</f>
        <v>#REF!</v>
      </c>
      <c r="BG12" s="44" t="e">
        <f>SUM(#REF!)</f>
        <v>#REF!</v>
      </c>
      <c r="BH12" s="44" t="e">
        <f>SUM(#REF!)</f>
        <v>#REF!</v>
      </c>
    </row>
    <row r="13" spans="1:60" hidden="1" x14ac:dyDescent="0.3">
      <c r="A13" s="27" t="s">
        <v>3</v>
      </c>
      <c r="B13" s="20">
        <v>2022</v>
      </c>
      <c r="C13" s="20" t="s">
        <v>11</v>
      </c>
      <c r="D13" s="21" t="str">
        <f t="shared" si="0"/>
        <v>Sep-22</v>
      </c>
      <c r="E13" s="33">
        <v>44805</v>
      </c>
      <c r="F13" s="20" t="s">
        <v>85</v>
      </c>
      <c r="G13" s="20">
        <v>163.5</v>
      </c>
      <c r="H13" s="48">
        <f t="shared" si="9"/>
        <v>1.9962570180910719E-2</v>
      </c>
      <c r="I13" s="20">
        <v>209.2</v>
      </c>
      <c r="J13" s="48">
        <f t="shared" si="10"/>
        <v>1.3075060532687597E-2</v>
      </c>
      <c r="K13" s="20">
        <v>169.7</v>
      </c>
      <c r="L13" s="48">
        <f t="shared" si="11"/>
        <v>2.9550827423167852E-3</v>
      </c>
      <c r="M13" s="20">
        <v>169.7</v>
      </c>
      <c r="N13" s="48">
        <f t="shared" si="12"/>
        <v>9.5181439619273899E-3</v>
      </c>
      <c r="O13" s="20">
        <v>188.7</v>
      </c>
      <c r="P13" s="48">
        <f t="shared" si="13"/>
        <v>-1.9230769230769319E-2</v>
      </c>
      <c r="Q13" s="20">
        <v>165.7</v>
      </c>
      <c r="R13" s="48">
        <f t="shared" si="14"/>
        <v>-4.1642567958357531E-2</v>
      </c>
      <c r="S13" s="20">
        <v>191.8</v>
      </c>
      <c r="T13" s="48">
        <f t="shared" si="15"/>
        <v>2.7316550615961558E-2</v>
      </c>
      <c r="U13" s="20">
        <v>169.1</v>
      </c>
      <c r="V13" s="48">
        <f t="shared" si="16"/>
        <v>1.1363636363636399E-2</v>
      </c>
      <c r="W13" s="20">
        <v>121.6</v>
      </c>
      <c r="X13" s="48">
        <f t="shared" si="17"/>
        <v>5.7899090157153728E-3</v>
      </c>
      <c r="Y13" s="20">
        <v>197.3</v>
      </c>
      <c r="Z13" s="48">
        <f t="shared" si="18"/>
        <v>1.9111570247933973E-2</v>
      </c>
      <c r="AA13" s="20">
        <v>169.4</v>
      </c>
      <c r="AB13" s="48">
        <f t="shared" si="19"/>
        <v>3.5545023696682125E-3</v>
      </c>
      <c r="AC13" s="20">
        <v>187.4</v>
      </c>
      <c r="AD13" s="48">
        <f t="shared" si="20"/>
        <v>5.9044551798174676E-3</v>
      </c>
      <c r="AE13" s="20">
        <v>177.8</v>
      </c>
      <c r="AF13" s="48">
        <f t="shared" si="21"/>
        <v>8.5082246171298923E-3</v>
      </c>
      <c r="AG13" s="20">
        <v>195.9</v>
      </c>
      <c r="AH13" s="48">
        <f t="shared" si="22"/>
        <v>4.6153846153846444E-3</v>
      </c>
      <c r="AI13" s="20">
        <v>180.9</v>
      </c>
      <c r="AJ13" s="20">
        <v>174.3</v>
      </c>
      <c r="AK13" s="20">
        <v>179.9</v>
      </c>
      <c r="AL13" s="20">
        <v>169.5</v>
      </c>
      <c r="AM13" s="20">
        <v>179.5</v>
      </c>
      <c r="AN13" s="20">
        <v>169.5</v>
      </c>
      <c r="AO13" s="20">
        <v>177.8</v>
      </c>
      <c r="AP13" s="20">
        <v>162.30000000000001</v>
      </c>
      <c r="AQ13" s="20">
        <v>167.6</v>
      </c>
      <c r="AR13" s="20">
        <v>173.1</v>
      </c>
      <c r="AS13" s="20">
        <v>170.9</v>
      </c>
      <c r="AT13" s="20">
        <v>169.7</v>
      </c>
      <c r="AU13" s="20">
        <v>175.3</v>
      </c>
      <c r="AV13" s="28">
        <f t="shared" si="1"/>
        <v>4371.9708017532539</v>
      </c>
      <c r="AW13" s="28">
        <f t="shared" si="2"/>
        <v>681.30000000000007</v>
      </c>
      <c r="AX13" s="28">
        <f t="shared" si="3"/>
        <v>355.20000000000005</v>
      </c>
      <c r="AY13" s="28">
        <f t="shared" si="4"/>
        <v>339</v>
      </c>
      <c r="AZ13" s="28">
        <f t="shared" si="5"/>
        <v>2476.8661863686393</v>
      </c>
      <c r="BA13" s="28">
        <f t="shared" si="6"/>
        <v>170.32500000000002</v>
      </c>
      <c r="BB13" s="28">
        <f t="shared" si="7"/>
        <v>169.5</v>
      </c>
      <c r="BC13" s="31">
        <v>176.91428571428574</v>
      </c>
      <c r="BD13" s="42">
        <f t="shared" si="8"/>
        <v>-1.1691472806352255E-2</v>
      </c>
      <c r="BE13" s="11" t="s">
        <v>48</v>
      </c>
      <c r="BF13" s="44" t="e">
        <f>SUM(#REF!)</f>
        <v>#REF!</v>
      </c>
      <c r="BG13" s="44" t="e">
        <f>SUM(#REF!)</f>
        <v>#REF!</v>
      </c>
      <c r="BH13" s="44" t="e">
        <f>SUM(#REF!)</f>
        <v>#REF!</v>
      </c>
    </row>
    <row r="14" spans="1:60" x14ac:dyDescent="0.3">
      <c r="A14" s="26" t="s">
        <v>0</v>
      </c>
      <c r="B14" s="21">
        <v>2022</v>
      </c>
      <c r="C14" s="21" t="s">
        <v>12</v>
      </c>
      <c r="D14" s="21" t="str">
        <f t="shared" si="0"/>
        <v>Oct-22</v>
      </c>
      <c r="E14" s="32">
        <v>44835</v>
      </c>
      <c r="F14" s="21" t="s">
        <v>85</v>
      </c>
      <c r="G14" s="21">
        <v>164.7</v>
      </c>
      <c r="H14" s="48">
        <f t="shared" si="9"/>
        <v>1.1049723756905973E-2</v>
      </c>
      <c r="I14" s="21">
        <v>208.8</v>
      </c>
      <c r="J14" s="48">
        <f t="shared" si="10"/>
        <v>1.0159651669085742E-2</v>
      </c>
      <c r="K14" s="21">
        <v>170.3</v>
      </c>
      <c r="L14" s="49">
        <f t="shared" si="11"/>
        <v>7.6923076923077595E-3</v>
      </c>
      <c r="M14" s="21">
        <v>170.9</v>
      </c>
      <c r="N14" s="48">
        <f t="shared" si="12"/>
        <v>8.2595870206490004E-3</v>
      </c>
      <c r="O14" s="21">
        <v>191.6</v>
      </c>
      <c r="P14" s="48">
        <f t="shared" si="13"/>
        <v>-1.2879958784131892E-2</v>
      </c>
      <c r="Q14" s="21">
        <v>162.19999999999999</v>
      </c>
      <c r="R14" s="48">
        <f t="shared" si="14"/>
        <v>-1.1578305911029894E-2</v>
      </c>
      <c r="S14" s="21">
        <v>184.8</v>
      </c>
      <c r="T14" s="48">
        <f t="shared" si="15"/>
        <v>4.4657998869417778E-2</v>
      </c>
      <c r="U14" s="21">
        <v>169.7</v>
      </c>
      <c r="V14" s="47">
        <f t="shared" si="16"/>
        <v>4.1420118343194591E-3</v>
      </c>
      <c r="W14" s="21">
        <v>121.1</v>
      </c>
      <c r="X14" s="48">
        <f t="shared" si="17"/>
        <v>2.4834437086092482E-3</v>
      </c>
      <c r="Y14" s="21">
        <v>201.6</v>
      </c>
      <c r="Z14" s="48">
        <f t="shared" si="18"/>
        <v>1.2556504269211451E-2</v>
      </c>
      <c r="AA14" s="21">
        <v>175.8</v>
      </c>
      <c r="AB14" s="48">
        <f t="shared" si="19"/>
        <v>2.2805017103763149E-3</v>
      </c>
      <c r="AC14" s="21">
        <v>185.6</v>
      </c>
      <c r="AD14" s="48">
        <f t="shared" si="20"/>
        <v>4.3290043290042362E-3</v>
      </c>
      <c r="AE14" s="21">
        <v>177.4</v>
      </c>
      <c r="AF14" s="48">
        <f t="shared" si="21"/>
        <v>1.0826210826210859E-2</v>
      </c>
      <c r="AG14" s="21">
        <v>194.9</v>
      </c>
      <c r="AH14" s="48">
        <f t="shared" si="22"/>
        <v>2.0565552699229085E-3</v>
      </c>
      <c r="AI14" s="21">
        <v>186.1</v>
      </c>
      <c r="AJ14" s="21">
        <v>184.4</v>
      </c>
      <c r="AK14" s="21">
        <v>185.9</v>
      </c>
      <c r="AL14" s="28">
        <f>'Handle missing value sheet only'!$C$1</f>
        <v>139.27096774193564</v>
      </c>
      <c r="AM14" s="21">
        <v>180.8</v>
      </c>
      <c r="AN14" s="21">
        <v>174.4</v>
      </c>
      <c r="AO14" s="21">
        <v>181.2</v>
      </c>
      <c r="AP14" s="21">
        <v>167.4</v>
      </c>
      <c r="AQ14" s="21">
        <v>170.6</v>
      </c>
      <c r="AR14" s="21">
        <v>176.5</v>
      </c>
      <c r="AS14" s="21">
        <v>172</v>
      </c>
      <c r="AT14" s="21">
        <v>173.9</v>
      </c>
      <c r="AU14" s="21">
        <v>177.9</v>
      </c>
      <c r="AV14" s="28">
        <f t="shared" si="1"/>
        <v>4386.0670029781959</v>
      </c>
      <c r="AW14" s="28">
        <f t="shared" si="2"/>
        <v>693</v>
      </c>
      <c r="AX14" s="28">
        <f t="shared" si="3"/>
        <v>370.5</v>
      </c>
      <c r="AY14" s="28">
        <f t="shared" si="4"/>
        <v>313.67096774193567</v>
      </c>
      <c r="AZ14" s="28">
        <f t="shared" si="5"/>
        <v>2479.4939786809909</v>
      </c>
      <c r="BA14" s="28">
        <f t="shared" si="6"/>
        <v>173.25</v>
      </c>
      <c r="BB14" s="28">
        <f t="shared" si="7"/>
        <v>156.83548387096783</v>
      </c>
      <c r="BC14" s="29">
        <v>177.1</v>
      </c>
      <c r="BD14" s="42">
        <f t="shared" si="8"/>
        <v>1.049741602067009E-3</v>
      </c>
      <c r="BE14" s="11" t="s">
        <v>49</v>
      </c>
      <c r="BF14" s="44" t="e">
        <f>SUM(#REF!)</f>
        <v>#REF!</v>
      </c>
      <c r="BG14" s="44" t="e">
        <f>SUM(#REF!)</f>
        <v>#REF!</v>
      </c>
      <c r="BH14" s="44" t="e">
        <f>SUM(#REF!)</f>
        <v>#REF!</v>
      </c>
    </row>
    <row r="15" spans="1:60" hidden="1" x14ac:dyDescent="0.3">
      <c r="A15" s="27" t="s">
        <v>2</v>
      </c>
      <c r="B15" s="20">
        <v>2022</v>
      </c>
      <c r="C15" s="20" t="s">
        <v>12</v>
      </c>
      <c r="D15" s="21" t="str">
        <f t="shared" si="0"/>
        <v>Oct-22</v>
      </c>
      <c r="E15" s="33">
        <v>44835</v>
      </c>
      <c r="F15" s="20" t="s">
        <v>85</v>
      </c>
      <c r="G15" s="20">
        <v>166.4</v>
      </c>
      <c r="H15" s="50">
        <f t="shared" si="9"/>
        <v>9.0964220739842318E-3</v>
      </c>
      <c r="I15" s="20">
        <v>214.9</v>
      </c>
      <c r="J15" s="50">
        <f t="shared" si="10"/>
        <v>5.6153486195602113E-3</v>
      </c>
      <c r="K15" s="20">
        <v>171.9</v>
      </c>
      <c r="L15" s="50">
        <f t="shared" si="11"/>
        <v>5.8513750731421883E-3</v>
      </c>
      <c r="M15" s="20">
        <v>171</v>
      </c>
      <c r="N15" s="50">
        <f t="shared" si="12"/>
        <v>5.2910052910053245E-3</v>
      </c>
      <c r="O15" s="20">
        <v>177.7</v>
      </c>
      <c r="P15" s="50">
        <f t="shared" si="13"/>
        <v>-8.9235917456777607E-3</v>
      </c>
      <c r="Q15" s="20">
        <v>165.7</v>
      </c>
      <c r="R15" s="50">
        <f t="shared" si="14"/>
        <v>-1.0746268656716487E-2</v>
      </c>
      <c r="S15" s="20">
        <v>228.6</v>
      </c>
      <c r="T15" s="50">
        <f t="shared" si="15"/>
        <v>3.532608695652166E-2</v>
      </c>
      <c r="U15" s="20">
        <v>169.9</v>
      </c>
      <c r="V15" s="50">
        <f t="shared" si="16"/>
        <v>4.1371158392436002E-3</v>
      </c>
      <c r="W15" s="20">
        <v>123.4</v>
      </c>
      <c r="X15" s="50">
        <f t="shared" si="17"/>
        <v>2.4370430544273874E-3</v>
      </c>
      <c r="Y15" s="20">
        <v>196.4</v>
      </c>
      <c r="Z15" s="50">
        <f t="shared" si="18"/>
        <v>1.4462809917355431E-2</v>
      </c>
      <c r="AA15" s="20">
        <v>161.6</v>
      </c>
      <c r="AB15" s="50">
        <f t="shared" si="19"/>
        <v>3.1036623215394167E-3</v>
      </c>
      <c r="AC15" s="20">
        <v>191.5</v>
      </c>
      <c r="AD15" s="50">
        <f t="shared" si="20"/>
        <v>5.7773109243697178E-3</v>
      </c>
      <c r="AE15" s="20">
        <v>183.3</v>
      </c>
      <c r="AF15" s="50">
        <f t="shared" si="21"/>
        <v>8.2508250825082501E-3</v>
      </c>
      <c r="AG15" s="20">
        <v>200.1</v>
      </c>
      <c r="AH15" s="50">
        <f t="shared" si="22"/>
        <v>2.0030045067601686E-3</v>
      </c>
      <c r="AI15" s="20">
        <v>175.5</v>
      </c>
      <c r="AJ15" s="20">
        <v>162.6</v>
      </c>
      <c r="AK15" s="20">
        <v>173.6</v>
      </c>
      <c r="AL15" s="20">
        <v>171.2</v>
      </c>
      <c r="AM15" s="20">
        <v>180</v>
      </c>
      <c r="AN15" s="20">
        <v>166</v>
      </c>
      <c r="AO15" s="20">
        <v>174.7</v>
      </c>
      <c r="AP15" s="20">
        <v>158.80000000000001</v>
      </c>
      <c r="AQ15" s="20">
        <v>166.3</v>
      </c>
      <c r="AR15" s="20">
        <v>171.2</v>
      </c>
      <c r="AS15" s="20">
        <v>172.3</v>
      </c>
      <c r="AT15" s="20">
        <v>166.8</v>
      </c>
      <c r="AU15" s="20">
        <v>175.3</v>
      </c>
      <c r="AV15" s="28">
        <f t="shared" si="1"/>
        <v>4387.8816821492574</v>
      </c>
      <c r="AW15" s="28">
        <f t="shared" si="2"/>
        <v>676.6</v>
      </c>
      <c r="AX15" s="28">
        <f t="shared" si="3"/>
        <v>338.1</v>
      </c>
      <c r="AY15" s="28">
        <f t="shared" si="4"/>
        <v>337.2</v>
      </c>
      <c r="AZ15" s="28">
        <f t="shared" si="5"/>
        <v>2522.4796791447516</v>
      </c>
      <c r="BA15" s="28">
        <f t="shared" si="6"/>
        <v>169.15</v>
      </c>
      <c r="BB15" s="28">
        <f t="shared" si="7"/>
        <v>168.6</v>
      </c>
      <c r="BC15" s="31">
        <v>180.17142857142858</v>
      </c>
      <c r="BD15" s="42">
        <f t="shared" si="8"/>
        <v>1.7342905541663376E-2</v>
      </c>
      <c r="BE15" s="11" t="s">
        <v>50</v>
      </c>
      <c r="BF15" s="44" t="e">
        <f>SUM(#REF!)</f>
        <v>#REF!</v>
      </c>
      <c r="BG15" s="44" t="e">
        <f>SUM(#REF!)</f>
        <v>#REF!</v>
      </c>
      <c r="BH15" s="44" t="e">
        <f>SUM(#REF!)</f>
        <v>#REF!</v>
      </c>
    </row>
    <row r="16" spans="1:60" hidden="1" x14ac:dyDescent="0.3">
      <c r="A16" s="26" t="s">
        <v>3</v>
      </c>
      <c r="B16" s="21">
        <v>2022</v>
      </c>
      <c r="C16" s="21" t="s">
        <v>12</v>
      </c>
      <c r="D16" s="21" t="str">
        <f t="shared" si="0"/>
        <v>Oct-22</v>
      </c>
      <c r="E16" s="32">
        <v>44835</v>
      </c>
      <c r="F16" s="21" t="s">
        <v>85</v>
      </c>
      <c r="G16" s="21">
        <v>165.2</v>
      </c>
      <c r="H16" s="48">
        <f t="shared" si="9"/>
        <v>1.0397553516819502E-2</v>
      </c>
      <c r="I16" s="21">
        <v>210.9</v>
      </c>
      <c r="J16" s="48">
        <f t="shared" si="10"/>
        <v>8.1261950286807706E-3</v>
      </c>
      <c r="K16" s="21">
        <v>170.9</v>
      </c>
      <c r="L16" s="48">
        <f t="shared" si="11"/>
        <v>7.0713022981733478E-3</v>
      </c>
      <c r="M16" s="21">
        <v>170.9</v>
      </c>
      <c r="N16" s="48">
        <f t="shared" si="12"/>
        <v>7.0713022981733478E-3</v>
      </c>
      <c r="O16" s="21">
        <v>186.5</v>
      </c>
      <c r="P16" s="48">
        <f t="shared" si="13"/>
        <v>-1.1658717541070422E-2</v>
      </c>
      <c r="Q16" s="21">
        <v>163.80000000000001</v>
      </c>
      <c r="R16" s="48">
        <f t="shared" si="14"/>
        <v>-1.1466505733252729E-2</v>
      </c>
      <c r="S16" s="21">
        <v>199.7</v>
      </c>
      <c r="T16" s="48">
        <f t="shared" si="15"/>
        <v>4.118873826903012E-2</v>
      </c>
      <c r="U16" s="21">
        <v>169.8</v>
      </c>
      <c r="V16" s="48">
        <f t="shared" si="16"/>
        <v>4.1395623891189656E-3</v>
      </c>
      <c r="W16" s="21">
        <v>121.9</v>
      </c>
      <c r="X16" s="48">
        <f t="shared" si="17"/>
        <v>2.4671052631579883E-3</v>
      </c>
      <c r="Y16" s="21">
        <v>199.9</v>
      </c>
      <c r="Z16" s="48">
        <f t="shared" si="18"/>
        <v>1.3177901672579798E-2</v>
      </c>
      <c r="AA16" s="21">
        <v>169.9</v>
      </c>
      <c r="AB16" s="48">
        <f t="shared" si="19"/>
        <v>2.9515938606847697E-3</v>
      </c>
      <c r="AC16" s="21">
        <v>188.3</v>
      </c>
      <c r="AD16" s="48">
        <f t="shared" si="20"/>
        <v>4.8025613660619302E-3</v>
      </c>
      <c r="AE16" s="21">
        <v>179.6</v>
      </c>
      <c r="AF16" s="48">
        <f t="shared" si="21"/>
        <v>1.0123734533183255E-2</v>
      </c>
      <c r="AG16" s="21">
        <v>196.3</v>
      </c>
      <c r="AH16" s="48">
        <f t="shared" si="22"/>
        <v>2.0418580908627142E-3</v>
      </c>
      <c r="AI16" s="21">
        <v>181.9</v>
      </c>
      <c r="AJ16" s="21">
        <v>175.3</v>
      </c>
      <c r="AK16" s="21">
        <v>181</v>
      </c>
      <c r="AL16" s="21">
        <v>171.2</v>
      </c>
      <c r="AM16" s="21">
        <v>180.5</v>
      </c>
      <c r="AN16" s="21">
        <v>170.4</v>
      </c>
      <c r="AO16" s="21">
        <v>178.7</v>
      </c>
      <c r="AP16" s="21">
        <v>162.9</v>
      </c>
      <c r="AQ16" s="21">
        <v>168.2</v>
      </c>
      <c r="AR16" s="21">
        <v>173.4</v>
      </c>
      <c r="AS16" s="21">
        <v>172.1</v>
      </c>
      <c r="AT16" s="21">
        <v>170.5</v>
      </c>
      <c r="AU16" s="21">
        <v>176.7</v>
      </c>
      <c r="AV16" s="28">
        <f t="shared" si="1"/>
        <v>4398.7904341853127</v>
      </c>
      <c r="AW16" s="28">
        <f t="shared" si="2"/>
        <v>684.2</v>
      </c>
      <c r="AX16" s="28">
        <f t="shared" si="3"/>
        <v>357.20000000000005</v>
      </c>
      <c r="AY16" s="28">
        <f t="shared" si="4"/>
        <v>341.6</v>
      </c>
      <c r="AZ16" s="28">
        <f t="shared" si="5"/>
        <v>2493.6883923272217</v>
      </c>
      <c r="BA16" s="28">
        <f t="shared" si="6"/>
        <v>171.05</v>
      </c>
      <c r="BB16" s="28">
        <f t="shared" si="7"/>
        <v>170.8</v>
      </c>
      <c r="BC16" s="29">
        <v>178.11428571428573</v>
      </c>
      <c r="BD16" s="42">
        <f t="shared" si="8"/>
        <v>-1.1417697431018036E-2</v>
      </c>
    </row>
    <row r="17" spans="1:56" x14ac:dyDescent="0.3">
      <c r="A17" s="27" t="s">
        <v>0</v>
      </c>
      <c r="B17" s="20">
        <v>2022</v>
      </c>
      <c r="C17" s="20" t="s">
        <v>14</v>
      </c>
      <c r="D17" s="21" t="str">
        <f t="shared" si="0"/>
        <v>Nov-22</v>
      </c>
      <c r="E17" s="33">
        <v>44866</v>
      </c>
      <c r="F17" s="20" t="s">
        <v>85</v>
      </c>
      <c r="G17" s="20">
        <v>166.9</v>
      </c>
      <c r="H17" s="48">
        <f t="shared" si="9"/>
        <v>1.3357619914997069E-2</v>
      </c>
      <c r="I17" s="20">
        <v>207.2</v>
      </c>
      <c r="J17" s="48">
        <f t="shared" si="10"/>
        <v>-7.6628352490422545E-3</v>
      </c>
      <c r="K17" s="20">
        <v>180.2</v>
      </c>
      <c r="L17" s="49">
        <f t="shared" si="11"/>
        <v>5.8132706987668682E-2</v>
      </c>
      <c r="M17" s="20">
        <v>172.3</v>
      </c>
      <c r="N17" s="48">
        <f t="shared" si="12"/>
        <v>8.1919251023990971E-3</v>
      </c>
      <c r="O17" s="20">
        <v>194</v>
      </c>
      <c r="P17" s="48">
        <f t="shared" si="13"/>
        <v>1.2526096033402953E-2</v>
      </c>
      <c r="Q17" s="20">
        <v>159.1</v>
      </c>
      <c r="R17" s="48">
        <f t="shared" si="14"/>
        <v>-1.9112207151664579E-2</v>
      </c>
      <c r="S17" s="20">
        <v>171.6</v>
      </c>
      <c r="T17" s="48">
        <f t="shared" si="15"/>
        <v>-7.1428571428571522E-2</v>
      </c>
      <c r="U17" s="20">
        <v>170.2</v>
      </c>
      <c r="V17" s="47">
        <f t="shared" si="16"/>
        <v>2.9463759575721863E-3</v>
      </c>
      <c r="W17" s="20">
        <v>121.5</v>
      </c>
      <c r="X17" s="48">
        <f t="shared" si="17"/>
        <v>3.3030553261767606E-3</v>
      </c>
      <c r="Y17" s="20">
        <v>204.8</v>
      </c>
      <c r="Z17" s="48">
        <f t="shared" si="18"/>
        <v>1.5873015873015959E-2</v>
      </c>
      <c r="AA17" s="20">
        <v>176.4</v>
      </c>
      <c r="AB17" s="48">
        <f t="shared" si="19"/>
        <v>3.412969283276418E-3</v>
      </c>
      <c r="AC17" s="20">
        <v>186.9</v>
      </c>
      <c r="AD17" s="48">
        <f t="shared" si="20"/>
        <v>7.0043103448276479E-3</v>
      </c>
      <c r="AE17" s="20">
        <v>176.6</v>
      </c>
      <c r="AF17" s="48">
        <f t="shared" si="21"/>
        <v>-4.5095828635851824E-3</v>
      </c>
      <c r="AG17" s="20">
        <v>195.5</v>
      </c>
      <c r="AH17" s="48">
        <f t="shared" si="22"/>
        <v>3.0785017957926848E-3</v>
      </c>
      <c r="AI17" s="20">
        <v>187.2</v>
      </c>
      <c r="AJ17" s="20">
        <v>185.2</v>
      </c>
      <c r="AK17" s="20">
        <v>186.9</v>
      </c>
      <c r="AL17" s="30">
        <f>'Handle missing value sheet only'!$C$1</f>
        <v>139.27096774193564</v>
      </c>
      <c r="AM17" s="20">
        <v>181.9</v>
      </c>
      <c r="AN17" s="20">
        <v>175.5</v>
      </c>
      <c r="AO17" s="20">
        <v>182.3</v>
      </c>
      <c r="AP17" s="20">
        <v>167.5</v>
      </c>
      <c r="AQ17" s="20">
        <v>170.8</v>
      </c>
      <c r="AR17" s="20">
        <v>176.9</v>
      </c>
      <c r="AS17" s="20">
        <v>173.4</v>
      </c>
      <c r="AT17" s="20">
        <v>174.6</v>
      </c>
      <c r="AU17" s="20">
        <v>177.8</v>
      </c>
      <c r="AV17" s="28">
        <f t="shared" si="1"/>
        <v>4397.7960811218627</v>
      </c>
      <c r="AW17" s="28">
        <f t="shared" si="2"/>
        <v>695.7</v>
      </c>
      <c r="AX17" s="28">
        <f t="shared" si="3"/>
        <v>372.4</v>
      </c>
      <c r="AY17" s="28">
        <f t="shared" si="4"/>
        <v>314.77096774193564</v>
      </c>
      <c r="AZ17" s="28">
        <f t="shared" si="5"/>
        <v>2483.2220348781302</v>
      </c>
      <c r="BA17" s="28">
        <f t="shared" si="6"/>
        <v>173.92500000000001</v>
      </c>
      <c r="BB17" s="28">
        <f t="shared" si="7"/>
        <v>157.38548387096782</v>
      </c>
      <c r="BC17" s="31">
        <v>177.37142857142857</v>
      </c>
      <c r="BD17" s="42">
        <f t="shared" si="8"/>
        <v>-4.1706769329484519E-3</v>
      </c>
    </row>
    <row r="18" spans="1:56" hidden="1" x14ac:dyDescent="0.3">
      <c r="A18" s="26" t="s">
        <v>2</v>
      </c>
      <c r="B18" s="21">
        <v>2022</v>
      </c>
      <c r="C18" s="21" t="s">
        <v>14</v>
      </c>
      <c r="D18" s="21" t="str">
        <f t="shared" si="0"/>
        <v>Nov-22</v>
      </c>
      <c r="E18" s="32">
        <v>44866</v>
      </c>
      <c r="F18" s="21" t="s">
        <v>85</v>
      </c>
      <c r="G18" s="21">
        <v>168.4</v>
      </c>
      <c r="H18" s="50">
        <f t="shared" si="9"/>
        <v>1.2019230769230768E-2</v>
      </c>
      <c r="I18" s="21">
        <v>213.4</v>
      </c>
      <c r="J18" s="50">
        <f t="shared" si="10"/>
        <v>-6.9799906933457421E-3</v>
      </c>
      <c r="K18" s="21">
        <v>183.2</v>
      </c>
      <c r="L18" s="50">
        <f t="shared" si="11"/>
        <v>6.5735892961023751E-2</v>
      </c>
      <c r="M18" s="21">
        <v>172.3</v>
      </c>
      <c r="N18" s="50">
        <f t="shared" si="12"/>
        <v>7.6023391812866164E-3</v>
      </c>
      <c r="O18" s="21">
        <v>180</v>
      </c>
      <c r="P18" s="50">
        <f t="shared" si="13"/>
        <v>1.2943162633652288E-2</v>
      </c>
      <c r="Q18" s="21">
        <v>162.6</v>
      </c>
      <c r="R18" s="50">
        <f t="shared" si="14"/>
        <v>-1.8708509354254645E-2</v>
      </c>
      <c r="S18" s="21">
        <v>205.5</v>
      </c>
      <c r="T18" s="50">
        <f t="shared" si="15"/>
        <v>-0.10104986876640418</v>
      </c>
      <c r="U18" s="21">
        <v>171</v>
      </c>
      <c r="V18" s="50">
        <f t="shared" si="16"/>
        <v>6.4743967039434629E-3</v>
      </c>
      <c r="W18" s="21">
        <v>123.4</v>
      </c>
      <c r="X18" s="50">
        <f t="shared" si="17"/>
        <v>0</v>
      </c>
      <c r="Y18" s="21">
        <v>198.8</v>
      </c>
      <c r="Z18" s="50">
        <f t="shared" si="18"/>
        <v>1.2219959266802473E-2</v>
      </c>
      <c r="AA18" s="21">
        <v>162.1</v>
      </c>
      <c r="AB18" s="50">
        <f t="shared" si="19"/>
        <v>3.0940594059405942E-3</v>
      </c>
      <c r="AC18" s="21">
        <v>192.4</v>
      </c>
      <c r="AD18" s="50">
        <f t="shared" si="20"/>
        <v>4.6997389033942858E-3</v>
      </c>
      <c r="AE18" s="21">
        <v>181.3</v>
      </c>
      <c r="AF18" s="50">
        <f t="shared" si="21"/>
        <v>-1.0911074740861974E-2</v>
      </c>
      <c r="AG18" s="21">
        <v>200.6</v>
      </c>
      <c r="AH18" s="50">
        <f t="shared" si="22"/>
        <v>2.4987506246876563E-3</v>
      </c>
      <c r="AI18" s="21">
        <v>176.7</v>
      </c>
      <c r="AJ18" s="21">
        <v>163.5</v>
      </c>
      <c r="AK18" s="21">
        <v>174.7</v>
      </c>
      <c r="AL18" s="21">
        <v>171.8</v>
      </c>
      <c r="AM18" s="21">
        <v>180.3</v>
      </c>
      <c r="AN18" s="21">
        <v>166.9</v>
      </c>
      <c r="AO18" s="21">
        <v>175.8</v>
      </c>
      <c r="AP18" s="21">
        <v>158.9</v>
      </c>
      <c r="AQ18" s="21">
        <v>166.7</v>
      </c>
      <c r="AR18" s="21">
        <v>171.5</v>
      </c>
      <c r="AS18" s="21">
        <v>173.8</v>
      </c>
      <c r="AT18" s="21">
        <v>167.4</v>
      </c>
      <c r="AU18" s="21">
        <v>174.1</v>
      </c>
      <c r="AV18" s="28">
        <f t="shared" si="1"/>
        <v>4388.289638086897</v>
      </c>
      <c r="AW18" s="28">
        <f t="shared" si="2"/>
        <v>679.40000000000009</v>
      </c>
      <c r="AX18" s="28">
        <f t="shared" si="3"/>
        <v>340.2</v>
      </c>
      <c r="AY18" s="28">
        <f t="shared" si="4"/>
        <v>338.70000000000005</v>
      </c>
      <c r="AZ18" s="28">
        <f t="shared" si="5"/>
        <v>2514.9871393362705</v>
      </c>
      <c r="BA18" s="28">
        <f t="shared" si="6"/>
        <v>169.85000000000002</v>
      </c>
      <c r="BB18" s="28">
        <f t="shared" si="7"/>
        <v>169.35000000000002</v>
      </c>
      <c r="BC18" s="29">
        <v>179.64285714285714</v>
      </c>
      <c r="BD18" s="42">
        <f t="shared" si="8"/>
        <v>1.2806056701030933E-2</v>
      </c>
    </row>
    <row r="19" spans="1:56" hidden="1" x14ac:dyDescent="0.3">
      <c r="A19" s="27" t="s">
        <v>3</v>
      </c>
      <c r="B19" s="20">
        <v>2022</v>
      </c>
      <c r="C19" s="20" t="s">
        <v>14</v>
      </c>
      <c r="D19" s="21" t="str">
        <f t="shared" si="0"/>
        <v>Nov-22</v>
      </c>
      <c r="E19" s="33">
        <v>44866</v>
      </c>
      <c r="F19" s="20" t="s">
        <v>85</v>
      </c>
      <c r="G19" s="20">
        <v>167.4</v>
      </c>
      <c r="H19" s="48">
        <f t="shared" si="9"/>
        <v>1.3317191283293082E-2</v>
      </c>
      <c r="I19" s="20">
        <v>209.4</v>
      </c>
      <c r="J19" s="48">
        <f t="shared" si="10"/>
        <v>-7.1123755334281651E-3</v>
      </c>
      <c r="K19" s="20">
        <v>181.4</v>
      </c>
      <c r="L19" s="48">
        <f t="shared" si="11"/>
        <v>6.1439438267992974E-2</v>
      </c>
      <c r="M19" s="20">
        <v>172.3</v>
      </c>
      <c r="N19" s="48">
        <f t="shared" si="12"/>
        <v>8.1919251023990971E-3</v>
      </c>
      <c r="O19" s="20">
        <v>188.9</v>
      </c>
      <c r="P19" s="48">
        <f t="shared" si="13"/>
        <v>1.286863270777483E-2</v>
      </c>
      <c r="Q19" s="20">
        <v>160.69999999999999</v>
      </c>
      <c r="R19" s="48">
        <f t="shared" si="14"/>
        <v>-1.8925518925519063E-2</v>
      </c>
      <c r="S19" s="20">
        <v>183.1</v>
      </c>
      <c r="T19" s="48">
        <f t="shared" si="15"/>
        <v>-8.3124687030545791E-2</v>
      </c>
      <c r="U19" s="20">
        <v>170.5</v>
      </c>
      <c r="V19" s="48">
        <f t="shared" si="16"/>
        <v>4.1224970553591792E-3</v>
      </c>
      <c r="W19" s="20">
        <v>122.1</v>
      </c>
      <c r="X19" s="48">
        <f t="shared" si="17"/>
        <v>1.640689089417462E-3</v>
      </c>
      <c r="Y19" s="20">
        <v>202.8</v>
      </c>
      <c r="Z19" s="48">
        <f t="shared" si="18"/>
        <v>1.4507253626813434E-2</v>
      </c>
      <c r="AA19" s="20">
        <v>170.4</v>
      </c>
      <c r="AB19" s="48">
        <f t="shared" si="19"/>
        <v>2.942907592701589E-3</v>
      </c>
      <c r="AC19" s="20">
        <v>189.5</v>
      </c>
      <c r="AD19" s="48">
        <f t="shared" si="20"/>
        <v>6.3728093467869812E-3</v>
      </c>
      <c r="AE19" s="20">
        <v>178.3</v>
      </c>
      <c r="AF19" s="48">
        <f t="shared" si="21"/>
        <v>-7.2383073496658295E-3</v>
      </c>
      <c r="AG19" s="20">
        <v>196.9</v>
      </c>
      <c r="AH19" s="48">
        <f t="shared" si="22"/>
        <v>3.0565461029036897E-3</v>
      </c>
      <c r="AI19" s="20">
        <v>183.1</v>
      </c>
      <c r="AJ19" s="20">
        <v>176.2</v>
      </c>
      <c r="AK19" s="20">
        <v>182.1</v>
      </c>
      <c r="AL19" s="20">
        <v>171.8</v>
      </c>
      <c r="AM19" s="20">
        <v>181.3</v>
      </c>
      <c r="AN19" s="20">
        <v>171.4</v>
      </c>
      <c r="AO19" s="20">
        <v>179.8</v>
      </c>
      <c r="AP19" s="20">
        <v>163</v>
      </c>
      <c r="AQ19" s="20">
        <v>168.5</v>
      </c>
      <c r="AR19" s="20">
        <v>173.7</v>
      </c>
      <c r="AS19" s="20">
        <v>173.6</v>
      </c>
      <c r="AT19" s="20">
        <v>171.1</v>
      </c>
      <c r="AU19" s="20">
        <v>176.5</v>
      </c>
      <c r="AV19" s="28">
        <f t="shared" si="1"/>
        <v>4407.2120590013365</v>
      </c>
      <c r="AW19" s="28">
        <f t="shared" si="2"/>
        <v>686.9</v>
      </c>
      <c r="AX19" s="28">
        <f t="shared" si="3"/>
        <v>359.29999999999995</v>
      </c>
      <c r="AY19" s="28">
        <f t="shared" si="4"/>
        <v>343.20000000000005</v>
      </c>
      <c r="AZ19" s="28">
        <f t="shared" si="5"/>
        <v>2493.7090024552335</v>
      </c>
      <c r="BA19" s="28">
        <f t="shared" si="6"/>
        <v>171.72499999999999</v>
      </c>
      <c r="BB19" s="28">
        <f t="shared" si="7"/>
        <v>171.60000000000002</v>
      </c>
      <c r="BC19" s="31">
        <v>178.12142857142859</v>
      </c>
      <c r="BD19" s="42">
        <f t="shared" si="8"/>
        <v>-8.4691848906559095E-3</v>
      </c>
    </row>
    <row r="20" spans="1:56" x14ac:dyDescent="0.3">
      <c r="A20" s="26" t="s">
        <v>0</v>
      </c>
      <c r="B20" s="21">
        <v>2022</v>
      </c>
      <c r="C20" s="21" t="s">
        <v>15</v>
      </c>
      <c r="D20" s="21" t="str">
        <f t="shared" si="0"/>
        <v>Dec-22</v>
      </c>
      <c r="E20" s="32">
        <v>44896</v>
      </c>
      <c r="F20" s="21" t="s">
        <v>85</v>
      </c>
      <c r="G20" s="21">
        <v>168.8</v>
      </c>
      <c r="H20" s="48">
        <f t="shared" si="9"/>
        <v>1.1384062312762167E-2</v>
      </c>
      <c r="I20" s="21">
        <v>206.9</v>
      </c>
      <c r="J20" s="48">
        <f t="shared" si="10"/>
        <v>-1.4478764478763656E-3</v>
      </c>
      <c r="K20" s="21">
        <v>189.1</v>
      </c>
      <c r="L20" s="49">
        <f t="shared" si="11"/>
        <v>4.9389567147613798E-2</v>
      </c>
      <c r="M20" s="21">
        <v>173.4</v>
      </c>
      <c r="N20" s="48">
        <f t="shared" si="12"/>
        <v>6.3842135809634021E-3</v>
      </c>
      <c r="O20" s="21">
        <v>193.9</v>
      </c>
      <c r="P20" s="48">
        <f t="shared" si="13"/>
        <v>-5.1546391752574393E-4</v>
      </c>
      <c r="Q20" s="21">
        <v>156.69999999999999</v>
      </c>
      <c r="R20" s="48">
        <f t="shared" si="14"/>
        <v>-1.5084852294154657E-2</v>
      </c>
      <c r="S20" s="21">
        <v>150.19999999999999</v>
      </c>
      <c r="T20" s="48">
        <f t="shared" si="15"/>
        <v>-0.12470862470862475</v>
      </c>
      <c r="U20" s="21">
        <v>170.5</v>
      </c>
      <c r="V20" s="47">
        <f t="shared" si="16"/>
        <v>1.7626321974148729E-3</v>
      </c>
      <c r="W20" s="21">
        <v>121.2</v>
      </c>
      <c r="X20" s="48">
        <f t="shared" si="17"/>
        <v>-2.4691358024691123E-3</v>
      </c>
      <c r="Y20" s="21">
        <v>207.5</v>
      </c>
      <c r="Z20" s="48">
        <f t="shared" si="18"/>
        <v>1.3183593749999944E-2</v>
      </c>
      <c r="AA20" s="21">
        <v>176.8</v>
      </c>
      <c r="AB20" s="48">
        <f t="shared" si="19"/>
        <v>2.2675736961451569E-3</v>
      </c>
      <c r="AC20" s="21">
        <v>187.7</v>
      </c>
      <c r="AD20" s="48">
        <f t="shared" si="20"/>
        <v>4.2803638309255373E-3</v>
      </c>
      <c r="AE20" s="21">
        <v>174.4</v>
      </c>
      <c r="AF20" s="48">
        <f t="shared" si="21"/>
        <v>-1.2457531143827796E-2</v>
      </c>
      <c r="AG20" s="21">
        <v>195.9</v>
      </c>
      <c r="AH20" s="48">
        <f t="shared" si="22"/>
        <v>2.0460358056266273E-3</v>
      </c>
      <c r="AI20" s="21">
        <v>188.1</v>
      </c>
      <c r="AJ20" s="21">
        <v>185.9</v>
      </c>
      <c r="AK20" s="21">
        <v>187.8</v>
      </c>
      <c r="AL20" s="28">
        <f>'Handle missing value sheet only'!$C$1</f>
        <v>139.27096774193564</v>
      </c>
      <c r="AM20" s="21">
        <v>182.8</v>
      </c>
      <c r="AN20" s="21">
        <v>176.4</v>
      </c>
      <c r="AO20" s="21">
        <v>183.5</v>
      </c>
      <c r="AP20" s="21">
        <v>167.8</v>
      </c>
      <c r="AQ20" s="21">
        <v>171.2</v>
      </c>
      <c r="AR20" s="21">
        <v>177.3</v>
      </c>
      <c r="AS20" s="21">
        <v>175.7</v>
      </c>
      <c r="AT20" s="21">
        <v>175.5</v>
      </c>
      <c r="AU20" s="21">
        <v>177.1</v>
      </c>
      <c r="AV20" s="28">
        <f t="shared" si="1"/>
        <v>4396.4049822999423</v>
      </c>
      <c r="AW20" s="28">
        <f t="shared" si="2"/>
        <v>699.7</v>
      </c>
      <c r="AX20" s="28">
        <f t="shared" si="3"/>
        <v>374</v>
      </c>
      <c r="AY20" s="28">
        <f t="shared" si="4"/>
        <v>315.67096774193567</v>
      </c>
      <c r="AZ20" s="28">
        <f t="shared" si="5"/>
        <v>2472.9319685222013</v>
      </c>
      <c r="BA20" s="28">
        <f t="shared" si="6"/>
        <v>174.92500000000001</v>
      </c>
      <c r="BB20" s="28">
        <f t="shared" si="7"/>
        <v>157.83548387096783</v>
      </c>
      <c r="BC20" s="29">
        <v>176.64285714285714</v>
      </c>
      <c r="BD20" s="42">
        <f t="shared" si="8"/>
        <v>-8.3009183141518166E-3</v>
      </c>
    </row>
    <row r="21" spans="1:56" hidden="1" x14ac:dyDescent="0.3">
      <c r="A21" s="27" t="s">
        <v>2</v>
      </c>
      <c r="B21" s="20">
        <v>2022</v>
      </c>
      <c r="C21" s="20" t="s">
        <v>15</v>
      </c>
      <c r="D21" s="21" t="str">
        <f t="shared" si="0"/>
        <v>Dec-22</v>
      </c>
      <c r="E21" s="33">
        <v>44896</v>
      </c>
      <c r="F21" s="20" t="s">
        <v>85</v>
      </c>
      <c r="G21" s="20">
        <v>170.2</v>
      </c>
      <c r="H21" s="50">
        <f t="shared" si="9"/>
        <v>1.0688836104512963E-2</v>
      </c>
      <c r="I21" s="20">
        <v>212.9</v>
      </c>
      <c r="J21" s="50">
        <f t="shared" si="10"/>
        <v>-2.3430178069353325E-3</v>
      </c>
      <c r="K21" s="20">
        <v>191.9</v>
      </c>
      <c r="L21" s="50">
        <f t="shared" si="11"/>
        <v>4.7489082969432411E-2</v>
      </c>
      <c r="M21" s="20">
        <v>173.9</v>
      </c>
      <c r="N21" s="50">
        <f t="shared" si="12"/>
        <v>9.286128845037692E-3</v>
      </c>
      <c r="O21" s="20">
        <v>179.1</v>
      </c>
      <c r="P21" s="50">
        <f t="shared" si="13"/>
        <v>-5.0000000000000313E-3</v>
      </c>
      <c r="Q21" s="20">
        <v>159.5</v>
      </c>
      <c r="R21" s="50">
        <f t="shared" si="14"/>
        <v>-1.9065190651906486E-2</v>
      </c>
      <c r="S21" s="20">
        <v>178.7</v>
      </c>
      <c r="T21" s="50">
        <f t="shared" si="15"/>
        <v>-0.1304136253041363</v>
      </c>
      <c r="U21" s="20">
        <v>171.3</v>
      </c>
      <c r="V21" s="50">
        <f t="shared" si="16"/>
        <v>1.7543859649123471E-3</v>
      </c>
      <c r="W21" s="20">
        <v>123.1</v>
      </c>
      <c r="X21" s="50">
        <f t="shared" si="17"/>
        <v>-2.4311183144247275E-3</v>
      </c>
      <c r="Y21" s="20">
        <v>200.5</v>
      </c>
      <c r="Z21" s="50">
        <f t="shared" si="18"/>
        <v>8.5513078470824365E-3</v>
      </c>
      <c r="AA21" s="20">
        <v>162.80000000000001</v>
      </c>
      <c r="AB21" s="50">
        <f t="shared" si="19"/>
        <v>4.3183220234424245E-3</v>
      </c>
      <c r="AC21" s="20">
        <v>193.3</v>
      </c>
      <c r="AD21" s="50">
        <f t="shared" si="20"/>
        <v>4.6777546777547075E-3</v>
      </c>
      <c r="AE21" s="20">
        <v>178.6</v>
      </c>
      <c r="AF21" s="50">
        <f t="shared" si="21"/>
        <v>-1.4892443463872128E-2</v>
      </c>
      <c r="AG21" s="20">
        <v>201.1</v>
      </c>
      <c r="AH21" s="50">
        <f t="shared" si="22"/>
        <v>2.4925224327018943E-3</v>
      </c>
      <c r="AI21" s="20">
        <v>177.7</v>
      </c>
      <c r="AJ21" s="20">
        <v>164.5</v>
      </c>
      <c r="AK21" s="20">
        <v>175.7</v>
      </c>
      <c r="AL21" s="20">
        <v>170.7</v>
      </c>
      <c r="AM21" s="20">
        <v>180.6</v>
      </c>
      <c r="AN21" s="20">
        <v>167.3</v>
      </c>
      <c r="AO21" s="20">
        <v>177.2</v>
      </c>
      <c r="AP21" s="20">
        <v>159.4</v>
      </c>
      <c r="AQ21" s="20">
        <v>167.1</v>
      </c>
      <c r="AR21" s="20">
        <v>171.8</v>
      </c>
      <c r="AS21" s="20">
        <v>176</v>
      </c>
      <c r="AT21" s="20">
        <v>168.2</v>
      </c>
      <c r="AU21" s="20">
        <v>174.1</v>
      </c>
      <c r="AV21" s="28">
        <f t="shared" si="1"/>
        <v>4377.3151129453236</v>
      </c>
      <c r="AW21" s="28">
        <f t="shared" si="2"/>
        <v>683.1</v>
      </c>
      <c r="AX21" s="28">
        <f t="shared" si="3"/>
        <v>342.2</v>
      </c>
      <c r="AY21" s="28">
        <f t="shared" si="4"/>
        <v>338</v>
      </c>
      <c r="AZ21" s="28">
        <f t="shared" si="5"/>
        <v>2496.8126204228906</v>
      </c>
      <c r="BA21" s="28">
        <f t="shared" si="6"/>
        <v>170.77500000000001</v>
      </c>
      <c r="BB21" s="28">
        <f t="shared" si="7"/>
        <v>169</v>
      </c>
      <c r="BC21" s="31">
        <v>178.34999999999997</v>
      </c>
      <c r="BD21" s="42">
        <f t="shared" si="8"/>
        <v>9.6643752527293091E-3</v>
      </c>
    </row>
    <row r="22" spans="1:56" hidden="1" x14ac:dyDescent="0.3">
      <c r="A22" s="26" t="s">
        <v>3</v>
      </c>
      <c r="B22" s="21">
        <v>2022</v>
      </c>
      <c r="C22" s="21" t="s">
        <v>15</v>
      </c>
      <c r="D22" s="21" t="str">
        <f t="shared" si="0"/>
        <v>Dec-22</v>
      </c>
      <c r="E22" s="32">
        <v>44896</v>
      </c>
      <c r="F22" s="21" t="s">
        <v>85</v>
      </c>
      <c r="G22" s="21">
        <v>169.2</v>
      </c>
      <c r="H22" s="48">
        <f t="shared" si="9"/>
        <v>1.0752688172042909E-2</v>
      </c>
      <c r="I22" s="21">
        <v>209</v>
      </c>
      <c r="J22" s="48">
        <f t="shared" si="10"/>
        <v>-1.9102196752626823E-3</v>
      </c>
      <c r="K22" s="21">
        <v>190.2</v>
      </c>
      <c r="L22" s="48">
        <f t="shared" si="11"/>
        <v>4.8511576626240255E-2</v>
      </c>
      <c r="M22" s="21">
        <v>173.6</v>
      </c>
      <c r="N22" s="48">
        <f t="shared" si="12"/>
        <v>7.5449796865930518E-3</v>
      </c>
      <c r="O22" s="21">
        <v>188.5</v>
      </c>
      <c r="P22" s="48">
        <f t="shared" si="13"/>
        <v>-2.1175224986765785E-3</v>
      </c>
      <c r="Q22" s="21">
        <v>158</v>
      </c>
      <c r="R22" s="48">
        <f t="shared" si="14"/>
        <v>-1.6801493466085806E-2</v>
      </c>
      <c r="S22" s="21">
        <v>159.9</v>
      </c>
      <c r="T22" s="48">
        <f t="shared" si="15"/>
        <v>-0.12670671764063349</v>
      </c>
      <c r="U22" s="21">
        <v>170.8</v>
      </c>
      <c r="V22" s="48">
        <f t="shared" si="16"/>
        <v>1.7595307917889231E-3</v>
      </c>
      <c r="W22" s="21">
        <v>121.8</v>
      </c>
      <c r="X22" s="48">
        <f t="shared" si="17"/>
        <v>-2.457002457002434E-3</v>
      </c>
      <c r="Y22" s="21">
        <v>205.2</v>
      </c>
      <c r="Z22" s="48">
        <f t="shared" si="18"/>
        <v>1.1834319526627106E-2</v>
      </c>
      <c r="AA22" s="21">
        <v>171</v>
      </c>
      <c r="AB22" s="48">
        <f t="shared" si="19"/>
        <v>3.521126760563347E-3</v>
      </c>
      <c r="AC22" s="21">
        <v>190.3</v>
      </c>
      <c r="AD22" s="48">
        <f t="shared" si="20"/>
        <v>4.2216358839050729E-3</v>
      </c>
      <c r="AE22" s="21">
        <v>175.9</v>
      </c>
      <c r="AF22" s="48">
        <f t="shared" si="21"/>
        <v>-1.3460459899046581E-2</v>
      </c>
      <c r="AG22" s="21">
        <v>197.3</v>
      </c>
      <c r="AH22" s="48">
        <f t="shared" si="22"/>
        <v>2.031488065007647E-3</v>
      </c>
      <c r="AI22" s="21">
        <v>184</v>
      </c>
      <c r="AJ22" s="21">
        <v>177</v>
      </c>
      <c r="AK22" s="21">
        <v>183</v>
      </c>
      <c r="AL22" s="21">
        <v>170.7</v>
      </c>
      <c r="AM22" s="21">
        <v>182</v>
      </c>
      <c r="AN22" s="21">
        <v>172.1</v>
      </c>
      <c r="AO22" s="21">
        <v>181.1</v>
      </c>
      <c r="AP22" s="21">
        <v>163.4</v>
      </c>
      <c r="AQ22" s="21">
        <v>168.9</v>
      </c>
      <c r="AR22" s="21">
        <v>174.1</v>
      </c>
      <c r="AS22" s="21">
        <v>175.8</v>
      </c>
      <c r="AT22" s="21">
        <v>172</v>
      </c>
      <c r="AU22" s="21">
        <v>175.7</v>
      </c>
      <c r="AV22" s="28">
        <f t="shared" si="1"/>
        <v>4401.7267239298762</v>
      </c>
      <c r="AW22" s="28">
        <f t="shared" si="2"/>
        <v>690.8</v>
      </c>
      <c r="AX22" s="28">
        <f t="shared" si="3"/>
        <v>361</v>
      </c>
      <c r="AY22" s="28">
        <f t="shared" si="4"/>
        <v>342.79999999999995</v>
      </c>
      <c r="AZ22" s="28">
        <f t="shared" si="5"/>
        <v>2480.624692441811</v>
      </c>
      <c r="BA22" s="28">
        <f t="shared" si="6"/>
        <v>172.7</v>
      </c>
      <c r="BB22" s="28">
        <f t="shared" si="7"/>
        <v>171.39999999999998</v>
      </c>
      <c r="BC22" s="29">
        <v>177.19285714285715</v>
      </c>
      <c r="BD22" s="42">
        <f t="shared" si="8"/>
        <v>-6.4880451760180313E-3</v>
      </c>
    </row>
    <row r="23" spans="1:56" x14ac:dyDescent="0.3">
      <c r="A23" s="27" t="s">
        <v>0</v>
      </c>
      <c r="B23" s="20">
        <v>2023</v>
      </c>
      <c r="C23" s="20" t="s">
        <v>1</v>
      </c>
      <c r="D23" s="21" t="str">
        <f t="shared" si="0"/>
        <v>Jan-23</v>
      </c>
      <c r="E23" s="33">
        <v>44927</v>
      </c>
      <c r="F23" s="20" t="s">
        <v>85</v>
      </c>
      <c r="G23" s="20">
        <v>174</v>
      </c>
      <c r="H23" s="48">
        <f t="shared" si="9"/>
        <v>3.0805687203791399E-2</v>
      </c>
      <c r="I23" s="20">
        <v>208.3</v>
      </c>
      <c r="J23" s="48">
        <f t="shared" si="10"/>
        <v>6.7665538907685143E-3</v>
      </c>
      <c r="K23" s="20">
        <v>192.9</v>
      </c>
      <c r="L23" s="49">
        <f t="shared" si="11"/>
        <v>2.009518773135913E-2</v>
      </c>
      <c r="M23" s="20">
        <v>174.3</v>
      </c>
      <c r="N23" s="48">
        <f t="shared" si="12"/>
        <v>5.1903114186851538E-3</v>
      </c>
      <c r="O23" s="20">
        <v>192.6</v>
      </c>
      <c r="P23" s="48">
        <f t="shared" si="13"/>
        <v>-6.7044868488912394E-3</v>
      </c>
      <c r="Q23" s="20">
        <v>156.30000000000001</v>
      </c>
      <c r="R23" s="48">
        <f t="shared" si="14"/>
        <v>-2.5526483726865173E-3</v>
      </c>
      <c r="S23" s="20">
        <v>142.9</v>
      </c>
      <c r="T23" s="48">
        <f t="shared" si="15"/>
        <v>-4.8601864181091768E-2</v>
      </c>
      <c r="U23" s="20">
        <v>170.7</v>
      </c>
      <c r="V23" s="47">
        <f t="shared" si="16"/>
        <v>1.173020527859171E-3</v>
      </c>
      <c r="W23" s="20">
        <v>120.3</v>
      </c>
      <c r="X23" s="48">
        <f t="shared" si="17"/>
        <v>-7.4257425742574722E-3</v>
      </c>
      <c r="Y23" s="20">
        <v>210.5</v>
      </c>
      <c r="Z23" s="48">
        <f t="shared" si="18"/>
        <v>1.4457831325301205E-2</v>
      </c>
      <c r="AA23" s="20">
        <v>176.9</v>
      </c>
      <c r="AB23" s="48">
        <f t="shared" si="19"/>
        <v>5.6561085972847464E-4</v>
      </c>
      <c r="AC23" s="20">
        <v>188.5</v>
      </c>
      <c r="AD23" s="48">
        <f t="shared" si="20"/>
        <v>4.2621204049014989E-3</v>
      </c>
      <c r="AE23" s="20">
        <v>175</v>
      </c>
      <c r="AF23" s="48">
        <f t="shared" si="21"/>
        <v>3.4403669724770315E-3</v>
      </c>
      <c r="AG23" s="20">
        <v>196.9</v>
      </c>
      <c r="AH23" s="48">
        <f t="shared" si="22"/>
        <v>5.1046452271567124E-3</v>
      </c>
      <c r="AI23" s="20">
        <v>189</v>
      </c>
      <c r="AJ23" s="20">
        <v>186.3</v>
      </c>
      <c r="AK23" s="20">
        <v>188.6</v>
      </c>
      <c r="AL23" s="30">
        <f>'Handle missing value sheet only'!$C$1</f>
        <v>139.27096774193564</v>
      </c>
      <c r="AM23" s="20">
        <v>183.2</v>
      </c>
      <c r="AN23" s="20">
        <v>177.2</v>
      </c>
      <c r="AO23" s="20">
        <v>184.7</v>
      </c>
      <c r="AP23" s="20">
        <v>168.2</v>
      </c>
      <c r="AQ23" s="20">
        <v>171.8</v>
      </c>
      <c r="AR23" s="20">
        <v>177.8</v>
      </c>
      <c r="AS23" s="20">
        <v>178.4</v>
      </c>
      <c r="AT23" s="20">
        <v>176.5</v>
      </c>
      <c r="AU23" s="20">
        <v>177.8</v>
      </c>
      <c r="AV23" s="28">
        <f t="shared" si="1"/>
        <v>4412.4975443355206</v>
      </c>
      <c r="AW23" s="28">
        <f t="shared" si="2"/>
        <v>704.5</v>
      </c>
      <c r="AX23" s="28">
        <f t="shared" si="3"/>
        <v>375.3</v>
      </c>
      <c r="AY23" s="28">
        <f t="shared" si="4"/>
        <v>316.47096774193562</v>
      </c>
      <c r="AZ23" s="28">
        <f t="shared" si="5"/>
        <v>2480.1214719483578</v>
      </c>
      <c r="BA23" s="28">
        <f t="shared" si="6"/>
        <v>176.125</v>
      </c>
      <c r="BB23" s="28">
        <f t="shared" si="7"/>
        <v>158.23548387096781</v>
      </c>
      <c r="BC23" s="31">
        <v>177.15000000000003</v>
      </c>
      <c r="BD23" s="42">
        <f t="shared" si="8"/>
        <v>-2.418672148988692E-4</v>
      </c>
    </row>
    <row r="24" spans="1:56" hidden="1" x14ac:dyDescent="0.3">
      <c r="A24" s="26" t="s">
        <v>2</v>
      </c>
      <c r="B24" s="21">
        <v>2023</v>
      </c>
      <c r="C24" s="21" t="s">
        <v>1</v>
      </c>
      <c r="D24" s="21" t="str">
        <f t="shared" si="0"/>
        <v>Jan-23</v>
      </c>
      <c r="E24" s="32">
        <v>44927</v>
      </c>
      <c r="F24" s="21" t="s">
        <v>85</v>
      </c>
      <c r="G24" s="21">
        <v>173.3</v>
      </c>
      <c r="H24" s="50">
        <f t="shared" si="9"/>
        <v>1.821386603995313E-2</v>
      </c>
      <c r="I24" s="21">
        <v>215.2</v>
      </c>
      <c r="J24" s="50">
        <f t="shared" si="10"/>
        <v>1.0803193987787613E-2</v>
      </c>
      <c r="K24" s="21">
        <v>197</v>
      </c>
      <c r="L24" s="50">
        <f t="shared" si="11"/>
        <v>2.6576341844710756E-2</v>
      </c>
      <c r="M24" s="21">
        <v>175.2</v>
      </c>
      <c r="N24" s="50">
        <f t="shared" si="12"/>
        <v>7.4755606670499301E-3</v>
      </c>
      <c r="O24" s="21">
        <v>178</v>
      </c>
      <c r="P24" s="50">
        <f t="shared" si="13"/>
        <v>-6.1418202121719398E-3</v>
      </c>
      <c r="Q24" s="21">
        <v>160.5</v>
      </c>
      <c r="R24" s="50">
        <f t="shared" si="14"/>
        <v>6.269592476489028E-3</v>
      </c>
      <c r="S24" s="21">
        <v>175.3</v>
      </c>
      <c r="T24" s="50">
        <f t="shared" si="15"/>
        <v>-1.9026301063234344E-2</v>
      </c>
      <c r="U24" s="21">
        <v>171.2</v>
      </c>
      <c r="V24" s="50">
        <f t="shared" si="16"/>
        <v>-5.837711617047445E-4</v>
      </c>
      <c r="W24" s="21">
        <v>122.7</v>
      </c>
      <c r="X24" s="50">
        <f t="shared" si="17"/>
        <v>-3.2493907392363241E-3</v>
      </c>
      <c r="Y24" s="21">
        <v>204.3</v>
      </c>
      <c r="Z24" s="50">
        <f t="shared" si="18"/>
        <v>1.8952618453865394E-2</v>
      </c>
      <c r="AA24" s="21">
        <v>163.69999999999999</v>
      </c>
      <c r="AB24" s="50">
        <f t="shared" si="19"/>
        <v>5.5282555282553884E-3</v>
      </c>
      <c r="AC24" s="21">
        <v>194.3</v>
      </c>
      <c r="AD24" s="50">
        <f t="shared" si="20"/>
        <v>5.1733057423693739E-3</v>
      </c>
      <c r="AE24" s="21">
        <v>179.5</v>
      </c>
      <c r="AF24" s="50">
        <f t="shared" si="21"/>
        <v>5.0391937290033915E-3</v>
      </c>
      <c r="AG24" s="21">
        <v>201.6</v>
      </c>
      <c r="AH24" s="50">
        <f t="shared" si="22"/>
        <v>2.4863252113376429E-3</v>
      </c>
      <c r="AI24" s="21">
        <v>178.7</v>
      </c>
      <c r="AJ24" s="21">
        <v>165.3</v>
      </c>
      <c r="AK24" s="21">
        <v>176.6</v>
      </c>
      <c r="AL24" s="21">
        <v>172.1</v>
      </c>
      <c r="AM24" s="21">
        <v>180.1</v>
      </c>
      <c r="AN24" s="21">
        <v>168</v>
      </c>
      <c r="AO24" s="21">
        <v>178.5</v>
      </c>
      <c r="AP24" s="21">
        <v>159.5</v>
      </c>
      <c r="AQ24" s="21">
        <v>167.8</v>
      </c>
      <c r="AR24" s="21">
        <v>171.8</v>
      </c>
      <c r="AS24" s="21">
        <v>178.8</v>
      </c>
      <c r="AT24" s="21">
        <v>168.9</v>
      </c>
      <c r="AU24" s="21">
        <v>174.9</v>
      </c>
      <c r="AV24" s="28">
        <f t="shared" si="1"/>
        <v>4401.377516970505</v>
      </c>
      <c r="AW24" s="28">
        <f t="shared" si="2"/>
        <v>687.3</v>
      </c>
      <c r="AX24" s="28">
        <f t="shared" si="3"/>
        <v>344</v>
      </c>
      <c r="AY24" s="28">
        <f t="shared" si="4"/>
        <v>340.1</v>
      </c>
      <c r="AZ24" s="28">
        <f t="shared" si="5"/>
        <v>2511.875030645293</v>
      </c>
      <c r="BA24" s="28">
        <f t="shared" si="6"/>
        <v>171.82499999999999</v>
      </c>
      <c r="BB24" s="28">
        <f t="shared" si="7"/>
        <v>170.05</v>
      </c>
      <c r="BC24" s="29">
        <v>179.41428571428574</v>
      </c>
      <c r="BD24" s="42">
        <f t="shared" si="8"/>
        <v>1.2781742671666412E-2</v>
      </c>
    </row>
    <row r="25" spans="1:56" hidden="1" x14ac:dyDescent="0.3">
      <c r="A25" s="27" t="s">
        <v>3</v>
      </c>
      <c r="B25" s="20">
        <v>2023</v>
      </c>
      <c r="C25" s="20" t="s">
        <v>1</v>
      </c>
      <c r="D25" s="21" t="str">
        <f t="shared" si="0"/>
        <v>Jan-23</v>
      </c>
      <c r="E25" s="33">
        <v>44927</v>
      </c>
      <c r="F25" s="20" t="s">
        <v>85</v>
      </c>
      <c r="G25" s="20">
        <v>173.8</v>
      </c>
      <c r="H25" s="48">
        <f t="shared" si="9"/>
        <v>2.7186761229314557E-2</v>
      </c>
      <c r="I25" s="20">
        <v>210.7</v>
      </c>
      <c r="J25" s="48">
        <f t="shared" si="10"/>
        <v>8.1339712918659744E-3</v>
      </c>
      <c r="K25" s="20">
        <v>194.5</v>
      </c>
      <c r="L25" s="48">
        <f t="shared" si="11"/>
        <v>2.2607781282860208E-2</v>
      </c>
      <c r="M25" s="20">
        <v>174.6</v>
      </c>
      <c r="N25" s="48">
        <f t="shared" si="12"/>
        <v>5.7603686635944703E-3</v>
      </c>
      <c r="O25" s="20">
        <v>187.2</v>
      </c>
      <c r="P25" s="48">
        <f t="shared" si="13"/>
        <v>-6.8965517241379917E-3</v>
      </c>
      <c r="Q25" s="20">
        <v>158.30000000000001</v>
      </c>
      <c r="R25" s="48">
        <f t="shared" si="14"/>
        <v>1.8987341772152618E-3</v>
      </c>
      <c r="S25" s="20">
        <v>153.9</v>
      </c>
      <c r="T25" s="48">
        <f t="shared" si="15"/>
        <v>-3.7523452157598496E-2</v>
      </c>
      <c r="U25" s="20">
        <v>170.9</v>
      </c>
      <c r="V25" s="48">
        <f t="shared" si="16"/>
        <v>5.854800936767817E-4</v>
      </c>
      <c r="W25" s="20">
        <v>121.1</v>
      </c>
      <c r="X25" s="48">
        <f t="shared" si="17"/>
        <v>-5.7471264367816325E-3</v>
      </c>
      <c r="Y25" s="20">
        <v>208.4</v>
      </c>
      <c r="Z25" s="48">
        <f t="shared" si="18"/>
        <v>1.5594541910331468E-2</v>
      </c>
      <c r="AA25" s="20">
        <v>171.4</v>
      </c>
      <c r="AB25" s="48">
        <f t="shared" si="19"/>
        <v>2.339181286549741E-3</v>
      </c>
      <c r="AC25" s="20">
        <v>191.2</v>
      </c>
      <c r="AD25" s="48">
        <f t="shared" si="20"/>
        <v>4.7293746715710832E-3</v>
      </c>
      <c r="AE25" s="20">
        <v>176.7</v>
      </c>
      <c r="AF25" s="48">
        <f t="shared" si="21"/>
        <v>4.5480386583284984E-3</v>
      </c>
      <c r="AG25" s="20">
        <v>198.2</v>
      </c>
      <c r="AH25" s="48">
        <f t="shared" si="22"/>
        <v>4.5615813482005937E-3</v>
      </c>
      <c r="AI25" s="20">
        <v>184.9</v>
      </c>
      <c r="AJ25" s="20">
        <v>177.6</v>
      </c>
      <c r="AK25" s="20">
        <v>183.8</v>
      </c>
      <c r="AL25" s="20">
        <v>172.1</v>
      </c>
      <c r="AM25" s="20">
        <v>182</v>
      </c>
      <c r="AN25" s="20">
        <v>172.9</v>
      </c>
      <c r="AO25" s="20">
        <v>182.3</v>
      </c>
      <c r="AP25" s="20">
        <v>163.6</v>
      </c>
      <c r="AQ25" s="20">
        <v>169.5</v>
      </c>
      <c r="AR25" s="20">
        <v>174.3</v>
      </c>
      <c r="AS25" s="20">
        <v>178.6</v>
      </c>
      <c r="AT25" s="20">
        <v>172.8</v>
      </c>
      <c r="AU25" s="20">
        <v>176.5</v>
      </c>
      <c r="AV25" s="28">
        <f t="shared" si="1"/>
        <v>4421.5477786842948</v>
      </c>
      <c r="AW25" s="28">
        <f t="shared" si="2"/>
        <v>695.2</v>
      </c>
      <c r="AX25" s="28">
        <f t="shared" si="3"/>
        <v>362.5</v>
      </c>
      <c r="AY25" s="28">
        <f t="shared" si="4"/>
        <v>345</v>
      </c>
      <c r="AZ25" s="28">
        <f t="shared" si="5"/>
        <v>2490.9432171029466</v>
      </c>
      <c r="BA25" s="28">
        <f t="shared" si="6"/>
        <v>173.8</v>
      </c>
      <c r="BB25" s="28">
        <f t="shared" si="7"/>
        <v>172.5</v>
      </c>
      <c r="BC25" s="31">
        <v>177.92142857142855</v>
      </c>
      <c r="BD25" s="42">
        <f t="shared" si="8"/>
        <v>-8.3207261724662224E-3</v>
      </c>
    </row>
    <row r="26" spans="1:56" x14ac:dyDescent="0.3">
      <c r="A26" s="26" t="s">
        <v>0</v>
      </c>
      <c r="B26" s="21">
        <v>2023</v>
      </c>
      <c r="C26" s="21" t="s">
        <v>4</v>
      </c>
      <c r="D26" s="21" t="str">
        <f t="shared" si="0"/>
        <v>Feb-23</v>
      </c>
      <c r="E26" s="32">
        <v>44958</v>
      </c>
      <c r="F26" s="21" t="s">
        <v>85</v>
      </c>
      <c r="G26" s="21">
        <v>174.2</v>
      </c>
      <c r="H26" s="48">
        <f t="shared" si="9"/>
        <v>1.1494252873562566E-3</v>
      </c>
      <c r="I26" s="21">
        <v>205.2</v>
      </c>
      <c r="J26" s="48">
        <f t="shared" si="10"/>
        <v>-1.4882381180989066E-2</v>
      </c>
      <c r="K26" s="21">
        <v>173.9</v>
      </c>
      <c r="L26" s="49">
        <f t="shared" si="11"/>
        <v>-9.8496630378434424E-2</v>
      </c>
      <c r="M26" s="21">
        <v>177</v>
      </c>
      <c r="N26" s="48">
        <f t="shared" si="12"/>
        <v>1.5490533562822654E-2</v>
      </c>
      <c r="O26" s="21">
        <v>183.4</v>
      </c>
      <c r="P26" s="48">
        <f t="shared" si="13"/>
        <v>-4.7767393561786026E-2</v>
      </c>
      <c r="Q26" s="21">
        <v>167.2</v>
      </c>
      <c r="R26" s="48">
        <f t="shared" si="14"/>
        <v>6.973768394113869E-2</v>
      </c>
      <c r="S26" s="21">
        <v>140.9</v>
      </c>
      <c r="T26" s="48">
        <f t="shared" si="15"/>
        <v>-1.3995801259622112E-2</v>
      </c>
      <c r="U26" s="21">
        <v>170.4</v>
      </c>
      <c r="V26" s="47">
        <f t="shared" si="16"/>
        <v>-1.7574692442881251E-3</v>
      </c>
      <c r="W26" s="21">
        <v>119.1</v>
      </c>
      <c r="X26" s="48">
        <f t="shared" si="17"/>
        <v>-9.9750623441396749E-3</v>
      </c>
      <c r="Y26" s="21">
        <v>212.1</v>
      </c>
      <c r="Z26" s="48">
        <f t="shared" si="18"/>
        <v>7.6009501187648187E-3</v>
      </c>
      <c r="AA26" s="21">
        <v>177.6</v>
      </c>
      <c r="AB26" s="48">
        <f t="shared" si="19"/>
        <v>3.9570378745053059E-3</v>
      </c>
      <c r="AC26" s="21">
        <v>189.9</v>
      </c>
      <c r="AD26" s="48">
        <f t="shared" si="20"/>
        <v>7.4270557029178022E-3</v>
      </c>
      <c r="AE26" s="21">
        <v>174.8</v>
      </c>
      <c r="AF26" s="48">
        <f t="shared" si="21"/>
        <v>-1.1428571428570779E-3</v>
      </c>
      <c r="AG26" s="21">
        <v>198.3</v>
      </c>
      <c r="AH26" s="48">
        <f t="shared" si="22"/>
        <v>7.1102082275266917E-3</v>
      </c>
      <c r="AI26" s="21">
        <v>190</v>
      </c>
      <c r="AJ26" s="21">
        <v>187</v>
      </c>
      <c r="AK26" s="21">
        <v>189.6</v>
      </c>
      <c r="AL26" s="28">
        <f>'Handle missing value sheet only'!$C$1</f>
        <v>139.27096774193564</v>
      </c>
      <c r="AM26" s="21">
        <v>181.6</v>
      </c>
      <c r="AN26" s="21">
        <v>178.6</v>
      </c>
      <c r="AO26" s="21">
        <v>186.6</v>
      </c>
      <c r="AP26" s="21">
        <v>169</v>
      </c>
      <c r="AQ26" s="21">
        <v>172.8</v>
      </c>
      <c r="AR26" s="21">
        <v>178.5</v>
      </c>
      <c r="AS26" s="21">
        <v>180.7</v>
      </c>
      <c r="AT26" s="21">
        <v>177.9</v>
      </c>
      <c r="AU26" s="21">
        <v>178</v>
      </c>
      <c r="AV26" s="28">
        <f t="shared" si="1"/>
        <v>4405.8954230415393</v>
      </c>
      <c r="AW26" s="28">
        <f t="shared" si="2"/>
        <v>709.90000000000009</v>
      </c>
      <c r="AX26" s="28">
        <f t="shared" si="3"/>
        <v>377</v>
      </c>
      <c r="AY26" s="28">
        <f t="shared" si="4"/>
        <v>317.8709677419356</v>
      </c>
      <c r="AZ26" s="28">
        <f t="shared" si="5"/>
        <v>2463.9173450913754</v>
      </c>
      <c r="BA26" s="28">
        <f t="shared" si="6"/>
        <v>177.47500000000002</v>
      </c>
      <c r="BB26" s="28">
        <f t="shared" si="7"/>
        <v>158.9354838709678</v>
      </c>
      <c r="BC26" s="29">
        <v>176</v>
      </c>
      <c r="BD26" s="42">
        <f t="shared" si="8"/>
        <v>-1.079930948653085E-2</v>
      </c>
    </row>
    <row r="27" spans="1:56" hidden="1" x14ac:dyDescent="0.3">
      <c r="A27" s="27" t="s">
        <v>2</v>
      </c>
      <c r="B27" s="20">
        <v>2023</v>
      </c>
      <c r="C27" s="20" t="s">
        <v>4</v>
      </c>
      <c r="D27" s="21" t="str">
        <f t="shared" si="0"/>
        <v>Feb-23</v>
      </c>
      <c r="E27" s="33">
        <v>44958</v>
      </c>
      <c r="F27" s="20" t="s">
        <v>85</v>
      </c>
      <c r="G27" s="20">
        <v>174.7</v>
      </c>
      <c r="H27" s="50">
        <f t="shared" si="9"/>
        <v>8.078476630121045E-3</v>
      </c>
      <c r="I27" s="20">
        <v>212.2</v>
      </c>
      <c r="J27" s="50">
        <f t="shared" si="10"/>
        <v>-1.3940520446096656E-2</v>
      </c>
      <c r="K27" s="20">
        <v>177.2</v>
      </c>
      <c r="L27" s="50">
        <f t="shared" si="11"/>
        <v>-0.10050761421319802</v>
      </c>
      <c r="M27" s="20">
        <v>177.9</v>
      </c>
      <c r="N27" s="50">
        <f t="shared" si="12"/>
        <v>1.5410958904109687E-2</v>
      </c>
      <c r="O27" s="20">
        <v>172.2</v>
      </c>
      <c r="P27" s="50">
        <f t="shared" si="13"/>
        <v>-3.2584269662921411E-2</v>
      </c>
      <c r="Q27" s="20">
        <v>172.1</v>
      </c>
      <c r="R27" s="50">
        <f t="shared" si="14"/>
        <v>7.2274143302180655E-2</v>
      </c>
      <c r="S27" s="20">
        <v>175.8</v>
      </c>
      <c r="T27" s="50">
        <f t="shared" si="15"/>
        <v>2.8522532800912721E-3</v>
      </c>
      <c r="U27" s="20">
        <v>172.2</v>
      </c>
      <c r="V27" s="50">
        <f t="shared" si="16"/>
        <v>5.8411214953271035E-3</v>
      </c>
      <c r="W27" s="20">
        <v>121.9</v>
      </c>
      <c r="X27" s="50">
        <f t="shared" si="17"/>
        <v>-6.5199674001629754E-3</v>
      </c>
      <c r="Y27" s="20">
        <v>204.8</v>
      </c>
      <c r="Z27" s="50">
        <f t="shared" si="18"/>
        <v>2.4473813020068525E-3</v>
      </c>
      <c r="AA27" s="20">
        <v>164.9</v>
      </c>
      <c r="AB27" s="50">
        <f t="shared" si="19"/>
        <v>7.3304825901039528E-3</v>
      </c>
      <c r="AC27" s="20">
        <v>196.6</v>
      </c>
      <c r="AD27" s="50">
        <f t="shared" si="20"/>
        <v>1.1837364899639644E-2</v>
      </c>
      <c r="AE27" s="20">
        <v>180.7</v>
      </c>
      <c r="AF27" s="50">
        <f t="shared" si="21"/>
        <v>6.6852367688021649E-3</v>
      </c>
      <c r="AG27" s="20">
        <v>202.7</v>
      </c>
      <c r="AH27" s="50">
        <f t="shared" si="22"/>
        <v>5.4563492063491783E-3</v>
      </c>
      <c r="AI27" s="20">
        <v>180.3</v>
      </c>
      <c r="AJ27" s="20">
        <v>167</v>
      </c>
      <c r="AK27" s="20">
        <v>178.2</v>
      </c>
      <c r="AL27" s="20">
        <v>173.5</v>
      </c>
      <c r="AM27" s="20">
        <v>182.8</v>
      </c>
      <c r="AN27" s="20">
        <v>169.2</v>
      </c>
      <c r="AO27" s="20">
        <v>180.8</v>
      </c>
      <c r="AP27" s="20">
        <v>159.80000000000001</v>
      </c>
      <c r="AQ27" s="20">
        <v>168.4</v>
      </c>
      <c r="AR27" s="20">
        <v>172.5</v>
      </c>
      <c r="AS27" s="20">
        <v>181.4</v>
      </c>
      <c r="AT27" s="20">
        <v>170</v>
      </c>
      <c r="AU27" s="20">
        <v>176.3</v>
      </c>
      <c r="AV27" s="28">
        <f t="shared" si="1"/>
        <v>4411.584661396656</v>
      </c>
      <c r="AW27" s="28">
        <f t="shared" si="2"/>
        <v>692.3</v>
      </c>
      <c r="AX27" s="28">
        <f t="shared" si="3"/>
        <v>347.3</v>
      </c>
      <c r="AY27" s="28">
        <f t="shared" si="4"/>
        <v>342.7</v>
      </c>
      <c r="AZ27" s="28">
        <f t="shared" si="5"/>
        <v>2505.8792050474494</v>
      </c>
      <c r="BA27" s="28">
        <f t="shared" si="6"/>
        <v>173.07499999999999</v>
      </c>
      <c r="BB27" s="28">
        <f t="shared" si="7"/>
        <v>171.35</v>
      </c>
      <c r="BC27" s="31">
        <v>178.9928571428571</v>
      </c>
      <c r="BD27" s="42">
        <f t="shared" si="8"/>
        <v>1.7004870129869912E-2</v>
      </c>
    </row>
    <row r="28" spans="1:56" hidden="1" x14ac:dyDescent="0.3">
      <c r="A28" s="26" t="s">
        <v>3</v>
      </c>
      <c r="B28" s="21">
        <v>2023</v>
      </c>
      <c r="C28" s="21" t="s">
        <v>4</v>
      </c>
      <c r="D28" s="21" t="str">
        <f t="shared" si="0"/>
        <v>Feb-23</v>
      </c>
      <c r="E28" s="32">
        <v>44958</v>
      </c>
      <c r="F28" s="21" t="s">
        <v>85</v>
      </c>
      <c r="G28" s="21">
        <v>174.4</v>
      </c>
      <c r="H28" s="48">
        <f t="shared" si="9"/>
        <v>3.4522439585730398E-3</v>
      </c>
      <c r="I28" s="21">
        <v>207.7</v>
      </c>
      <c r="J28" s="48">
        <f t="shared" si="10"/>
        <v>-1.423825344091125E-2</v>
      </c>
      <c r="K28" s="21">
        <v>175.2</v>
      </c>
      <c r="L28" s="48">
        <f t="shared" si="11"/>
        <v>-9.9228791773778982E-2</v>
      </c>
      <c r="M28" s="21">
        <v>177.3</v>
      </c>
      <c r="N28" s="48">
        <f t="shared" si="12"/>
        <v>1.5463917525773294E-2</v>
      </c>
      <c r="O28" s="21">
        <v>179.3</v>
      </c>
      <c r="P28" s="48">
        <f t="shared" si="13"/>
        <v>-4.2200854700854579E-2</v>
      </c>
      <c r="Q28" s="21">
        <v>169.5</v>
      </c>
      <c r="R28" s="48">
        <f t="shared" si="14"/>
        <v>7.0751737207833149E-2</v>
      </c>
      <c r="S28" s="21">
        <v>152.69999999999999</v>
      </c>
      <c r="T28" s="48">
        <f t="shared" si="15"/>
        <v>-7.7972709551658026E-3</v>
      </c>
      <c r="U28" s="21">
        <v>171</v>
      </c>
      <c r="V28" s="48">
        <f t="shared" si="16"/>
        <v>5.8513750731418557E-4</v>
      </c>
      <c r="W28" s="21">
        <v>120</v>
      </c>
      <c r="X28" s="48">
        <f t="shared" si="17"/>
        <v>-9.0834021469859156E-3</v>
      </c>
      <c r="Y28" s="21">
        <v>209.7</v>
      </c>
      <c r="Z28" s="48">
        <f t="shared" si="18"/>
        <v>6.2380038387715112E-3</v>
      </c>
      <c r="AA28" s="21">
        <v>172.3</v>
      </c>
      <c r="AB28" s="48">
        <f t="shared" si="19"/>
        <v>5.2508751458576761E-3</v>
      </c>
      <c r="AC28" s="21">
        <v>193</v>
      </c>
      <c r="AD28" s="48">
        <f t="shared" si="20"/>
        <v>9.4142259414226534E-3</v>
      </c>
      <c r="AE28" s="21">
        <v>177</v>
      </c>
      <c r="AF28" s="48">
        <f t="shared" si="21"/>
        <v>1.6977928692700134E-3</v>
      </c>
      <c r="AG28" s="21">
        <v>199.5</v>
      </c>
      <c r="AH28" s="48">
        <f t="shared" si="22"/>
        <v>6.5590312815338621E-3</v>
      </c>
      <c r="AI28" s="21">
        <v>186.2</v>
      </c>
      <c r="AJ28" s="21">
        <v>178.7</v>
      </c>
      <c r="AK28" s="21">
        <v>185.1</v>
      </c>
      <c r="AL28" s="21">
        <v>173.5</v>
      </c>
      <c r="AM28" s="21">
        <v>182.1</v>
      </c>
      <c r="AN28" s="21">
        <v>174.2</v>
      </c>
      <c r="AO28" s="21">
        <v>184.4</v>
      </c>
      <c r="AP28" s="21">
        <v>164.2</v>
      </c>
      <c r="AQ28" s="21">
        <v>170.3</v>
      </c>
      <c r="AR28" s="21">
        <v>175</v>
      </c>
      <c r="AS28" s="21">
        <v>181</v>
      </c>
      <c r="AT28" s="21">
        <v>174.1</v>
      </c>
      <c r="AU28" s="21">
        <v>177.2</v>
      </c>
      <c r="AV28" s="28">
        <f t="shared" si="1"/>
        <v>4422.2468643922584</v>
      </c>
      <c r="AW28" s="28">
        <f t="shared" si="2"/>
        <v>700.40000000000009</v>
      </c>
      <c r="AX28" s="28">
        <f t="shared" si="3"/>
        <v>364.9</v>
      </c>
      <c r="AY28" s="28">
        <f t="shared" si="4"/>
        <v>347.7</v>
      </c>
      <c r="AZ28" s="28">
        <f t="shared" si="5"/>
        <v>2478.5403053609775</v>
      </c>
      <c r="BA28" s="28">
        <f t="shared" si="6"/>
        <v>175.10000000000002</v>
      </c>
      <c r="BB28" s="28">
        <f t="shared" si="7"/>
        <v>173.85</v>
      </c>
      <c r="BC28" s="29">
        <v>177.04285714285714</v>
      </c>
      <c r="BD28" s="42">
        <f t="shared" si="8"/>
        <v>-1.089428947683445E-2</v>
      </c>
    </row>
    <row r="29" spans="1:56" x14ac:dyDescent="0.3">
      <c r="A29" s="27" t="s">
        <v>0</v>
      </c>
      <c r="B29" s="20">
        <v>2023</v>
      </c>
      <c r="C29" s="20" t="s">
        <v>5</v>
      </c>
      <c r="D29" s="21" t="str">
        <f t="shared" si="0"/>
        <v>Mar-23</v>
      </c>
      <c r="E29" s="33">
        <v>44986</v>
      </c>
      <c r="F29" s="20" t="s">
        <v>85</v>
      </c>
      <c r="G29" s="20">
        <v>174.3</v>
      </c>
      <c r="H29" s="48">
        <f t="shared" si="9"/>
        <v>5.7405281285891356E-4</v>
      </c>
      <c r="I29" s="20">
        <v>205.2</v>
      </c>
      <c r="J29" s="48">
        <f t="shared" si="10"/>
        <v>0</v>
      </c>
      <c r="K29" s="20">
        <v>173.9</v>
      </c>
      <c r="L29" s="49">
        <f t="shared" si="11"/>
        <v>0</v>
      </c>
      <c r="M29" s="20">
        <v>177</v>
      </c>
      <c r="N29" s="48">
        <f t="shared" si="12"/>
        <v>0</v>
      </c>
      <c r="O29" s="20">
        <v>183.3</v>
      </c>
      <c r="P29" s="48">
        <f t="shared" si="13"/>
        <v>-5.4525627044707916E-4</v>
      </c>
      <c r="Q29" s="20">
        <v>167.2</v>
      </c>
      <c r="R29" s="48">
        <f t="shared" si="14"/>
        <v>0</v>
      </c>
      <c r="S29" s="20">
        <v>140.9</v>
      </c>
      <c r="T29" s="48">
        <f t="shared" si="15"/>
        <v>0</v>
      </c>
      <c r="U29" s="20">
        <v>170.5</v>
      </c>
      <c r="V29" s="47">
        <f t="shared" si="16"/>
        <v>5.8685446009386333E-4</v>
      </c>
      <c r="W29" s="20">
        <v>119.1</v>
      </c>
      <c r="X29" s="48">
        <f t="shared" si="17"/>
        <v>0</v>
      </c>
      <c r="Y29" s="20">
        <v>212.1</v>
      </c>
      <c r="Z29" s="48">
        <f t="shared" si="18"/>
        <v>0</v>
      </c>
      <c r="AA29" s="20">
        <v>177.6</v>
      </c>
      <c r="AB29" s="48">
        <f t="shared" si="19"/>
        <v>0</v>
      </c>
      <c r="AC29" s="20">
        <v>189.9</v>
      </c>
      <c r="AD29" s="48">
        <f t="shared" si="20"/>
        <v>0</v>
      </c>
      <c r="AE29" s="20">
        <v>174.8</v>
      </c>
      <c r="AF29" s="48">
        <f t="shared" si="21"/>
        <v>0</v>
      </c>
      <c r="AG29" s="20">
        <v>198.4</v>
      </c>
      <c r="AH29" s="48">
        <f t="shared" si="22"/>
        <v>5.0428643469487802E-4</v>
      </c>
      <c r="AI29" s="20">
        <v>190</v>
      </c>
      <c r="AJ29" s="20">
        <v>187</v>
      </c>
      <c r="AK29" s="20">
        <v>189.6</v>
      </c>
      <c r="AL29" s="30">
        <f>'Handle missing value sheet only'!$C$1</f>
        <v>139.27096774193564</v>
      </c>
      <c r="AM29" s="20">
        <v>181.4</v>
      </c>
      <c r="AN29" s="20">
        <v>178.6</v>
      </c>
      <c r="AO29" s="20">
        <v>186.6</v>
      </c>
      <c r="AP29" s="20">
        <v>169</v>
      </c>
      <c r="AQ29" s="20">
        <v>172.8</v>
      </c>
      <c r="AR29" s="20">
        <v>178.5</v>
      </c>
      <c r="AS29" s="20">
        <v>180.7</v>
      </c>
      <c r="AT29" s="20">
        <v>177.9</v>
      </c>
      <c r="AU29" s="20">
        <v>178</v>
      </c>
      <c r="AV29" s="28">
        <f t="shared" si="1"/>
        <v>4405.9720876793726</v>
      </c>
      <c r="AW29" s="28">
        <f t="shared" si="2"/>
        <v>709.90000000000009</v>
      </c>
      <c r="AX29" s="28">
        <f t="shared" si="3"/>
        <v>377</v>
      </c>
      <c r="AY29" s="28">
        <f t="shared" si="4"/>
        <v>317.8709677419356</v>
      </c>
      <c r="AZ29" s="28">
        <f t="shared" si="5"/>
        <v>2464.2006156510029</v>
      </c>
      <c r="BA29" s="28">
        <f t="shared" si="6"/>
        <v>177.47500000000002</v>
      </c>
      <c r="BB29" s="28">
        <f t="shared" si="7"/>
        <v>158.9354838709678</v>
      </c>
      <c r="BC29" s="31">
        <v>176.01428571428573</v>
      </c>
      <c r="BD29" s="42">
        <f t="shared" si="8"/>
        <v>-5.8097312999272777E-3</v>
      </c>
    </row>
    <row r="30" spans="1:56" hidden="1" x14ac:dyDescent="0.3">
      <c r="A30" s="26" t="s">
        <v>2</v>
      </c>
      <c r="B30" s="21">
        <v>2023</v>
      </c>
      <c r="C30" s="21" t="s">
        <v>5</v>
      </c>
      <c r="D30" s="21" t="str">
        <f t="shared" si="0"/>
        <v>Mar-23</v>
      </c>
      <c r="E30" s="32">
        <v>44986</v>
      </c>
      <c r="F30" s="21" t="s">
        <v>85</v>
      </c>
      <c r="G30" s="21">
        <v>174.7</v>
      </c>
      <c r="H30" s="50">
        <f t="shared" si="9"/>
        <v>0</v>
      </c>
      <c r="I30" s="21">
        <v>212.2</v>
      </c>
      <c r="J30" s="50">
        <f t="shared" si="10"/>
        <v>0</v>
      </c>
      <c r="K30" s="21">
        <v>177.2</v>
      </c>
      <c r="L30" s="50">
        <f t="shared" si="11"/>
        <v>0</v>
      </c>
      <c r="M30" s="21">
        <v>177.9</v>
      </c>
      <c r="N30" s="50">
        <f t="shared" si="12"/>
        <v>0</v>
      </c>
      <c r="O30" s="21">
        <v>172.2</v>
      </c>
      <c r="P30" s="50">
        <f t="shared" si="13"/>
        <v>0</v>
      </c>
      <c r="Q30" s="21">
        <v>172.1</v>
      </c>
      <c r="R30" s="50">
        <f t="shared" si="14"/>
        <v>0</v>
      </c>
      <c r="S30" s="21">
        <v>175.9</v>
      </c>
      <c r="T30" s="50">
        <f t="shared" si="15"/>
        <v>5.6882821387937608E-4</v>
      </c>
      <c r="U30" s="21">
        <v>172.2</v>
      </c>
      <c r="V30" s="50">
        <f t="shared" si="16"/>
        <v>0</v>
      </c>
      <c r="W30" s="21">
        <v>121.9</v>
      </c>
      <c r="X30" s="50">
        <f t="shared" si="17"/>
        <v>0</v>
      </c>
      <c r="Y30" s="21">
        <v>204.8</v>
      </c>
      <c r="Z30" s="50">
        <f t="shared" si="18"/>
        <v>0</v>
      </c>
      <c r="AA30" s="21">
        <v>164.9</v>
      </c>
      <c r="AB30" s="50">
        <f t="shared" si="19"/>
        <v>0</v>
      </c>
      <c r="AC30" s="21">
        <v>196.6</v>
      </c>
      <c r="AD30" s="50">
        <f t="shared" si="20"/>
        <v>0</v>
      </c>
      <c r="AE30" s="21">
        <v>180.8</v>
      </c>
      <c r="AF30" s="50">
        <f t="shared" si="21"/>
        <v>5.5340343110139867E-4</v>
      </c>
      <c r="AG30" s="21">
        <v>202.7</v>
      </c>
      <c r="AH30" s="50">
        <f t="shared" si="22"/>
        <v>0</v>
      </c>
      <c r="AI30" s="21">
        <v>180.2</v>
      </c>
      <c r="AJ30" s="21">
        <v>167</v>
      </c>
      <c r="AK30" s="21">
        <v>178.2</v>
      </c>
      <c r="AL30" s="21">
        <v>173.5</v>
      </c>
      <c r="AM30" s="21">
        <v>182.6</v>
      </c>
      <c r="AN30" s="21">
        <v>169.2</v>
      </c>
      <c r="AO30" s="21">
        <v>180.8</v>
      </c>
      <c r="AP30" s="21">
        <v>159.80000000000001</v>
      </c>
      <c r="AQ30" s="21">
        <v>168.4</v>
      </c>
      <c r="AR30" s="21">
        <v>172.5</v>
      </c>
      <c r="AS30" s="21">
        <v>181.5</v>
      </c>
      <c r="AT30" s="21">
        <v>170</v>
      </c>
      <c r="AU30" s="21">
        <v>176.3</v>
      </c>
      <c r="AV30" s="28">
        <f t="shared" si="1"/>
        <v>4411.6011222316456</v>
      </c>
      <c r="AW30" s="28">
        <f t="shared" si="2"/>
        <v>692.4</v>
      </c>
      <c r="AX30" s="28">
        <f t="shared" si="3"/>
        <v>347.2</v>
      </c>
      <c r="AY30" s="28">
        <f t="shared" si="4"/>
        <v>342.7</v>
      </c>
      <c r="AZ30" s="28">
        <f t="shared" si="5"/>
        <v>2506.1011222316451</v>
      </c>
      <c r="BA30" s="28">
        <f t="shared" si="6"/>
        <v>173.1</v>
      </c>
      <c r="BB30" s="28">
        <f t="shared" si="7"/>
        <v>171.35</v>
      </c>
      <c r="BC30" s="29">
        <v>179.00714285714284</v>
      </c>
      <c r="BD30" s="42">
        <f t="shared" si="8"/>
        <v>1.700348997646273E-2</v>
      </c>
    </row>
    <row r="31" spans="1:56" hidden="1" x14ac:dyDescent="0.3">
      <c r="A31" s="27" t="s">
        <v>3</v>
      </c>
      <c r="B31" s="20">
        <v>2023</v>
      </c>
      <c r="C31" s="20" t="s">
        <v>5</v>
      </c>
      <c r="D31" s="21" t="str">
        <f t="shared" si="0"/>
        <v>Mar-23</v>
      </c>
      <c r="E31" s="33">
        <v>44986</v>
      </c>
      <c r="F31" s="20" t="s">
        <v>85</v>
      </c>
      <c r="G31" s="20">
        <v>174.4</v>
      </c>
      <c r="H31" s="48">
        <f t="shared" si="9"/>
        <v>0</v>
      </c>
      <c r="I31" s="20">
        <v>207.7</v>
      </c>
      <c r="J31" s="48">
        <f t="shared" si="10"/>
        <v>0</v>
      </c>
      <c r="K31" s="20">
        <v>175.2</v>
      </c>
      <c r="L31" s="48">
        <f t="shared" si="11"/>
        <v>0</v>
      </c>
      <c r="M31" s="20">
        <v>177.3</v>
      </c>
      <c r="N31" s="48">
        <f t="shared" si="12"/>
        <v>0</v>
      </c>
      <c r="O31" s="20">
        <v>179.2</v>
      </c>
      <c r="P31" s="48">
        <f t="shared" si="13"/>
        <v>-5.5772448410497898E-4</v>
      </c>
      <c r="Q31" s="20">
        <v>169.5</v>
      </c>
      <c r="R31" s="48">
        <f t="shared" si="14"/>
        <v>0</v>
      </c>
      <c r="S31" s="20">
        <v>152.80000000000001</v>
      </c>
      <c r="T31" s="48">
        <f t="shared" si="15"/>
        <v>6.5487884741337755E-4</v>
      </c>
      <c r="U31" s="20">
        <v>171.1</v>
      </c>
      <c r="V31" s="48">
        <f t="shared" si="16"/>
        <v>5.8479532163739363E-4</v>
      </c>
      <c r="W31" s="20">
        <v>120</v>
      </c>
      <c r="X31" s="48">
        <f t="shared" si="17"/>
        <v>0</v>
      </c>
      <c r="Y31" s="20">
        <v>209.7</v>
      </c>
      <c r="Z31" s="48">
        <f t="shared" si="18"/>
        <v>0</v>
      </c>
      <c r="AA31" s="20">
        <v>172.3</v>
      </c>
      <c r="AB31" s="48">
        <f t="shared" si="19"/>
        <v>0</v>
      </c>
      <c r="AC31" s="20">
        <v>193</v>
      </c>
      <c r="AD31" s="48">
        <f t="shared" si="20"/>
        <v>0</v>
      </c>
      <c r="AE31" s="20">
        <v>177</v>
      </c>
      <c r="AF31" s="48">
        <f t="shared" si="21"/>
        <v>0</v>
      </c>
      <c r="AG31" s="20">
        <v>199.5</v>
      </c>
      <c r="AH31" s="48">
        <f t="shared" si="22"/>
        <v>0</v>
      </c>
      <c r="AI31" s="20">
        <v>186.1</v>
      </c>
      <c r="AJ31" s="20">
        <v>178.7</v>
      </c>
      <c r="AK31" s="20">
        <v>185.1</v>
      </c>
      <c r="AL31" s="20">
        <v>173.5</v>
      </c>
      <c r="AM31" s="20">
        <v>181.9</v>
      </c>
      <c r="AN31" s="20">
        <v>174.2</v>
      </c>
      <c r="AO31" s="20">
        <v>184.4</v>
      </c>
      <c r="AP31" s="20">
        <v>164.2</v>
      </c>
      <c r="AQ31" s="20">
        <v>170.3</v>
      </c>
      <c r="AR31" s="20">
        <v>175</v>
      </c>
      <c r="AS31" s="20">
        <v>181</v>
      </c>
      <c r="AT31" s="20">
        <v>174.1</v>
      </c>
      <c r="AU31" s="20">
        <v>177.2</v>
      </c>
      <c r="AV31" s="28">
        <f t="shared" si="1"/>
        <v>4422.1006819496843</v>
      </c>
      <c r="AW31" s="28">
        <f t="shared" si="2"/>
        <v>700.40000000000009</v>
      </c>
      <c r="AX31" s="28">
        <f t="shared" si="3"/>
        <v>364.79999999999995</v>
      </c>
      <c r="AY31" s="28">
        <f t="shared" si="4"/>
        <v>347.7</v>
      </c>
      <c r="AZ31" s="28">
        <f t="shared" si="5"/>
        <v>2478.7006819496846</v>
      </c>
      <c r="BA31" s="28">
        <f t="shared" si="6"/>
        <v>175.10000000000002</v>
      </c>
      <c r="BB31" s="28">
        <f t="shared" si="7"/>
        <v>173.85</v>
      </c>
      <c r="BC31" s="31">
        <v>177.04999999999998</v>
      </c>
      <c r="BD31" s="42">
        <f t="shared" si="8"/>
        <v>-1.0933322692629975E-2</v>
      </c>
    </row>
    <row r="32" spans="1:56" x14ac:dyDescent="0.3">
      <c r="A32" s="26" t="s">
        <v>0</v>
      </c>
      <c r="B32" s="21">
        <v>2023</v>
      </c>
      <c r="C32" s="21" t="s">
        <v>6</v>
      </c>
      <c r="D32" s="21" t="str">
        <f t="shared" si="0"/>
        <v>Apr-23</v>
      </c>
      <c r="E32" s="32">
        <v>45017</v>
      </c>
      <c r="F32" s="21" t="s">
        <v>85</v>
      </c>
      <c r="G32" s="21">
        <v>173.3</v>
      </c>
      <c r="H32" s="48">
        <f t="shared" si="9"/>
        <v>-5.737234652897303E-3</v>
      </c>
      <c r="I32" s="21">
        <v>206.9</v>
      </c>
      <c r="J32" s="48">
        <f t="shared" si="10"/>
        <v>8.2846003898636306E-3</v>
      </c>
      <c r="K32" s="21">
        <v>167.9</v>
      </c>
      <c r="L32" s="49">
        <f t="shared" si="11"/>
        <v>-3.4502587694077054E-2</v>
      </c>
      <c r="M32" s="21">
        <v>178.2</v>
      </c>
      <c r="N32" s="48">
        <f t="shared" si="12"/>
        <v>6.7796610169490882E-3</v>
      </c>
      <c r="O32" s="21">
        <v>178.5</v>
      </c>
      <c r="P32" s="48">
        <f t="shared" si="13"/>
        <v>-2.61865793780688E-2</v>
      </c>
      <c r="Q32" s="21">
        <v>173.7</v>
      </c>
      <c r="R32" s="48">
        <f t="shared" si="14"/>
        <v>3.8875598086124404E-2</v>
      </c>
      <c r="S32" s="21">
        <v>142.80000000000001</v>
      </c>
      <c r="T32" s="48">
        <f t="shared" si="15"/>
        <v>1.3484740951029138E-2</v>
      </c>
      <c r="U32" s="21">
        <v>172.8</v>
      </c>
      <c r="V32" s="47">
        <f t="shared" si="16"/>
        <v>1.3489736070381298E-2</v>
      </c>
      <c r="W32" s="21">
        <v>120.4</v>
      </c>
      <c r="X32" s="48">
        <f t="shared" si="17"/>
        <v>1.0915197313182296E-2</v>
      </c>
      <c r="Y32" s="21">
        <v>215.5</v>
      </c>
      <c r="Z32" s="48">
        <f t="shared" si="18"/>
        <v>1.6030174446016059E-2</v>
      </c>
      <c r="AA32" s="21">
        <v>178.2</v>
      </c>
      <c r="AB32" s="48">
        <f t="shared" si="19"/>
        <v>3.3783783783783465E-3</v>
      </c>
      <c r="AC32" s="21">
        <v>190.5</v>
      </c>
      <c r="AD32" s="48">
        <f t="shared" si="20"/>
        <v>3.1595576619273002E-3</v>
      </c>
      <c r="AE32" s="21">
        <v>175.5</v>
      </c>
      <c r="AF32" s="48">
        <f t="shared" si="21"/>
        <v>4.0045766590388367E-3</v>
      </c>
      <c r="AG32" s="21">
        <v>199.5</v>
      </c>
      <c r="AH32" s="48">
        <f t="shared" si="22"/>
        <v>5.5443548387096482E-3</v>
      </c>
      <c r="AI32" s="21">
        <v>190.7</v>
      </c>
      <c r="AJ32" s="21">
        <v>187.3</v>
      </c>
      <c r="AK32" s="21">
        <v>190.2</v>
      </c>
      <c r="AL32" s="28">
        <f>'Handle missing value sheet only'!$C$1</f>
        <v>139.27096774193564</v>
      </c>
      <c r="AM32" s="21">
        <v>181.5</v>
      </c>
      <c r="AN32" s="21">
        <v>179.1</v>
      </c>
      <c r="AO32" s="21">
        <v>187.2</v>
      </c>
      <c r="AP32" s="21">
        <v>169.4</v>
      </c>
      <c r="AQ32" s="21">
        <v>173.2</v>
      </c>
      <c r="AR32" s="21">
        <v>179.4</v>
      </c>
      <c r="AS32" s="21">
        <v>183.8</v>
      </c>
      <c r="AT32" s="21">
        <v>178.9</v>
      </c>
      <c r="AU32" s="21">
        <v>178.8</v>
      </c>
      <c r="AV32" s="28">
        <f t="shared" si="1"/>
        <v>4423.5284879160217</v>
      </c>
      <c r="AW32" s="28">
        <f t="shared" si="2"/>
        <v>715.3</v>
      </c>
      <c r="AX32" s="28">
        <f t="shared" si="3"/>
        <v>378</v>
      </c>
      <c r="AY32" s="28">
        <f t="shared" si="4"/>
        <v>318.3709677419356</v>
      </c>
      <c r="AZ32" s="28">
        <f t="shared" si="5"/>
        <v>2473.7519758192479</v>
      </c>
      <c r="BA32" s="28">
        <f t="shared" si="6"/>
        <v>178.82499999999999</v>
      </c>
      <c r="BB32" s="28">
        <f t="shared" si="7"/>
        <v>159.1854838709678</v>
      </c>
      <c r="BC32" s="29">
        <v>176.69285714285712</v>
      </c>
      <c r="BD32" s="42">
        <f t="shared" si="8"/>
        <v>-2.0171864283697332E-3</v>
      </c>
    </row>
    <row r="33" spans="1:56" hidden="1" x14ac:dyDescent="0.3">
      <c r="A33" s="27" t="s">
        <v>2</v>
      </c>
      <c r="B33" s="20">
        <v>2023</v>
      </c>
      <c r="C33" s="20" t="s">
        <v>6</v>
      </c>
      <c r="D33" s="21" t="str">
        <f t="shared" si="0"/>
        <v>Apr-23</v>
      </c>
      <c r="E33" s="33">
        <v>45017</v>
      </c>
      <c r="F33" s="20" t="s">
        <v>85</v>
      </c>
      <c r="G33" s="20">
        <v>174.8</v>
      </c>
      <c r="H33" s="50">
        <f t="shared" si="9"/>
        <v>5.7240984544947189E-4</v>
      </c>
      <c r="I33" s="20">
        <v>213.7</v>
      </c>
      <c r="J33" s="50">
        <f t="shared" si="10"/>
        <v>7.068803016022621E-3</v>
      </c>
      <c r="K33" s="20">
        <v>172.4</v>
      </c>
      <c r="L33" s="50">
        <f t="shared" si="11"/>
        <v>-2.7088036117381396E-2</v>
      </c>
      <c r="M33" s="20">
        <v>178.8</v>
      </c>
      <c r="N33" s="50">
        <f t="shared" si="12"/>
        <v>5.0590219224283623E-3</v>
      </c>
      <c r="O33" s="20">
        <v>168.7</v>
      </c>
      <c r="P33" s="50">
        <f t="shared" si="13"/>
        <v>-2.0325203252032523E-2</v>
      </c>
      <c r="Q33" s="20">
        <v>179.2</v>
      </c>
      <c r="R33" s="50">
        <f t="shared" si="14"/>
        <v>4.1255084253341047E-2</v>
      </c>
      <c r="S33" s="20">
        <v>179.9</v>
      </c>
      <c r="T33" s="50">
        <f t="shared" si="15"/>
        <v>2.2740193291642979E-2</v>
      </c>
      <c r="U33" s="20">
        <v>174.7</v>
      </c>
      <c r="V33" s="50">
        <f t="shared" si="16"/>
        <v>1.4518002322880372E-2</v>
      </c>
      <c r="W33" s="20">
        <v>123.1</v>
      </c>
      <c r="X33" s="50">
        <f t="shared" si="17"/>
        <v>9.8441345365052387E-3</v>
      </c>
      <c r="Y33" s="20">
        <v>207.8</v>
      </c>
      <c r="Z33" s="50">
        <f t="shared" si="18"/>
        <v>1.46484375E-2</v>
      </c>
      <c r="AA33" s="20">
        <v>165.5</v>
      </c>
      <c r="AB33" s="50">
        <f t="shared" si="19"/>
        <v>3.6385688295936585E-3</v>
      </c>
      <c r="AC33" s="20">
        <v>197</v>
      </c>
      <c r="AD33" s="50">
        <f t="shared" si="20"/>
        <v>2.034587995930853E-3</v>
      </c>
      <c r="AE33" s="20">
        <v>182.1</v>
      </c>
      <c r="AF33" s="50">
        <f t="shared" si="21"/>
        <v>7.1902654867255691E-3</v>
      </c>
      <c r="AG33" s="20">
        <v>203.5</v>
      </c>
      <c r="AH33" s="50">
        <f t="shared" si="22"/>
        <v>3.9467192895905846E-3</v>
      </c>
      <c r="AI33" s="20">
        <v>181</v>
      </c>
      <c r="AJ33" s="20">
        <v>167.7</v>
      </c>
      <c r="AK33" s="20">
        <v>178.9</v>
      </c>
      <c r="AL33" s="20">
        <v>175.2</v>
      </c>
      <c r="AM33" s="20">
        <v>182.1</v>
      </c>
      <c r="AN33" s="20">
        <v>169.6</v>
      </c>
      <c r="AO33" s="20">
        <v>181.5</v>
      </c>
      <c r="AP33" s="20">
        <v>160.1</v>
      </c>
      <c r="AQ33" s="20">
        <v>168.8</v>
      </c>
      <c r="AR33" s="20">
        <v>174.2</v>
      </c>
      <c r="AS33" s="20">
        <v>184.4</v>
      </c>
      <c r="AT33" s="20">
        <v>170.9</v>
      </c>
      <c r="AU33" s="20">
        <v>177.4</v>
      </c>
      <c r="AV33" s="28">
        <f t="shared" si="1"/>
        <v>4436.7851029889216</v>
      </c>
      <c r="AW33" s="28">
        <f t="shared" si="2"/>
        <v>698.3</v>
      </c>
      <c r="AX33" s="28">
        <f t="shared" si="3"/>
        <v>348.7</v>
      </c>
      <c r="AY33" s="28">
        <f t="shared" si="4"/>
        <v>344.79999999999995</v>
      </c>
      <c r="AZ33" s="28">
        <f t="shared" si="5"/>
        <v>2521.2811562696311</v>
      </c>
      <c r="BA33" s="28">
        <f t="shared" si="6"/>
        <v>174.57499999999999</v>
      </c>
      <c r="BB33" s="28">
        <f t="shared" si="7"/>
        <v>172.39999999999998</v>
      </c>
      <c r="BC33" s="31">
        <v>180.08571428571432</v>
      </c>
      <c r="BD33" s="42">
        <f t="shared" si="8"/>
        <v>1.9202005093584811E-2</v>
      </c>
    </row>
    <row r="34" spans="1:56" hidden="1" x14ac:dyDescent="0.3">
      <c r="A34" s="26" t="s">
        <v>3</v>
      </c>
      <c r="B34" s="21">
        <v>2023</v>
      </c>
      <c r="C34" s="21" t="s">
        <v>6</v>
      </c>
      <c r="D34" s="21" t="str">
        <f t="shared" si="0"/>
        <v>Apr-23</v>
      </c>
      <c r="E34" s="32">
        <v>45017</v>
      </c>
      <c r="F34" s="21" t="s">
        <v>85</v>
      </c>
      <c r="G34" s="21">
        <v>173.8</v>
      </c>
      <c r="H34" s="48">
        <f t="shared" si="9"/>
        <v>-3.4403669724770315E-3</v>
      </c>
      <c r="I34" s="21">
        <v>209.3</v>
      </c>
      <c r="J34" s="48">
        <f t="shared" si="10"/>
        <v>7.7034183919115207E-3</v>
      </c>
      <c r="K34" s="21">
        <v>169.6</v>
      </c>
      <c r="L34" s="48">
        <f t="shared" si="11"/>
        <v>-3.1963470319634674E-2</v>
      </c>
      <c r="M34" s="21">
        <v>178.4</v>
      </c>
      <c r="N34" s="48">
        <f t="shared" si="12"/>
        <v>6.2041737168640398E-3</v>
      </c>
      <c r="O34" s="21">
        <v>174.9</v>
      </c>
      <c r="P34" s="48">
        <f t="shared" si="13"/>
        <v>-2.3995535714285622E-2</v>
      </c>
      <c r="Q34" s="21">
        <v>176.3</v>
      </c>
      <c r="R34" s="48">
        <f t="shared" si="14"/>
        <v>4.0117994100295054E-2</v>
      </c>
      <c r="S34" s="21">
        <v>155.4</v>
      </c>
      <c r="T34" s="48">
        <f t="shared" si="15"/>
        <v>1.7015706806282685E-2</v>
      </c>
      <c r="U34" s="21">
        <v>173.4</v>
      </c>
      <c r="V34" s="48">
        <f t="shared" si="16"/>
        <v>1.3442431326709593E-2</v>
      </c>
      <c r="W34" s="21">
        <v>121.3</v>
      </c>
      <c r="X34" s="48">
        <f t="shared" si="17"/>
        <v>1.0833333333333309E-2</v>
      </c>
      <c r="Y34" s="21">
        <v>212.9</v>
      </c>
      <c r="Z34" s="48">
        <f t="shared" si="18"/>
        <v>1.5259895088221351E-2</v>
      </c>
      <c r="AA34" s="21">
        <v>172.9</v>
      </c>
      <c r="AB34" s="48">
        <f t="shared" si="19"/>
        <v>3.4822983168891135E-3</v>
      </c>
      <c r="AC34" s="21">
        <v>193.5</v>
      </c>
      <c r="AD34" s="48">
        <f t="shared" si="20"/>
        <v>2.5906735751295338E-3</v>
      </c>
      <c r="AE34" s="21">
        <v>177.9</v>
      </c>
      <c r="AF34" s="48">
        <f t="shared" si="21"/>
        <v>5.0847457627118961E-3</v>
      </c>
      <c r="AG34" s="21">
        <v>200.6</v>
      </c>
      <c r="AH34" s="48">
        <f t="shared" si="22"/>
        <v>5.5137844611528536E-3</v>
      </c>
      <c r="AI34" s="21">
        <v>186.9</v>
      </c>
      <c r="AJ34" s="21">
        <v>179.2</v>
      </c>
      <c r="AK34" s="21">
        <v>185.7</v>
      </c>
      <c r="AL34" s="21">
        <v>175.2</v>
      </c>
      <c r="AM34" s="21">
        <v>181.7</v>
      </c>
      <c r="AN34" s="21">
        <v>174.6</v>
      </c>
      <c r="AO34" s="21">
        <v>185</v>
      </c>
      <c r="AP34" s="21">
        <v>164.5</v>
      </c>
      <c r="AQ34" s="21">
        <v>170.7</v>
      </c>
      <c r="AR34" s="21">
        <v>176.4</v>
      </c>
      <c r="AS34" s="21">
        <v>184</v>
      </c>
      <c r="AT34" s="21">
        <v>175</v>
      </c>
      <c r="AU34" s="21">
        <v>178.1</v>
      </c>
      <c r="AV34" s="28">
        <f t="shared" si="1"/>
        <v>4443.4678490818742</v>
      </c>
      <c r="AW34" s="28">
        <f t="shared" si="2"/>
        <v>706.09999999999991</v>
      </c>
      <c r="AX34" s="28">
        <f t="shared" si="3"/>
        <v>366.1</v>
      </c>
      <c r="AY34" s="28">
        <f t="shared" si="4"/>
        <v>349.79999999999995</v>
      </c>
      <c r="AZ34" s="28">
        <f t="shared" si="5"/>
        <v>2490.2623352974119</v>
      </c>
      <c r="BA34" s="28">
        <f t="shared" si="6"/>
        <v>176.52499999999998</v>
      </c>
      <c r="BB34" s="28">
        <f t="shared" si="7"/>
        <v>174.89999999999998</v>
      </c>
      <c r="BC34" s="29">
        <v>177.87142857142859</v>
      </c>
      <c r="BD34" s="42">
        <f t="shared" si="8"/>
        <v>-1.2295732191020193E-2</v>
      </c>
    </row>
    <row r="35" spans="1:56" x14ac:dyDescent="0.3">
      <c r="A35" s="27" t="s">
        <v>0</v>
      </c>
      <c r="B35" s="20">
        <v>2023</v>
      </c>
      <c r="C35" s="20" t="s">
        <v>7</v>
      </c>
      <c r="D35" s="21" t="str">
        <f t="shared" si="0"/>
        <v>May-23</v>
      </c>
      <c r="E35" s="33">
        <v>45047</v>
      </c>
      <c r="F35" s="20" t="s">
        <v>85</v>
      </c>
      <c r="G35" s="20">
        <v>173.2</v>
      </c>
      <c r="H35" s="48">
        <f t="shared" si="9"/>
        <v>-5.7703404500878666E-4</v>
      </c>
      <c r="I35" s="20">
        <v>211.5</v>
      </c>
      <c r="J35" s="48">
        <f t="shared" si="10"/>
        <v>2.2232962783953574E-2</v>
      </c>
      <c r="K35" s="20">
        <v>171</v>
      </c>
      <c r="L35" s="49">
        <f t="shared" si="11"/>
        <v>1.8463371054198895E-2</v>
      </c>
      <c r="M35" s="20">
        <v>179.6</v>
      </c>
      <c r="N35" s="48">
        <f t="shared" si="12"/>
        <v>7.8563411896745549E-3</v>
      </c>
      <c r="O35" s="20">
        <v>173.3</v>
      </c>
      <c r="P35" s="48">
        <f t="shared" si="13"/>
        <v>-2.913165266106436E-2</v>
      </c>
      <c r="Q35" s="20">
        <v>169</v>
      </c>
      <c r="R35" s="48">
        <f t="shared" si="14"/>
        <v>-2.7058146229130622E-2</v>
      </c>
      <c r="S35" s="20">
        <v>148.69999999999999</v>
      </c>
      <c r="T35" s="48">
        <f t="shared" si="15"/>
        <v>4.1316526610644097E-2</v>
      </c>
      <c r="U35" s="20">
        <v>174.9</v>
      </c>
      <c r="V35" s="47">
        <f t="shared" si="16"/>
        <v>1.2152777777777743E-2</v>
      </c>
      <c r="W35" s="20">
        <v>121.9</v>
      </c>
      <c r="X35" s="48">
        <f t="shared" si="17"/>
        <v>1.2458471760797342E-2</v>
      </c>
      <c r="Y35" s="20">
        <v>221</v>
      </c>
      <c r="Z35" s="48">
        <f t="shared" si="18"/>
        <v>2.5522041763341066E-2</v>
      </c>
      <c r="AA35" s="20">
        <v>178.7</v>
      </c>
      <c r="AB35" s="48">
        <f t="shared" si="19"/>
        <v>2.8058361391694727E-3</v>
      </c>
      <c r="AC35" s="20">
        <v>191.1</v>
      </c>
      <c r="AD35" s="48">
        <f t="shared" si="20"/>
        <v>3.1496062992125685E-3</v>
      </c>
      <c r="AE35" s="20">
        <v>176.8</v>
      </c>
      <c r="AF35" s="48">
        <f t="shared" si="21"/>
        <v>7.4074074074074719E-3</v>
      </c>
      <c r="AG35" s="20">
        <v>199.9</v>
      </c>
      <c r="AH35" s="48">
        <f t="shared" si="22"/>
        <v>2.0050125313283494E-3</v>
      </c>
      <c r="AI35" s="20">
        <v>191.2</v>
      </c>
      <c r="AJ35" s="20">
        <v>187.9</v>
      </c>
      <c r="AK35" s="20">
        <v>190.8</v>
      </c>
      <c r="AL35" s="30">
        <f>'Handle missing value sheet only'!$C$1</f>
        <v>139.27096774193564</v>
      </c>
      <c r="AM35" s="20">
        <v>182.5</v>
      </c>
      <c r="AN35" s="20">
        <v>179.8</v>
      </c>
      <c r="AO35" s="20">
        <v>187.8</v>
      </c>
      <c r="AP35" s="20">
        <v>169.7</v>
      </c>
      <c r="AQ35" s="20">
        <v>173.8</v>
      </c>
      <c r="AR35" s="20">
        <v>180.3</v>
      </c>
      <c r="AS35" s="20">
        <v>184.9</v>
      </c>
      <c r="AT35" s="20">
        <v>179.5</v>
      </c>
      <c r="AU35" s="20">
        <v>179.8</v>
      </c>
      <c r="AV35" s="28">
        <f t="shared" si="1"/>
        <v>4447.3695712643175</v>
      </c>
      <c r="AW35" s="28">
        <f t="shared" si="2"/>
        <v>718.5</v>
      </c>
      <c r="AX35" s="28">
        <f t="shared" si="3"/>
        <v>379.1</v>
      </c>
      <c r="AY35" s="28">
        <f t="shared" si="4"/>
        <v>319.07096774193565</v>
      </c>
      <c r="AZ35" s="28">
        <f t="shared" si="5"/>
        <v>2490.6965985098518</v>
      </c>
      <c r="BA35" s="28">
        <f t="shared" si="6"/>
        <v>179.625</v>
      </c>
      <c r="BB35" s="28">
        <f t="shared" si="7"/>
        <v>159.53548387096782</v>
      </c>
      <c r="BC35" s="31">
        <v>177.90000000000006</v>
      </c>
      <c r="BD35" s="42">
        <f t="shared" si="8"/>
        <v>1.6062966829995408E-4</v>
      </c>
    </row>
    <row r="36" spans="1:56" hidden="1" x14ac:dyDescent="0.3">
      <c r="A36" s="26" t="s">
        <v>2</v>
      </c>
      <c r="B36" s="21">
        <v>2023</v>
      </c>
      <c r="C36" s="21" t="s">
        <v>7</v>
      </c>
      <c r="D36" s="21" t="str">
        <f t="shared" si="0"/>
        <v>May-23</v>
      </c>
      <c r="E36" s="32">
        <v>45047</v>
      </c>
      <c r="F36" s="21" t="s">
        <v>85</v>
      </c>
      <c r="G36" s="21">
        <v>174.7</v>
      </c>
      <c r="H36" s="50">
        <f t="shared" si="9"/>
        <v>-5.7208237986283023E-4</v>
      </c>
      <c r="I36" s="21">
        <v>219.4</v>
      </c>
      <c r="J36" s="50">
        <f t="shared" si="10"/>
        <v>2.6672905942910705E-2</v>
      </c>
      <c r="K36" s="21">
        <v>176.7</v>
      </c>
      <c r="L36" s="50">
        <f t="shared" si="11"/>
        <v>2.4941995359628672E-2</v>
      </c>
      <c r="M36" s="21">
        <v>179.4</v>
      </c>
      <c r="N36" s="50">
        <f t="shared" si="12"/>
        <v>3.355704697986545E-3</v>
      </c>
      <c r="O36" s="21">
        <v>164.4</v>
      </c>
      <c r="P36" s="50">
        <f t="shared" si="13"/>
        <v>-2.5489033787788874E-2</v>
      </c>
      <c r="Q36" s="21">
        <v>175.8</v>
      </c>
      <c r="R36" s="50">
        <f t="shared" si="14"/>
        <v>-1.8973214285714159E-2</v>
      </c>
      <c r="S36" s="21">
        <v>185</v>
      </c>
      <c r="T36" s="50">
        <f t="shared" si="15"/>
        <v>2.8349082823790964E-2</v>
      </c>
      <c r="U36" s="21">
        <v>176.9</v>
      </c>
      <c r="V36" s="50">
        <f t="shared" si="16"/>
        <v>1.2593016599885617E-2</v>
      </c>
      <c r="W36" s="21">
        <v>124.2</v>
      </c>
      <c r="X36" s="50">
        <f t="shared" si="17"/>
        <v>8.9358245329001513E-3</v>
      </c>
      <c r="Y36" s="21">
        <v>211.9</v>
      </c>
      <c r="Z36" s="50">
        <f t="shared" si="18"/>
        <v>1.9730510105871003E-2</v>
      </c>
      <c r="AA36" s="21">
        <v>165.9</v>
      </c>
      <c r="AB36" s="50">
        <f t="shared" si="19"/>
        <v>2.4169184290030554E-3</v>
      </c>
      <c r="AC36" s="21">
        <v>197.7</v>
      </c>
      <c r="AD36" s="50">
        <f t="shared" si="20"/>
        <v>3.5532994923857292E-3</v>
      </c>
      <c r="AE36" s="21">
        <v>183.1</v>
      </c>
      <c r="AF36" s="50">
        <f t="shared" si="21"/>
        <v>5.4914881933003845E-3</v>
      </c>
      <c r="AG36" s="21">
        <v>204.2</v>
      </c>
      <c r="AH36" s="50">
        <f t="shared" si="22"/>
        <v>3.4398034398033838E-3</v>
      </c>
      <c r="AI36" s="21">
        <v>181.3</v>
      </c>
      <c r="AJ36" s="21">
        <v>168.1</v>
      </c>
      <c r="AK36" s="21">
        <v>179.3</v>
      </c>
      <c r="AL36" s="21">
        <v>175.6</v>
      </c>
      <c r="AM36" s="21">
        <v>183.4</v>
      </c>
      <c r="AN36" s="21">
        <v>170.1</v>
      </c>
      <c r="AO36" s="21">
        <v>182.2</v>
      </c>
      <c r="AP36" s="21">
        <v>160.4</v>
      </c>
      <c r="AQ36" s="21">
        <v>169.2</v>
      </c>
      <c r="AR36" s="21">
        <v>174.8</v>
      </c>
      <c r="AS36" s="21">
        <v>185.6</v>
      </c>
      <c r="AT36" s="21">
        <v>171.6</v>
      </c>
      <c r="AU36" s="21">
        <v>178.2</v>
      </c>
      <c r="AV36" s="28">
        <f t="shared" si="1"/>
        <v>4461.694446219165</v>
      </c>
      <c r="AW36" s="28">
        <f t="shared" si="2"/>
        <v>701.2</v>
      </c>
      <c r="AX36" s="28">
        <f t="shared" si="3"/>
        <v>349.4</v>
      </c>
      <c r="AY36" s="28">
        <f t="shared" si="4"/>
        <v>345.7</v>
      </c>
      <c r="AZ36" s="28">
        <f t="shared" si="5"/>
        <v>2539.3910064157244</v>
      </c>
      <c r="BA36" s="28">
        <f t="shared" si="6"/>
        <v>175.3</v>
      </c>
      <c r="BB36" s="28">
        <f t="shared" si="7"/>
        <v>172.85</v>
      </c>
      <c r="BC36" s="29">
        <v>181.37857142857141</v>
      </c>
      <c r="BD36" s="42">
        <f t="shared" si="8"/>
        <v>1.9553521239861388E-2</v>
      </c>
    </row>
    <row r="37" spans="1:56" hidden="1" x14ac:dyDescent="0.3">
      <c r="A37" s="27" t="s">
        <v>3</v>
      </c>
      <c r="B37" s="20">
        <v>2023</v>
      </c>
      <c r="C37" s="20" t="s">
        <v>7</v>
      </c>
      <c r="D37" s="21" t="str">
        <f t="shared" si="0"/>
        <v>May-23</v>
      </c>
      <c r="E37" s="33">
        <v>45047</v>
      </c>
      <c r="F37" s="20" t="s">
        <v>85</v>
      </c>
      <c r="G37" s="20">
        <v>173.7</v>
      </c>
      <c r="H37" s="48">
        <f t="shared" si="9"/>
        <v>-5.7537399309564284E-4</v>
      </c>
      <c r="I37" s="20">
        <v>214.3</v>
      </c>
      <c r="J37" s="48">
        <f t="shared" si="10"/>
        <v>2.3889154323936932E-2</v>
      </c>
      <c r="K37" s="20">
        <v>173.2</v>
      </c>
      <c r="L37" s="48">
        <f t="shared" si="11"/>
        <v>2.122641509433959E-2</v>
      </c>
      <c r="M37" s="20">
        <v>179.5</v>
      </c>
      <c r="N37" s="48">
        <f t="shared" si="12"/>
        <v>6.1659192825111791E-3</v>
      </c>
      <c r="O37" s="20">
        <v>170</v>
      </c>
      <c r="P37" s="48">
        <f t="shared" si="13"/>
        <v>-2.801600914808465E-2</v>
      </c>
      <c r="Q37" s="20">
        <v>172.2</v>
      </c>
      <c r="R37" s="48">
        <f t="shared" si="14"/>
        <v>-2.32558139534885E-2</v>
      </c>
      <c r="S37" s="20">
        <v>161</v>
      </c>
      <c r="T37" s="48">
        <f t="shared" si="15"/>
        <v>3.6036036036036001E-2</v>
      </c>
      <c r="U37" s="20">
        <v>175.6</v>
      </c>
      <c r="V37" s="48">
        <f t="shared" si="16"/>
        <v>1.2687427912341341E-2</v>
      </c>
      <c r="W37" s="20">
        <v>122.7</v>
      </c>
      <c r="X37" s="48">
        <f t="shared" si="17"/>
        <v>1.1541632316570533E-2</v>
      </c>
      <c r="Y37" s="20">
        <v>218</v>
      </c>
      <c r="Z37" s="48">
        <f t="shared" si="18"/>
        <v>2.3954908407703118E-2</v>
      </c>
      <c r="AA37" s="20">
        <v>173.4</v>
      </c>
      <c r="AB37" s="48">
        <f t="shared" si="19"/>
        <v>2.8918449971081549E-3</v>
      </c>
      <c r="AC37" s="20">
        <v>194.2</v>
      </c>
      <c r="AD37" s="48">
        <f t="shared" si="20"/>
        <v>3.6175710594314658E-3</v>
      </c>
      <c r="AE37" s="20">
        <v>179.1</v>
      </c>
      <c r="AF37" s="48">
        <f t="shared" si="21"/>
        <v>6.7453625632377095E-3</v>
      </c>
      <c r="AG37" s="20">
        <v>201</v>
      </c>
      <c r="AH37" s="48">
        <f t="shared" si="22"/>
        <v>1.9940179461615439E-3</v>
      </c>
      <c r="AI37" s="20">
        <v>187.3</v>
      </c>
      <c r="AJ37" s="20">
        <v>179.7</v>
      </c>
      <c r="AK37" s="20">
        <v>186.2</v>
      </c>
      <c r="AL37" s="20">
        <v>175.6</v>
      </c>
      <c r="AM37" s="20">
        <v>182.8</v>
      </c>
      <c r="AN37" s="20">
        <v>175.2</v>
      </c>
      <c r="AO37" s="20">
        <v>185.7</v>
      </c>
      <c r="AP37" s="20">
        <v>164.8</v>
      </c>
      <c r="AQ37" s="20">
        <v>171.2</v>
      </c>
      <c r="AR37" s="20">
        <v>177.1</v>
      </c>
      <c r="AS37" s="20">
        <v>185.2</v>
      </c>
      <c r="AT37" s="20">
        <v>175.7</v>
      </c>
      <c r="AU37" s="20">
        <v>179.1</v>
      </c>
      <c r="AV37" s="28">
        <f t="shared" si="1"/>
        <v>4468.2989030928438</v>
      </c>
      <c r="AW37" s="28">
        <f t="shared" si="2"/>
        <v>709.2</v>
      </c>
      <c r="AX37" s="28">
        <f t="shared" si="3"/>
        <v>367</v>
      </c>
      <c r="AY37" s="28">
        <f t="shared" si="4"/>
        <v>350.79999999999995</v>
      </c>
      <c r="AZ37" s="28">
        <f t="shared" si="5"/>
        <v>2507.9969090748982</v>
      </c>
      <c r="BA37" s="28">
        <f t="shared" si="6"/>
        <v>177.3</v>
      </c>
      <c r="BB37" s="28">
        <f t="shared" si="7"/>
        <v>175.39999999999998</v>
      </c>
      <c r="BC37" s="31">
        <v>179.1357142857143</v>
      </c>
      <c r="BD37" s="42">
        <f t="shared" si="8"/>
        <v>-1.2365612570393206E-2</v>
      </c>
    </row>
    <row r="40" spans="1:56" x14ac:dyDescent="0.3">
      <c r="G40" s="39"/>
      <c r="H40" s="44"/>
      <c r="J40" s="44"/>
      <c r="N40" t="s">
        <v>162</v>
      </c>
      <c r="O40" t="s">
        <v>165</v>
      </c>
      <c r="P40" t="s">
        <v>163</v>
      </c>
      <c r="Q40" t="s">
        <v>164</v>
      </c>
    </row>
    <row r="41" spans="1:56" x14ac:dyDescent="0.3">
      <c r="A41" s="34" t="s">
        <v>32</v>
      </c>
      <c r="B41" t="s">
        <v>3</v>
      </c>
      <c r="N41" s="11" t="s">
        <v>37</v>
      </c>
      <c r="O41" s="39">
        <f>SUM(H5:H35)</f>
        <v>0.34066704419856786</v>
      </c>
      <c r="P41" s="44">
        <f>SUM(H6:H36)</f>
        <v>0.3309922309994594</v>
      </c>
      <c r="Q41" s="44">
        <f>SUM(H7:H37)</f>
        <v>0.3189882855777923</v>
      </c>
      <c r="AC41" s="45"/>
      <c r="AD41" s="45"/>
    </row>
    <row r="42" spans="1:56" x14ac:dyDescent="0.3">
      <c r="L42" s="44"/>
      <c r="N42" s="11" t="s">
        <v>38</v>
      </c>
      <c r="O42" s="44">
        <f>SUM(J5:J35)</f>
        <v>-0.11422773633376847</v>
      </c>
      <c r="P42" s="44">
        <f>SUM(J6:J36)</f>
        <v>-5.8088900372441687E-2</v>
      </c>
      <c r="Q42" s="44">
        <f>SUM(J7:J37)</f>
        <v>-5.999208895416077E-3</v>
      </c>
      <c r="S42" s="14"/>
      <c r="T42" s="46"/>
    </row>
    <row r="43" spans="1:56" x14ac:dyDescent="0.3">
      <c r="A43" s="34" t="s">
        <v>103</v>
      </c>
      <c r="N43" s="11" t="s">
        <v>39</v>
      </c>
      <c r="O43" s="44">
        <f>SUM(L5:L35)</f>
        <v>2.8960683865628993E-2</v>
      </c>
      <c r="P43" s="44">
        <f>SUM(L6:L36)</f>
        <v>2.6190415074314147E-2</v>
      </c>
      <c r="Q43" s="44">
        <f>SUM(L7:L37)</f>
        <v>2.5426089427913145E-2</v>
      </c>
      <c r="S43" s="14"/>
      <c r="T43" s="46"/>
    </row>
    <row r="44" spans="1:56" x14ac:dyDescent="0.3">
      <c r="A44" s="34" t="s">
        <v>106</v>
      </c>
      <c r="B44" t="s">
        <v>100</v>
      </c>
      <c r="N44" s="11" t="s">
        <v>40</v>
      </c>
      <c r="O44" s="44">
        <f>SUM(N5:N35)</f>
        <v>0.228534608499881</v>
      </c>
      <c r="P44" s="44">
        <f>SUM(N6:N36)</f>
        <v>0.22644895890524355</v>
      </c>
      <c r="Q44" s="44">
        <f>SUM(N7:N37)</f>
        <v>0.22840814741852405</v>
      </c>
      <c r="S44" s="14"/>
      <c r="T44" s="46"/>
    </row>
    <row r="45" spans="1:56" x14ac:dyDescent="0.3">
      <c r="A45" t="s">
        <v>129</v>
      </c>
      <c r="B45" s="25">
        <v>175.44285714285715</v>
      </c>
      <c r="N45" s="11" t="s">
        <v>41</v>
      </c>
      <c r="O45" s="44">
        <f>SUM(P5:P35)</f>
        <v>-0.42672500885280379</v>
      </c>
      <c r="P45" s="44">
        <f>SUM(P6:P36)</f>
        <v>-0.42386228867615255</v>
      </c>
      <c r="Q45" s="44">
        <f>SUM(P7:P37)</f>
        <v>-0.43172983547004845</v>
      </c>
      <c r="S45" s="14"/>
      <c r="T45" s="46"/>
    </row>
    <row r="46" spans="1:56" x14ac:dyDescent="0.3">
      <c r="A46" t="s">
        <v>131</v>
      </c>
      <c r="B46" s="25">
        <v>175.77857142857144</v>
      </c>
      <c r="N46" s="11" t="s">
        <v>42</v>
      </c>
      <c r="O46" s="44">
        <f>SUM(R5:R35)</f>
        <v>0.10135141574149971</v>
      </c>
      <c r="P46" s="44">
        <f>SUM(R6:R36)</f>
        <v>5.9459021721165614E-2</v>
      </c>
      <c r="Q46" s="44">
        <f>SUM(R7:R37)</f>
        <v>5.1865506740527284E-3</v>
      </c>
      <c r="S46" s="14"/>
      <c r="T46" s="46"/>
    </row>
    <row r="47" spans="1:56" x14ac:dyDescent="0.3">
      <c r="A47" t="s">
        <v>133</v>
      </c>
      <c r="B47" s="25">
        <v>176.01428571428573</v>
      </c>
      <c r="N47" s="11" t="s">
        <v>43</v>
      </c>
      <c r="O47" s="44">
        <f>SUM(T5:T35)</f>
        <v>-0.39266581287407326</v>
      </c>
      <c r="P47" s="44">
        <f>SUM(T6:T36)</f>
        <v>-0.37208720225590086</v>
      </c>
      <c r="Q47" s="44">
        <f>SUM(T7:T37)</f>
        <v>-0.32186676905674427</v>
      </c>
      <c r="S47" s="14"/>
      <c r="T47" s="46"/>
    </row>
    <row r="48" spans="1:56" x14ac:dyDescent="0.3">
      <c r="A48" t="s">
        <v>135</v>
      </c>
      <c r="B48" s="25">
        <v>176.91428571428574</v>
      </c>
      <c r="N48" s="11" t="s">
        <v>44</v>
      </c>
      <c r="O48" s="44">
        <f>SUM(V5:V35)</f>
        <v>0.18137341135694865</v>
      </c>
      <c r="P48" s="44">
        <f>SUM(V6:V36)</f>
        <v>0.19518149478550978</v>
      </c>
      <c r="Q48" s="44">
        <f>SUM(V7:V37)</f>
        <v>0.20542393492278999</v>
      </c>
      <c r="S48" s="14"/>
      <c r="T48" s="46"/>
    </row>
    <row r="49" spans="1:20" x14ac:dyDescent="0.3">
      <c r="A49" t="s">
        <v>137</v>
      </c>
      <c r="B49" s="25">
        <v>178.11428571428573</v>
      </c>
      <c r="N49" s="11" t="s">
        <v>45</v>
      </c>
      <c r="O49" s="44">
        <f>SUM(X5:X35)</f>
        <v>4.9319050934295922E-2</v>
      </c>
      <c r="P49" s="44">
        <f>SUM(X6:X36)</f>
        <v>5.7415244904643517E-2</v>
      </c>
      <c r="Q49" s="44">
        <f>SUM(X7:X37)</f>
        <v>6.8133153992219031E-2</v>
      </c>
      <c r="S49" s="14"/>
      <c r="T49" s="46"/>
    </row>
    <row r="50" spans="1:20" x14ac:dyDescent="0.3">
      <c r="A50" t="s">
        <v>139</v>
      </c>
      <c r="B50" s="25">
        <v>178.12142857142859</v>
      </c>
      <c r="N50" s="11" t="s">
        <v>46</v>
      </c>
      <c r="O50" s="44">
        <f>SUM(Z5:Z35)</f>
        <v>0.41380298285359796</v>
      </c>
      <c r="P50" s="44">
        <f>SUM(Z6:Z36)</f>
        <v>0.41818145484406399</v>
      </c>
      <c r="Q50" s="44">
        <f>SUM(Z7:Z37)</f>
        <v>0.42687750766593591</v>
      </c>
      <c r="S50" s="14"/>
      <c r="T50" s="46"/>
    </row>
    <row r="51" spans="1:20" x14ac:dyDescent="0.3">
      <c r="A51" t="s">
        <v>144</v>
      </c>
      <c r="B51" s="25">
        <v>177.19285714285715</v>
      </c>
      <c r="N51" s="11" t="s">
        <v>47</v>
      </c>
      <c r="O51" s="44">
        <f>SUM(AB5:AB35)</f>
        <v>9.4469396321527913E-2</v>
      </c>
      <c r="P51" s="44">
        <f>SUM(AB6:AB36)</f>
        <v>9.5164156311954559E-2</v>
      </c>
      <c r="Q51" s="44">
        <f>SUM(AB7:AB37)</f>
        <v>9.3656252723267483E-2</v>
      </c>
      <c r="S51" s="14"/>
      <c r="T51" s="46"/>
    </row>
    <row r="52" spans="1:20" x14ac:dyDescent="0.3">
      <c r="A52" t="s">
        <v>112</v>
      </c>
      <c r="B52" s="25">
        <v>177.92142857142855</v>
      </c>
      <c r="N52" s="11" t="s">
        <v>48</v>
      </c>
      <c r="O52" s="44">
        <f>SUM(AD5:AD35)</f>
        <v>0.15656525713444469</v>
      </c>
      <c r="P52" s="44">
        <f>SUM(AD6:AD36)</f>
        <v>0.15352152529093169</v>
      </c>
      <c r="Q52" s="44">
        <f>SUM(AD7:AD37)</f>
        <v>0.14962433521241369</v>
      </c>
      <c r="S52" s="14"/>
      <c r="T52" s="46"/>
    </row>
    <row r="53" spans="1:20" x14ac:dyDescent="0.3">
      <c r="A53" t="s">
        <v>115</v>
      </c>
      <c r="B53" s="25">
        <v>177.04285714285714</v>
      </c>
      <c r="N53" s="11" t="s">
        <v>49</v>
      </c>
      <c r="O53" s="44">
        <f>SUM(AF5:AF35)</f>
        <v>5.8537164045741018E-2</v>
      </c>
      <c r="P53" s="44">
        <f>SUM(AF6:AF36)</f>
        <v>6.3448605835329144E-2</v>
      </c>
      <c r="Q53" s="44">
        <f>SUM(AF7:AF37)</f>
        <v>6.963624391446202E-2</v>
      </c>
      <c r="S53" s="14"/>
      <c r="T53" s="46"/>
    </row>
    <row r="54" spans="1:20" x14ac:dyDescent="0.3">
      <c r="A54" t="s">
        <v>121</v>
      </c>
      <c r="B54" s="25">
        <v>177.04999999999998</v>
      </c>
      <c r="N54" s="11" t="s">
        <v>50</v>
      </c>
      <c r="O54" s="44">
        <f>SUM(AH5:AH35)</f>
        <v>9.3634844313454133E-2</v>
      </c>
      <c r="P54" s="44">
        <f>SUM(AH6:AH36)</f>
        <v>9.5519437799913898E-2</v>
      </c>
      <c r="Q54" s="44">
        <f>SUM(AH7:AH37)</f>
        <v>9.6000596441990799E-2</v>
      </c>
    </row>
    <row r="55" spans="1:20" x14ac:dyDescent="0.3">
      <c r="A55" t="s">
        <v>124</v>
      </c>
      <c r="B55" s="25">
        <v>177.87142857142859</v>
      </c>
    </row>
    <row r="56" spans="1:20" x14ac:dyDescent="0.3">
      <c r="A56" t="s">
        <v>127</v>
      </c>
      <c r="B56" s="25">
        <v>179.1357142857143</v>
      </c>
    </row>
    <row r="57" spans="1:20" x14ac:dyDescent="0.3">
      <c r="A57" t="s">
        <v>96</v>
      </c>
      <c r="B57" s="68">
        <v>177.21666666666667</v>
      </c>
    </row>
    <row r="62" spans="1:20" x14ac:dyDescent="0.3">
      <c r="B62" s="25"/>
    </row>
    <row r="63" spans="1:20" x14ac:dyDescent="0.3">
      <c r="B63" s="25"/>
    </row>
    <row r="64" spans="1:20" x14ac:dyDescent="0.3">
      <c r="B64" s="25"/>
    </row>
    <row r="65" spans="1:2" x14ac:dyDescent="0.3">
      <c r="B65" s="25"/>
    </row>
    <row r="66" spans="1:2" x14ac:dyDescent="0.3">
      <c r="A66" s="34" t="s">
        <v>32</v>
      </c>
      <c r="B66" t="s">
        <v>3</v>
      </c>
    </row>
    <row r="68" spans="1:2" x14ac:dyDescent="0.3">
      <c r="A68" s="34" t="s">
        <v>146</v>
      </c>
    </row>
    <row r="69" spans="1:2" x14ac:dyDescent="0.3">
      <c r="A69" s="34" t="s">
        <v>106</v>
      </c>
      <c r="B69" t="s">
        <v>100</v>
      </c>
    </row>
    <row r="70" spans="1:2" x14ac:dyDescent="0.3">
      <c r="A70" t="s">
        <v>129</v>
      </c>
      <c r="B70" s="44">
        <v>-1.1907635368895402E-2</v>
      </c>
    </row>
    <row r="71" spans="1:2" x14ac:dyDescent="0.3">
      <c r="A71" t="s">
        <v>131</v>
      </c>
      <c r="B71" s="36">
        <v>-1.1766123202955499E-2</v>
      </c>
    </row>
    <row r="72" spans="1:2" x14ac:dyDescent="0.3">
      <c r="A72" t="s">
        <v>133</v>
      </c>
      <c r="B72" s="36">
        <v>-1.1314395763119676E-2</v>
      </c>
    </row>
    <row r="73" spans="1:2" x14ac:dyDescent="0.3">
      <c r="A73" t="s">
        <v>135</v>
      </c>
      <c r="B73" s="36">
        <v>-1.1691472806352255E-2</v>
      </c>
    </row>
    <row r="74" spans="1:2" x14ac:dyDescent="0.3">
      <c r="A74" t="s">
        <v>137</v>
      </c>
      <c r="B74" s="36">
        <v>-1.1417697431018036E-2</v>
      </c>
    </row>
    <row r="75" spans="1:2" x14ac:dyDescent="0.3">
      <c r="A75" t="s">
        <v>139</v>
      </c>
      <c r="B75" s="36">
        <v>-8.4691848906559095E-3</v>
      </c>
    </row>
    <row r="76" spans="1:2" x14ac:dyDescent="0.3">
      <c r="A76" t="s">
        <v>144</v>
      </c>
      <c r="B76" s="36">
        <v>-6.4880451760180313E-3</v>
      </c>
    </row>
    <row r="77" spans="1:2" x14ac:dyDescent="0.3">
      <c r="A77" t="s">
        <v>112</v>
      </c>
      <c r="B77" s="36">
        <v>-8.3207261724662224E-3</v>
      </c>
    </row>
    <row r="78" spans="1:2" x14ac:dyDescent="0.3">
      <c r="A78" t="s">
        <v>115</v>
      </c>
      <c r="B78" s="36">
        <v>-1.089428947683445E-2</v>
      </c>
    </row>
    <row r="79" spans="1:2" x14ac:dyDescent="0.3">
      <c r="A79" t="s">
        <v>121</v>
      </c>
      <c r="B79" s="36">
        <v>-1.0933322692629975E-2</v>
      </c>
    </row>
    <row r="80" spans="1:2" x14ac:dyDescent="0.3">
      <c r="A80" t="s">
        <v>124</v>
      </c>
      <c r="B80" s="36">
        <v>-1.2295732191020193E-2</v>
      </c>
    </row>
    <row r="81" spans="1:6" x14ac:dyDescent="0.3">
      <c r="A81" t="s">
        <v>127</v>
      </c>
      <c r="B81" s="36">
        <v>-1.2365612570393206E-2</v>
      </c>
      <c r="F81" s="43"/>
    </row>
    <row r="82" spans="1:6" x14ac:dyDescent="0.3">
      <c r="A82" t="s">
        <v>96</v>
      </c>
      <c r="B82" s="68">
        <v>-0.12786423774235886</v>
      </c>
    </row>
    <row r="94" spans="1:6" x14ac:dyDescent="0.3">
      <c r="B94" s="25"/>
    </row>
  </sheetData>
  <autoFilter ref="A1:BD37" xr:uid="{CB1779AB-4420-4393-AE2E-5CEF5B5490F0}">
    <filterColumn colId="0">
      <filters>
        <filter val="Rural"/>
      </filters>
    </filterColumn>
  </autoFilter>
  <pageMargins left="0.7" right="0.7" top="0.75" bottom="0.75" header="0.3" footer="0.3"/>
  <ignoredErrors>
    <ignoredError sqref="AZ2:AZ37" formulaRange="1"/>
  </ignoredErrors>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C443C-1BA4-42C5-8EBD-6F7113830CD6}">
  <sheetPr filterMode="1"/>
  <dimension ref="A1:Z55"/>
  <sheetViews>
    <sheetView topLeftCell="A8" zoomScale="86" workbookViewId="0">
      <selection activeCell="F50" sqref="F50"/>
    </sheetView>
  </sheetViews>
  <sheetFormatPr defaultRowHeight="14.4" x14ac:dyDescent="0.3"/>
  <cols>
    <col min="1" max="1" width="12.5546875" bestFit="1" customWidth="1"/>
    <col min="2" max="2" width="19.44140625" bestFit="1" customWidth="1"/>
    <col min="3" max="3" width="19.44140625" customWidth="1"/>
    <col min="4" max="4" width="20.6640625" bestFit="1" customWidth="1"/>
    <col min="5" max="5" width="22.5546875" bestFit="1" customWidth="1"/>
    <col min="6" max="6" width="19.88671875" bestFit="1" customWidth="1"/>
    <col min="7" max="7" width="16.109375" customWidth="1"/>
    <col min="11" max="11" width="5" bestFit="1" customWidth="1"/>
    <col min="12" max="12" width="12.44140625" bestFit="1" customWidth="1"/>
    <col min="13" max="13" width="13.77734375" bestFit="1" customWidth="1"/>
    <col min="14" max="14" width="15.5546875" bestFit="1" customWidth="1"/>
    <col min="18" max="18" width="5" bestFit="1" customWidth="1"/>
    <col min="19" max="19" width="12.44140625" bestFit="1" customWidth="1"/>
    <col min="20" max="20" width="13.77734375" bestFit="1" customWidth="1"/>
    <col min="21" max="21" width="15.5546875" bestFit="1" customWidth="1"/>
  </cols>
  <sheetData>
    <row r="1" spans="1:5" x14ac:dyDescent="0.3">
      <c r="A1" s="10" t="s">
        <v>32</v>
      </c>
      <c r="B1" s="11" t="s">
        <v>106</v>
      </c>
      <c r="C1" s="11" t="s">
        <v>91</v>
      </c>
      <c r="D1" s="11" t="s">
        <v>57</v>
      </c>
      <c r="E1" s="11" t="s">
        <v>94</v>
      </c>
    </row>
    <row r="2" spans="1:5" x14ac:dyDescent="0.3">
      <c r="A2" s="26" t="s">
        <v>0</v>
      </c>
      <c r="B2" s="21" t="s">
        <v>107</v>
      </c>
      <c r="C2" s="28">
        <v>1954.3</v>
      </c>
      <c r="D2" s="21">
        <v>136</v>
      </c>
      <c r="E2" s="28">
        <v>536.79999999999995</v>
      </c>
    </row>
    <row r="3" spans="1:5" hidden="1" x14ac:dyDescent="0.3">
      <c r="A3" s="27" t="s">
        <v>2</v>
      </c>
      <c r="B3" s="21" t="s">
        <v>107</v>
      </c>
      <c r="C3" s="28">
        <v>1906.0000000000002</v>
      </c>
      <c r="D3" s="20">
        <v>129</v>
      </c>
      <c r="E3" s="28">
        <v>514.6</v>
      </c>
    </row>
    <row r="4" spans="1:5" hidden="1" x14ac:dyDescent="0.3">
      <c r="A4" s="26" t="s">
        <v>3</v>
      </c>
      <c r="B4" s="21" t="s">
        <v>107</v>
      </c>
      <c r="C4" s="28">
        <v>1934.6000000000001</v>
      </c>
      <c r="D4" s="21">
        <v>133.30000000000001</v>
      </c>
      <c r="E4" s="28">
        <v>525.09999999999991</v>
      </c>
    </row>
    <row r="5" spans="1:5" hidden="1" x14ac:dyDescent="0.3">
      <c r="A5" s="26" t="s">
        <v>0</v>
      </c>
      <c r="B5" s="21" t="s">
        <v>116</v>
      </c>
      <c r="C5" s="28">
        <v>1937.0999999999997</v>
      </c>
      <c r="D5" s="21">
        <v>136.69999999999999</v>
      </c>
      <c r="E5" s="28">
        <v>540.4</v>
      </c>
    </row>
    <row r="6" spans="1:5" hidden="1" x14ac:dyDescent="0.3">
      <c r="A6" s="27" t="s">
        <v>2</v>
      </c>
      <c r="B6" s="21" t="s">
        <v>116</v>
      </c>
      <c r="C6" s="28">
        <v>1875.2</v>
      </c>
      <c r="D6" s="20">
        <v>130.5</v>
      </c>
      <c r="E6" s="28">
        <v>518.4</v>
      </c>
    </row>
    <row r="7" spans="1:5" hidden="1" x14ac:dyDescent="0.3">
      <c r="A7" s="26" t="s">
        <v>3</v>
      </c>
      <c r="B7" s="21" t="s">
        <v>116</v>
      </c>
      <c r="C7" s="28">
        <v>1912.3</v>
      </c>
      <c r="D7" s="21">
        <v>134.30000000000001</v>
      </c>
      <c r="E7" s="28">
        <v>528.70000000000005</v>
      </c>
    </row>
    <row r="8" spans="1:5" x14ac:dyDescent="0.3">
      <c r="A8" s="27" t="s">
        <v>0</v>
      </c>
      <c r="B8" s="21" t="s">
        <v>140</v>
      </c>
      <c r="C8" s="28">
        <v>1935.5000000000002</v>
      </c>
      <c r="D8" s="20">
        <v>149.6</v>
      </c>
      <c r="E8" s="28">
        <v>573.20000000000005</v>
      </c>
    </row>
    <row r="9" spans="1:5" hidden="1" x14ac:dyDescent="0.3">
      <c r="A9" s="26" t="s">
        <v>2</v>
      </c>
      <c r="B9" s="21" t="s">
        <v>140</v>
      </c>
      <c r="C9" s="28">
        <v>1911.1999999999998</v>
      </c>
      <c r="D9" s="21">
        <v>137.30000000000001</v>
      </c>
      <c r="E9" s="28">
        <v>540.70000000000005</v>
      </c>
    </row>
    <row r="10" spans="1:5" hidden="1" x14ac:dyDescent="0.3">
      <c r="A10" s="27" t="s">
        <v>3</v>
      </c>
      <c r="B10" s="21" t="s">
        <v>140</v>
      </c>
      <c r="C10" s="28">
        <v>1925.7999999999997</v>
      </c>
      <c r="D10" s="20">
        <v>144.9</v>
      </c>
      <c r="E10" s="28">
        <v>555.90000000000009</v>
      </c>
    </row>
    <row r="11" spans="1:5" x14ac:dyDescent="0.3">
      <c r="A11" s="26" t="s">
        <v>0</v>
      </c>
      <c r="B11" s="21" t="s">
        <v>108</v>
      </c>
      <c r="C11" s="28">
        <v>1922.3000000000002</v>
      </c>
      <c r="D11" s="21">
        <v>149.6</v>
      </c>
      <c r="E11" s="28">
        <v>573.29999999999995</v>
      </c>
    </row>
    <row r="12" spans="1:5" hidden="1" x14ac:dyDescent="0.3">
      <c r="A12" s="27" t="s">
        <v>2</v>
      </c>
      <c r="B12" s="21" t="s">
        <v>108</v>
      </c>
      <c r="C12" s="28">
        <v>1909.0000000000002</v>
      </c>
      <c r="D12" s="20">
        <v>137.80000000000001</v>
      </c>
      <c r="E12" s="28">
        <v>542</v>
      </c>
    </row>
    <row r="13" spans="1:5" hidden="1" x14ac:dyDescent="0.3">
      <c r="A13" s="26" t="s">
        <v>3</v>
      </c>
      <c r="B13" s="21" t="s">
        <v>108</v>
      </c>
      <c r="C13" s="28">
        <v>1916.6</v>
      </c>
      <c r="D13" s="21">
        <v>145.1</v>
      </c>
      <c r="E13" s="28">
        <v>556.6</v>
      </c>
    </row>
    <row r="14" spans="1:5" hidden="1" x14ac:dyDescent="0.3">
      <c r="A14" s="26" t="s">
        <v>0</v>
      </c>
      <c r="B14" s="21" t="s">
        <v>117</v>
      </c>
      <c r="C14" s="28">
        <v>1924.1000000000004</v>
      </c>
      <c r="D14" s="21">
        <v>150.4</v>
      </c>
      <c r="E14" s="28">
        <v>575.70000000000005</v>
      </c>
    </row>
    <row r="15" spans="1:5" hidden="1" x14ac:dyDescent="0.3">
      <c r="A15" s="27" t="s">
        <v>2</v>
      </c>
      <c r="B15" s="21" t="s">
        <v>117</v>
      </c>
      <c r="C15" s="28">
        <v>1933.7</v>
      </c>
      <c r="D15" s="20">
        <v>139.19999999999999</v>
      </c>
      <c r="E15" s="28">
        <v>545</v>
      </c>
    </row>
    <row r="16" spans="1:5" hidden="1" x14ac:dyDescent="0.3">
      <c r="A16" s="26" t="s">
        <v>3</v>
      </c>
      <c r="B16" s="21" t="s">
        <v>117</v>
      </c>
      <c r="C16" s="28">
        <v>1926.4</v>
      </c>
      <c r="D16" s="21">
        <v>146.19999999999999</v>
      </c>
      <c r="E16" s="28">
        <v>559.1</v>
      </c>
    </row>
    <row r="17" spans="1:5" x14ac:dyDescent="0.3">
      <c r="A17" s="26" t="s">
        <v>0</v>
      </c>
      <c r="B17" s="21" t="s">
        <v>141</v>
      </c>
      <c r="C17" s="28">
        <v>2108.7999999999997</v>
      </c>
      <c r="D17" s="21">
        <v>154.80000000000001</v>
      </c>
      <c r="E17" s="28">
        <v>598.29999999999995</v>
      </c>
    </row>
    <row r="18" spans="1:5" hidden="1" x14ac:dyDescent="0.3">
      <c r="A18" s="27" t="s">
        <v>2</v>
      </c>
      <c r="B18" s="21" t="s">
        <v>141</v>
      </c>
      <c r="C18" s="28">
        <v>2127.1</v>
      </c>
      <c r="D18" s="20">
        <v>143.19999999999999</v>
      </c>
      <c r="E18" s="28">
        <v>566.59999999999991</v>
      </c>
    </row>
    <row r="19" spans="1:5" hidden="1" x14ac:dyDescent="0.3">
      <c r="A19" s="26" t="s">
        <v>3</v>
      </c>
      <c r="B19" s="21" t="s">
        <v>141</v>
      </c>
      <c r="C19" s="28">
        <v>2114.6000000000004</v>
      </c>
      <c r="D19" s="21">
        <v>150.4</v>
      </c>
      <c r="E19" s="28">
        <v>580.9</v>
      </c>
    </row>
    <row r="20" spans="1:5" x14ac:dyDescent="0.3">
      <c r="A20" s="27" t="s">
        <v>0</v>
      </c>
      <c r="B20" s="21" t="s">
        <v>109</v>
      </c>
      <c r="C20" s="28">
        <v>2107.1999999999998</v>
      </c>
      <c r="D20" s="20">
        <v>155.69999999999999</v>
      </c>
      <c r="E20" s="28">
        <v>602.4</v>
      </c>
    </row>
    <row r="21" spans="1:5" hidden="1" x14ac:dyDescent="0.3">
      <c r="A21" s="26" t="s">
        <v>2</v>
      </c>
      <c r="B21" s="21" t="s">
        <v>109</v>
      </c>
      <c r="C21" s="28">
        <v>2116.1999999999998</v>
      </c>
      <c r="D21" s="21">
        <v>143.80000000000001</v>
      </c>
      <c r="E21" s="28">
        <v>569.79999999999995</v>
      </c>
    </row>
    <row r="22" spans="1:5" hidden="1" x14ac:dyDescent="0.3">
      <c r="A22" s="27" t="s">
        <v>3</v>
      </c>
      <c r="B22" s="21" t="s">
        <v>109</v>
      </c>
      <c r="C22" s="28">
        <v>2109.6</v>
      </c>
      <c r="D22" s="20">
        <v>151.19999999999999</v>
      </c>
      <c r="E22" s="28">
        <v>584.60000000000014</v>
      </c>
    </row>
    <row r="23" spans="1:5" hidden="1" x14ac:dyDescent="0.3">
      <c r="A23" s="27" t="s">
        <v>0</v>
      </c>
      <c r="B23" s="21" t="s">
        <v>118</v>
      </c>
      <c r="C23" s="28">
        <v>2065.0999999999995</v>
      </c>
      <c r="D23" s="20">
        <v>156.69999999999999</v>
      </c>
      <c r="E23" s="28">
        <v>606.09999999999991</v>
      </c>
    </row>
    <row r="24" spans="1:5" hidden="1" x14ac:dyDescent="0.3">
      <c r="A24" s="26" t="s">
        <v>2</v>
      </c>
      <c r="B24" s="21" t="s">
        <v>118</v>
      </c>
      <c r="C24" s="28">
        <v>2071.8000000000002</v>
      </c>
      <c r="D24" s="21">
        <v>145</v>
      </c>
      <c r="E24" s="28">
        <v>574.4</v>
      </c>
    </row>
    <row r="25" spans="1:5" hidden="1" x14ac:dyDescent="0.3">
      <c r="A25" s="27" t="s">
        <v>3</v>
      </c>
      <c r="B25" s="21" t="s">
        <v>118</v>
      </c>
      <c r="C25" s="28">
        <v>2066.6</v>
      </c>
      <c r="D25" s="20">
        <v>152.30000000000001</v>
      </c>
      <c r="E25" s="28">
        <v>588.79999999999995</v>
      </c>
    </row>
    <row r="26" spans="1:5" x14ac:dyDescent="0.3">
      <c r="A26" s="26" t="s">
        <v>0</v>
      </c>
      <c r="B26" s="21" t="s">
        <v>142</v>
      </c>
      <c r="C26" s="28">
        <v>2284.1</v>
      </c>
      <c r="D26" s="21">
        <v>161.6</v>
      </c>
      <c r="E26" s="28">
        <v>628.59999999999991</v>
      </c>
    </row>
    <row r="27" spans="1:5" hidden="1" x14ac:dyDescent="0.3">
      <c r="A27" s="27" t="s">
        <v>2</v>
      </c>
      <c r="B27" s="21" t="s">
        <v>142</v>
      </c>
      <c r="C27" s="28">
        <v>2315.6</v>
      </c>
      <c r="D27" s="20">
        <v>152.9</v>
      </c>
      <c r="E27" s="28">
        <v>606</v>
      </c>
    </row>
    <row r="28" spans="1:5" hidden="1" x14ac:dyDescent="0.3">
      <c r="A28" s="26" t="s">
        <v>3</v>
      </c>
      <c r="B28" s="21" t="s">
        <v>142</v>
      </c>
      <c r="C28" s="28">
        <v>2294.5</v>
      </c>
      <c r="D28" s="21">
        <v>158.30000000000001</v>
      </c>
      <c r="E28" s="28">
        <v>616.19999999999993</v>
      </c>
    </row>
    <row r="29" spans="1:5" x14ac:dyDescent="0.3">
      <c r="A29" s="27" t="s">
        <v>0</v>
      </c>
      <c r="B29" s="21" t="s">
        <v>110</v>
      </c>
      <c r="C29" s="28">
        <v>2250.2999999999997</v>
      </c>
      <c r="D29" s="20">
        <v>162.5</v>
      </c>
      <c r="E29" s="28">
        <v>630.70000000000005</v>
      </c>
    </row>
    <row r="30" spans="1:5" hidden="1" x14ac:dyDescent="0.3">
      <c r="A30" s="26" t="s">
        <v>2</v>
      </c>
      <c r="B30" s="21" t="s">
        <v>110</v>
      </c>
      <c r="C30" s="28">
        <v>2288.8000000000002</v>
      </c>
      <c r="D30" s="21">
        <v>154.1</v>
      </c>
      <c r="E30" s="28">
        <v>606.79999999999995</v>
      </c>
    </row>
    <row r="31" spans="1:5" hidden="1" x14ac:dyDescent="0.3">
      <c r="A31" s="27" t="s">
        <v>3</v>
      </c>
      <c r="B31" s="21" t="s">
        <v>110</v>
      </c>
      <c r="C31" s="28">
        <v>2263</v>
      </c>
      <c r="D31" s="20">
        <v>159.30000000000001</v>
      </c>
      <c r="E31" s="28">
        <v>617.5</v>
      </c>
    </row>
    <row r="32" spans="1:5" hidden="1" x14ac:dyDescent="0.3">
      <c r="A32" s="27" t="s">
        <v>0</v>
      </c>
      <c r="B32" s="21" t="s">
        <v>119</v>
      </c>
      <c r="C32" s="28">
        <v>2211.8000000000002</v>
      </c>
      <c r="D32" s="20">
        <v>164.6</v>
      </c>
      <c r="E32" s="28">
        <v>632</v>
      </c>
    </row>
    <row r="33" spans="1:21" hidden="1" x14ac:dyDescent="0.3">
      <c r="A33" s="26" t="s">
        <v>2</v>
      </c>
      <c r="B33" s="21" t="s">
        <v>119</v>
      </c>
      <c r="C33" s="28">
        <v>2257.9999999999995</v>
      </c>
      <c r="D33" s="21">
        <v>156.9</v>
      </c>
      <c r="E33" s="28">
        <v>611.1</v>
      </c>
    </row>
    <row r="34" spans="1:21" hidden="1" x14ac:dyDescent="0.3">
      <c r="A34" s="27" t="s">
        <v>3</v>
      </c>
      <c r="B34" s="21" t="s">
        <v>119</v>
      </c>
      <c r="C34" s="28">
        <v>2227.5</v>
      </c>
      <c r="D34" s="20">
        <v>161.69999999999999</v>
      </c>
      <c r="E34" s="28">
        <v>620.4</v>
      </c>
    </row>
    <row r="35" spans="1:21" x14ac:dyDescent="0.3">
      <c r="A35" s="26" t="s">
        <v>0</v>
      </c>
      <c r="B35" s="21" t="s">
        <v>143</v>
      </c>
      <c r="C35" s="28">
        <v>2359</v>
      </c>
      <c r="D35" s="21">
        <v>174</v>
      </c>
      <c r="E35" s="28">
        <v>663</v>
      </c>
      <c r="P35" t="s">
        <v>170</v>
      </c>
      <c r="Q35" t="s">
        <v>162</v>
      </c>
      <c r="R35" t="s">
        <v>167</v>
      </c>
      <c r="S35" t="s">
        <v>169</v>
      </c>
      <c r="T35" t="s">
        <v>168</v>
      </c>
      <c r="U35" t="s">
        <v>175</v>
      </c>
    </row>
    <row r="36" spans="1:21" hidden="1" x14ac:dyDescent="0.3">
      <c r="A36" s="27" t="s">
        <v>2</v>
      </c>
      <c r="B36" s="21" t="s">
        <v>143</v>
      </c>
      <c r="C36" s="28">
        <v>2403.1000000000004</v>
      </c>
      <c r="D36" s="20">
        <v>165.1</v>
      </c>
      <c r="E36" s="28">
        <v>638.40000000000009</v>
      </c>
      <c r="P36" s="66" t="s">
        <v>0</v>
      </c>
      <c r="Q36" s="66" t="s">
        <v>172</v>
      </c>
      <c r="R36">
        <v>2018</v>
      </c>
      <c r="S36" s="36"/>
    </row>
    <row r="37" spans="1:21" hidden="1" x14ac:dyDescent="0.3">
      <c r="A37" s="26" t="s">
        <v>3</v>
      </c>
      <c r="B37" s="21" t="s">
        <v>143</v>
      </c>
      <c r="C37" s="28">
        <v>2373.3000000000002</v>
      </c>
      <c r="D37" s="21">
        <v>170.6</v>
      </c>
      <c r="E37" s="28">
        <v>649.6</v>
      </c>
      <c r="P37" s="66"/>
      <c r="Q37" s="66"/>
      <c r="R37">
        <v>2019</v>
      </c>
      <c r="S37" s="37"/>
    </row>
    <row r="38" spans="1:21" x14ac:dyDescent="0.3">
      <c r="A38" s="27" t="s">
        <v>0</v>
      </c>
      <c r="B38" s="21" t="s">
        <v>111</v>
      </c>
      <c r="C38" s="28">
        <v>2343.6999999999998</v>
      </c>
      <c r="D38" s="20">
        <v>174.7</v>
      </c>
      <c r="E38" s="28">
        <v>664.59999999999991</v>
      </c>
      <c r="P38" s="1" t="s">
        <v>171</v>
      </c>
      <c r="Q38" s="1" t="s">
        <v>166</v>
      </c>
      <c r="R38">
        <v>2020</v>
      </c>
    </row>
    <row r="39" spans="1:21" hidden="1" x14ac:dyDescent="0.3">
      <c r="A39" s="26" t="s">
        <v>2</v>
      </c>
      <c r="B39" s="21" t="s">
        <v>111</v>
      </c>
      <c r="C39" s="28">
        <v>2383.1</v>
      </c>
      <c r="D39" s="21">
        <v>166.1</v>
      </c>
      <c r="E39" s="28">
        <v>640.79999999999995</v>
      </c>
      <c r="P39" s="66" t="s">
        <v>174</v>
      </c>
      <c r="Q39" s="66" t="s">
        <v>173</v>
      </c>
      <c r="R39">
        <v>2021</v>
      </c>
    </row>
    <row r="40" spans="1:21" hidden="1" x14ac:dyDescent="0.3">
      <c r="A40" s="27" t="s">
        <v>3</v>
      </c>
      <c r="B40" s="21" t="s">
        <v>111</v>
      </c>
      <c r="C40" s="28">
        <v>2356.3999999999996</v>
      </c>
      <c r="D40" s="20">
        <v>171.4</v>
      </c>
      <c r="E40" s="28">
        <v>651.59999999999991</v>
      </c>
      <c r="P40" s="66"/>
      <c r="Q40" s="66"/>
      <c r="R40">
        <v>2022</v>
      </c>
    </row>
    <row r="41" spans="1:21" hidden="1" x14ac:dyDescent="0.3">
      <c r="A41" s="27" t="s">
        <v>0</v>
      </c>
      <c r="B41" s="21" t="s">
        <v>120</v>
      </c>
      <c r="C41" s="28">
        <v>2371.4000000000005</v>
      </c>
      <c r="D41" s="20">
        <v>176</v>
      </c>
      <c r="E41" s="28">
        <v>672.90000000000009</v>
      </c>
    </row>
    <row r="42" spans="1:21" hidden="1" x14ac:dyDescent="0.3">
      <c r="A42" s="26" t="s">
        <v>2</v>
      </c>
      <c r="B42" s="21" t="s">
        <v>120</v>
      </c>
      <c r="C42" s="28">
        <v>2393.8000000000002</v>
      </c>
      <c r="D42" s="21">
        <v>168.2</v>
      </c>
      <c r="E42" s="28">
        <v>650.9</v>
      </c>
    </row>
    <row r="43" spans="1:21" hidden="1" x14ac:dyDescent="0.3">
      <c r="A43" s="27" t="s">
        <v>3</v>
      </c>
      <c r="B43" s="21" t="s">
        <v>120</v>
      </c>
      <c r="C43" s="28">
        <v>2377.9</v>
      </c>
      <c r="D43" s="20">
        <v>173</v>
      </c>
      <c r="E43" s="28">
        <v>661.09999999999991</v>
      </c>
    </row>
    <row r="44" spans="1:21" x14ac:dyDescent="0.3">
      <c r="A44" s="26" t="s">
        <v>0</v>
      </c>
      <c r="B44" s="21" t="s">
        <v>144</v>
      </c>
      <c r="C44" s="28">
        <v>2473</v>
      </c>
      <c r="D44" s="21">
        <v>183.5</v>
      </c>
      <c r="E44" s="28">
        <v>699.7</v>
      </c>
    </row>
    <row r="45" spans="1:21" hidden="1" x14ac:dyDescent="0.3">
      <c r="A45" s="27" t="s">
        <v>2</v>
      </c>
      <c r="B45" s="21" t="s">
        <v>144</v>
      </c>
      <c r="C45" s="28">
        <v>2496.8999999999996</v>
      </c>
      <c r="D45" s="20">
        <v>177.2</v>
      </c>
      <c r="E45" s="28">
        <v>683.1</v>
      </c>
    </row>
    <row r="46" spans="1:21" hidden="1" x14ac:dyDescent="0.3">
      <c r="A46" s="26" t="s">
        <v>3</v>
      </c>
      <c r="B46" s="21" t="s">
        <v>144</v>
      </c>
      <c r="C46" s="28">
        <v>2480.7000000000003</v>
      </c>
      <c r="D46" s="21">
        <v>181.1</v>
      </c>
      <c r="E46" s="28">
        <v>690.8</v>
      </c>
    </row>
    <row r="48" spans="1:21" x14ac:dyDescent="0.3">
      <c r="D48" s="66" t="s">
        <v>176</v>
      </c>
      <c r="E48" s="66"/>
      <c r="F48" s="66"/>
      <c r="G48" s="66"/>
      <c r="I48" s="66" t="s">
        <v>177</v>
      </c>
      <c r="J48" s="66"/>
      <c r="K48" s="66"/>
      <c r="L48" s="66"/>
      <c r="M48" s="66"/>
      <c r="N48" s="66"/>
      <c r="P48" s="66" t="s">
        <v>178</v>
      </c>
      <c r="Q48" s="66"/>
      <c r="R48" s="66"/>
      <c r="S48" s="66"/>
      <c r="T48" s="66"/>
      <c r="U48" s="66"/>
    </row>
    <row r="49" spans="1:26" x14ac:dyDescent="0.3">
      <c r="C49" t="s">
        <v>162</v>
      </c>
      <c r="D49" t="s">
        <v>167</v>
      </c>
      <c r="E49" t="s">
        <v>169</v>
      </c>
      <c r="F49" t="s">
        <v>168</v>
      </c>
      <c r="G49" t="s">
        <v>175</v>
      </c>
      <c r="I49" t="s">
        <v>162</v>
      </c>
      <c r="K49" t="s">
        <v>167</v>
      </c>
      <c r="L49" t="s">
        <v>169</v>
      </c>
      <c r="M49" t="s">
        <v>168</v>
      </c>
      <c r="N49" t="s">
        <v>175</v>
      </c>
      <c r="P49" t="s">
        <v>162</v>
      </c>
      <c r="R49" t="s">
        <v>167</v>
      </c>
      <c r="S49" t="s">
        <v>169</v>
      </c>
      <c r="T49" t="s">
        <v>168</v>
      </c>
      <c r="U49" t="s">
        <v>175</v>
      </c>
    </row>
    <row r="50" spans="1:26" x14ac:dyDescent="0.3">
      <c r="A50" s="66"/>
      <c r="C50" s="67" t="s">
        <v>172</v>
      </c>
      <c r="D50">
        <v>2018</v>
      </c>
      <c r="E50" s="44">
        <f>(C8-C2)/C2</f>
        <v>-9.6198127206671077E-3</v>
      </c>
      <c r="F50" s="39">
        <f>(D8-D2)/D2</f>
        <v>9.9999999999999964E-2</v>
      </c>
      <c r="G50" s="39">
        <f>(E8-E2)/E2</f>
        <v>6.780923994038765E-2</v>
      </c>
      <c r="I50" s="67" t="s">
        <v>172</v>
      </c>
      <c r="J50" s="1"/>
      <c r="K50">
        <v>2018</v>
      </c>
      <c r="L50" s="39">
        <f>(C9-C3)/C3</f>
        <v>2.7282266526755458E-3</v>
      </c>
      <c r="M50" s="39">
        <f t="shared" ref="M50:N50" si="0">(D9-D3)/D3</f>
        <v>6.4341085271317919E-2</v>
      </c>
      <c r="N50" s="39">
        <f t="shared" si="0"/>
        <v>5.0719005052467979E-2</v>
      </c>
      <c r="P50" s="67" t="s">
        <v>172</v>
      </c>
      <c r="Q50" s="1"/>
      <c r="R50">
        <v>2018</v>
      </c>
      <c r="S50" s="39">
        <f>(C10-C4)/C4</f>
        <v>-4.5487439263932642E-3</v>
      </c>
      <c r="T50" s="39">
        <f t="shared" ref="T50:U50" si="1">(D10-D4)/D4</f>
        <v>8.7021755438859663E-2</v>
      </c>
      <c r="U50" s="39">
        <f t="shared" si="1"/>
        <v>5.8655494191582912E-2</v>
      </c>
    </row>
    <row r="51" spans="1:26" x14ac:dyDescent="0.3">
      <c r="A51" s="66"/>
      <c r="C51" s="67"/>
      <c r="D51">
        <v>2019</v>
      </c>
      <c r="E51" s="39">
        <f>(C17-C11)/C11</f>
        <v>9.7019195755084803E-2</v>
      </c>
      <c r="F51" s="39">
        <f>(D17-D11)/D11</f>
        <v>3.4759358288770172E-2</v>
      </c>
      <c r="G51" s="39">
        <f>(E17-E11)/E11</f>
        <v>4.3607186464329324E-2</v>
      </c>
      <c r="I51" s="67"/>
      <c r="J51" s="1"/>
      <c r="K51">
        <v>2019</v>
      </c>
      <c r="L51" s="39">
        <f>(C18-C12)/C12</f>
        <v>0.11424829753797781</v>
      </c>
      <c r="M51" s="39">
        <f t="shared" ref="M51:N51" si="2">(D18-D12)/D12</f>
        <v>3.9187227866472982E-2</v>
      </c>
      <c r="N51" s="39">
        <f t="shared" si="2"/>
        <v>4.5387453874538575E-2</v>
      </c>
      <c r="P51" s="67"/>
      <c r="Q51" s="1"/>
      <c r="R51">
        <v>2019</v>
      </c>
      <c r="S51" s="39">
        <f>(C19-C13)/C13</f>
        <v>0.10330794114577922</v>
      </c>
      <c r="T51" s="39">
        <f t="shared" ref="T51:U51" si="3">(D19-D13)/D13</f>
        <v>3.6526533425224064E-2</v>
      </c>
      <c r="U51" s="39">
        <f t="shared" si="3"/>
        <v>4.3657923104563338E-2</v>
      </c>
    </row>
    <row r="52" spans="1:26" x14ac:dyDescent="0.3">
      <c r="A52" s="1"/>
      <c r="C52" s="2" t="s">
        <v>166</v>
      </c>
      <c r="D52">
        <v>2020</v>
      </c>
      <c r="E52" s="39">
        <f>(C26-C20)/C20</f>
        <v>8.3950265755504988E-2</v>
      </c>
      <c r="F52" s="39">
        <f>(D26-D20)/D20</f>
        <v>3.7893384714194005E-2</v>
      </c>
      <c r="G52" s="39">
        <f>(E26-E20)/E20</f>
        <v>4.3492695883134015E-2</v>
      </c>
      <c r="I52" s="2" t="s">
        <v>166</v>
      </c>
      <c r="J52" s="1"/>
      <c r="K52">
        <v>2020</v>
      </c>
      <c r="L52" s="39">
        <f>(C27-C21)/C21</f>
        <v>9.4225498535110155E-2</v>
      </c>
      <c r="M52" s="39">
        <f t="shared" ref="M52:N52" si="4">(D27-D21)/D21</f>
        <v>6.3282336578581316E-2</v>
      </c>
      <c r="N52" s="39">
        <f t="shared" si="4"/>
        <v>6.3531063531063622E-2</v>
      </c>
      <c r="P52" s="2" t="s">
        <v>166</v>
      </c>
      <c r="Q52" s="1"/>
      <c r="R52">
        <v>2020</v>
      </c>
      <c r="S52" s="39">
        <f>(C28-C22)/C22</f>
        <v>8.7646947288585561E-2</v>
      </c>
      <c r="T52" s="39">
        <f t="shared" ref="T52:U52" si="5">(D28-D22)/D22</f>
        <v>4.6957671957672115E-2</v>
      </c>
      <c r="U52" s="39">
        <f t="shared" si="5"/>
        <v>5.4054054054053689E-2</v>
      </c>
    </row>
    <row r="53" spans="1:26" x14ac:dyDescent="0.3">
      <c r="A53" s="66"/>
      <c r="C53" s="67" t="s">
        <v>173</v>
      </c>
      <c r="D53">
        <v>2021</v>
      </c>
      <c r="E53" s="39">
        <f>(C35-C29)/C29</f>
        <v>4.8304670488379456E-2</v>
      </c>
      <c r="F53" s="39">
        <f>(D35-D29)/D29</f>
        <v>7.0769230769230765E-2</v>
      </c>
      <c r="G53" s="39">
        <f>(E35-E29)/E29</f>
        <v>5.1212938005390757E-2</v>
      </c>
      <c r="I53" s="67" t="s">
        <v>173</v>
      </c>
      <c r="J53" s="1"/>
      <c r="K53">
        <v>2021</v>
      </c>
      <c r="L53" s="39">
        <f>(C36-C30)/C30</f>
        <v>4.9938832576022447E-2</v>
      </c>
      <c r="M53" s="39">
        <f t="shared" ref="M53:N53" si="6">(D36-D30)/D30</f>
        <v>7.1382219338092148E-2</v>
      </c>
      <c r="N53" s="39">
        <f t="shared" si="6"/>
        <v>5.2076466710613278E-2</v>
      </c>
      <c r="P53" s="67" t="s">
        <v>173</v>
      </c>
      <c r="Q53" s="1"/>
      <c r="R53">
        <v>2021</v>
      </c>
      <c r="S53" s="39">
        <f>(C37-C31)/C31</f>
        <v>4.8740609809986825E-2</v>
      </c>
      <c r="T53" s="39">
        <f t="shared" ref="T53:U53" si="7">(D37-D31)/D31</f>
        <v>7.0935342121782693E-2</v>
      </c>
      <c r="U53" s="39">
        <f t="shared" si="7"/>
        <v>5.1983805668016234E-2</v>
      </c>
    </row>
    <row r="54" spans="1:26" x14ac:dyDescent="0.3">
      <c r="A54" s="66"/>
      <c r="C54" s="67"/>
      <c r="D54">
        <v>2022</v>
      </c>
      <c r="E54" s="39">
        <f>(C44-C38)/C38</f>
        <v>5.5169176942441521E-2</v>
      </c>
      <c r="F54" s="39">
        <f>(D44-D38)/D38</f>
        <v>5.0372066399542142E-2</v>
      </c>
      <c r="G54" s="39">
        <f>(E44-E38)/E38</f>
        <v>5.281372253987382E-2</v>
      </c>
      <c r="I54" s="67"/>
      <c r="J54" s="1"/>
      <c r="K54">
        <v>2022</v>
      </c>
      <c r="L54" s="39">
        <f>(C45-C39)/C39</f>
        <v>4.7752926859972192E-2</v>
      </c>
      <c r="M54" s="39">
        <f t="shared" ref="M54:N54" si="8">(D45-D39)/D39</f>
        <v>6.6827212522576729E-2</v>
      </c>
      <c r="N54" s="39">
        <f t="shared" si="8"/>
        <v>6.6011235955056285E-2</v>
      </c>
      <c r="P54" s="67"/>
      <c r="Q54" s="1"/>
      <c r="R54">
        <v>2022</v>
      </c>
      <c r="S54" s="39">
        <f>(C46-C40)/C40</f>
        <v>5.2749957562383577E-2</v>
      </c>
      <c r="T54" s="39">
        <f t="shared" ref="T54:U54" si="9">(D46-D40)/D40</f>
        <v>5.6592765460910084E-2</v>
      </c>
      <c r="U54" s="39">
        <f t="shared" si="9"/>
        <v>6.0159607120933163E-2</v>
      </c>
    </row>
    <row r="55" spans="1:26" x14ac:dyDescent="0.3">
      <c r="Z55" s="51"/>
    </row>
  </sheetData>
  <autoFilter ref="A1:F46" xr:uid="{B2DC443C-1BA4-42C5-8EBD-6F7113830CD6}">
    <filterColumn colId="0">
      <filters>
        <filter val="Rural"/>
      </filters>
    </filterColumn>
    <filterColumn colId="1">
      <filters>
        <filter val="Dec-18"/>
        <filter val="Dec-19"/>
        <filter val="Dec-20"/>
        <filter val="Dec-21"/>
        <filter val="Dec-22"/>
        <filter val="Jan-18"/>
        <filter val="Jan-19"/>
        <filter val="Jan-20"/>
        <filter val="Jan-21"/>
        <filter val="Jan-22"/>
      </filters>
    </filterColumn>
  </autoFilter>
  <mergeCells count="15">
    <mergeCell ref="P53:P54"/>
    <mergeCell ref="P48:U48"/>
    <mergeCell ref="A53:A54"/>
    <mergeCell ref="C53:C54"/>
    <mergeCell ref="D48:G48"/>
    <mergeCell ref="I50:I51"/>
    <mergeCell ref="I53:I54"/>
    <mergeCell ref="I48:N48"/>
    <mergeCell ref="Q36:Q37"/>
    <mergeCell ref="Q39:Q40"/>
    <mergeCell ref="P36:P37"/>
    <mergeCell ref="P39:P40"/>
    <mergeCell ref="A50:A51"/>
    <mergeCell ref="C50:C51"/>
    <mergeCell ref="P50:P5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4DD6-0859-4C79-B241-E382CD3FCF61}">
  <sheetPr filterMode="1"/>
  <dimension ref="A1:AP123"/>
  <sheetViews>
    <sheetView topLeftCell="E1" zoomScale="95" workbookViewId="0">
      <pane ySplit="3" topLeftCell="A85" activePane="bottomLeft" state="frozen"/>
      <selection activeCell="E1" sqref="E1"/>
      <selection pane="bottomLeft" activeCell="F98" sqref="F98"/>
    </sheetView>
  </sheetViews>
  <sheetFormatPr defaultRowHeight="14.4" x14ac:dyDescent="0.3"/>
  <cols>
    <col min="1" max="1" width="11.21875" bestFit="1" customWidth="1"/>
    <col min="2" max="2" width="6.88671875" bestFit="1" customWidth="1"/>
    <col min="3" max="3" width="9.77734375" bestFit="1" customWidth="1"/>
    <col min="4" max="4" width="22.5546875" bestFit="1" customWidth="1"/>
    <col min="5" max="5" width="31.33203125" bestFit="1" customWidth="1"/>
    <col min="6" max="6" width="16.33203125" bestFit="1" customWidth="1"/>
    <col min="7" max="7" width="13.6640625" customWidth="1"/>
    <col min="8" max="8" width="21.109375" bestFit="1" customWidth="1"/>
    <col min="9" max="9" width="14.88671875" bestFit="1" customWidth="1"/>
    <col min="10" max="10" width="11.21875" bestFit="1" customWidth="1"/>
    <col min="11" max="11" width="18.6640625" bestFit="1" customWidth="1"/>
    <col min="12" max="12" width="13.5546875" bestFit="1" customWidth="1"/>
    <col min="13" max="13" width="11.21875" bestFit="1" customWidth="1"/>
    <col min="14" max="14" width="12.5546875" bestFit="1" customWidth="1"/>
    <col min="15" max="15" width="20.33203125" bestFit="1" customWidth="1"/>
    <col min="16" max="16" width="24.44140625" bestFit="1" customWidth="1"/>
    <col min="17" max="17" width="11.21875" bestFit="1" customWidth="1"/>
    <col min="18" max="18" width="24.33203125" bestFit="1" customWidth="1"/>
    <col min="19" max="19" width="33.6640625" bestFit="1" customWidth="1"/>
    <col min="20" max="20" width="20.44140625" bestFit="1" customWidth="1"/>
    <col min="21" max="21" width="28" bestFit="1" customWidth="1"/>
    <col min="22" max="23" width="11.21875" bestFit="1" customWidth="1"/>
    <col min="24" max="24" width="22.33203125" bestFit="1" customWidth="1"/>
    <col min="25" max="25" width="11.21875" bestFit="1" customWidth="1"/>
    <col min="26" max="26" width="14.5546875" bestFit="1" customWidth="1"/>
    <col min="27" max="27" width="29" bestFit="1" customWidth="1"/>
    <col min="28" max="28" width="11.21875" bestFit="1" customWidth="1"/>
    <col min="29" max="29" width="29.21875" bestFit="1" customWidth="1"/>
    <col min="30" max="30" width="26.77734375" bestFit="1" customWidth="1"/>
    <col min="31" max="31" width="11.77734375" bestFit="1" customWidth="1"/>
    <col min="32" max="32" width="24.6640625" bestFit="1" customWidth="1"/>
    <col min="33" max="33" width="15.21875" bestFit="1" customWidth="1"/>
    <col min="34" max="34" width="14.6640625" bestFit="1" customWidth="1"/>
    <col min="35" max="35" width="16.21875" bestFit="1" customWidth="1"/>
    <col min="36" max="36" width="15.33203125" bestFit="1" customWidth="1"/>
    <col min="37" max="37" width="16.77734375" bestFit="1" customWidth="1"/>
    <col min="38" max="38" width="23.77734375" bestFit="1" customWidth="1"/>
    <col min="39" max="39" width="22.109375" bestFit="1" customWidth="1"/>
    <col min="40" max="40" width="24.33203125" bestFit="1" customWidth="1"/>
    <col min="41" max="41" width="25.88671875" bestFit="1" customWidth="1"/>
    <col min="42" max="42" width="24.21875" bestFit="1" customWidth="1"/>
  </cols>
  <sheetData>
    <row r="1" spans="1:42" x14ac:dyDescent="0.3">
      <c r="A1" s="10" t="s">
        <v>32</v>
      </c>
      <c r="B1" s="11" t="s">
        <v>33</v>
      </c>
      <c r="C1" s="11" t="s">
        <v>34</v>
      </c>
      <c r="D1" s="11" t="s">
        <v>106</v>
      </c>
      <c r="E1" s="11" t="s">
        <v>35</v>
      </c>
      <c r="F1" s="11" t="s">
        <v>36</v>
      </c>
      <c r="G1" s="11" t="s">
        <v>183</v>
      </c>
      <c r="H1" s="11" t="s">
        <v>37</v>
      </c>
      <c r="I1" s="11" t="s">
        <v>38</v>
      </c>
      <c r="J1" s="11" t="s">
        <v>39</v>
      </c>
      <c r="K1" s="11" t="s">
        <v>40</v>
      </c>
      <c r="L1" s="11" t="s">
        <v>41</v>
      </c>
      <c r="M1" s="11" t="s">
        <v>42</v>
      </c>
      <c r="N1" s="11" t="s">
        <v>43</v>
      </c>
      <c r="O1" s="11" t="s">
        <v>44</v>
      </c>
      <c r="P1" s="11" t="s">
        <v>45</v>
      </c>
      <c r="Q1" s="11" t="s">
        <v>46</v>
      </c>
      <c r="R1" s="11" t="s">
        <v>47</v>
      </c>
      <c r="S1" s="11" t="s">
        <v>48</v>
      </c>
      <c r="T1" s="11" t="s">
        <v>49</v>
      </c>
      <c r="U1" s="11" t="s">
        <v>50</v>
      </c>
      <c r="V1" s="11" t="s">
        <v>51</v>
      </c>
      <c r="W1" s="11" t="s">
        <v>52</v>
      </c>
      <c r="X1" s="11" t="s">
        <v>53</v>
      </c>
      <c r="Y1" s="11" t="s">
        <v>54</v>
      </c>
      <c r="Z1" s="11" t="s">
        <v>55</v>
      </c>
      <c r="AA1" s="11" t="s">
        <v>56</v>
      </c>
      <c r="AB1" s="11" t="s">
        <v>57</v>
      </c>
      <c r="AC1" s="11" t="s">
        <v>58</v>
      </c>
      <c r="AD1" s="11" t="s">
        <v>59</v>
      </c>
      <c r="AE1" s="11" t="s">
        <v>60</v>
      </c>
      <c r="AF1" s="11" t="s">
        <v>61</v>
      </c>
      <c r="AG1" s="11" t="s">
        <v>62</v>
      </c>
      <c r="AH1" s="11" t="s">
        <v>63</v>
      </c>
      <c r="AI1" s="11" t="s">
        <v>88</v>
      </c>
      <c r="AJ1" s="11" t="s">
        <v>94</v>
      </c>
      <c r="AK1" s="11" t="s">
        <v>93</v>
      </c>
      <c r="AL1" s="11" t="s">
        <v>92</v>
      </c>
      <c r="AM1" s="11" t="s">
        <v>91</v>
      </c>
      <c r="AN1" s="11" t="s">
        <v>95</v>
      </c>
      <c r="AO1" s="11" t="s">
        <v>90</v>
      </c>
      <c r="AP1" s="12" t="s">
        <v>89</v>
      </c>
    </row>
    <row r="2" spans="1:42" hidden="1" x14ac:dyDescent="0.3">
      <c r="A2" s="27" t="s">
        <v>0</v>
      </c>
      <c r="B2" s="20">
        <v>2021</v>
      </c>
      <c r="C2" s="20" t="s">
        <v>1</v>
      </c>
      <c r="D2" s="21" t="s">
        <v>110</v>
      </c>
      <c r="E2" s="33">
        <v>44197</v>
      </c>
      <c r="F2" s="20" t="s">
        <v>85</v>
      </c>
      <c r="G2" s="20"/>
      <c r="H2" s="20">
        <v>143.4</v>
      </c>
      <c r="I2" s="20">
        <v>187.5</v>
      </c>
      <c r="J2" s="20">
        <v>173.4</v>
      </c>
      <c r="K2" s="20">
        <v>154</v>
      </c>
      <c r="L2" s="20">
        <v>154.80000000000001</v>
      </c>
      <c r="M2" s="20">
        <v>147</v>
      </c>
      <c r="N2" s="20">
        <v>187.8</v>
      </c>
      <c r="O2" s="20">
        <v>159.5</v>
      </c>
      <c r="P2" s="20">
        <v>113.8</v>
      </c>
      <c r="Q2" s="20">
        <v>164.5</v>
      </c>
      <c r="R2" s="20">
        <v>156.1</v>
      </c>
      <c r="S2" s="20">
        <v>164.3</v>
      </c>
      <c r="T2" s="20">
        <v>159.6</v>
      </c>
      <c r="U2" s="20">
        <v>184.6</v>
      </c>
      <c r="V2" s="20">
        <v>157.5</v>
      </c>
      <c r="W2" s="20">
        <v>152.4</v>
      </c>
      <c r="X2" s="20">
        <v>156.80000000000001</v>
      </c>
      <c r="Y2" s="30">
        <v>139.27096774193564</v>
      </c>
      <c r="Z2" s="20">
        <v>150.9</v>
      </c>
      <c r="AA2" s="20">
        <v>153.9</v>
      </c>
      <c r="AB2" s="20">
        <v>162.5</v>
      </c>
      <c r="AC2" s="20">
        <v>147.5</v>
      </c>
      <c r="AD2" s="20">
        <v>155.1</v>
      </c>
      <c r="AE2" s="20">
        <v>163.5</v>
      </c>
      <c r="AF2" s="20">
        <v>156.19999999999999</v>
      </c>
      <c r="AG2" s="20">
        <v>155.9</v>
      </c>
      <c r="AH2" s="20">
        <v>158.5</v>
      </c>
      <c r="AI2" s="28">
        <v>3944.9709677419364</v>
      </c>
      <c r="AJ2" s="28">
        <v>630.70000000000005</v>
      </c>
      <c r="AK2" s="28">
        <v>309.89999999999998</v>
      </c>
      <c r="AL2" s="28">
        <v>293.17096774193567</v>
      </c>
      <c r="AM2" s="28">
        <v>2250.2999999999997</v>
      </c>
      <c r="AN2" s="28">
        <v>157.67500000000001</v>
      </c>
      <c r="AO2" s="28">
        <v>146.58548387096783</v>
      </c>
      <c r="AP2" s="23">
        <v>160.73571428571427</v>
      </c>
    </row>
    <row r="3" spans="1:42" hidden="1" x14ac:dyDescent="0.3">
      <c r="A3" s="26" t="s">
        <v>2</v>
      </c>
      <c r="B3" s="21">
        <v>2021</v>
      </c>
      <c r="C3" s="21" t="s">
        <v>1</v>
      </c>
      <c r="D3" s="21" t="s">
        <v>110</v>
      </c>
      <c r="E3" s="32">
        <v>44197</v>
      </c>
      <c r="F3" s="21" t="s">
        <v>85</v>
      </c>
      <c r="G3" s="54"/>
      <c r="H3" s="21">
        <v>148</v>
      </c>
      <c r="I3" s="21">
        <v>194.8</v>
      </c>
      <c r="J3" s="21">
        <v>178.4</v>
      </c>
      <c r="K3" s="21">
        <v>154.4</v>
      </c>
      <c r="L3" s="21">
        <v>144.1</v>
      </c>
      <c r="M3" s="21">
        <v>152.6</v>
      </c>
      <c r="N3" s="21">
        <v>206.8</v>
      </c>
      <c r="O3" s="21">
        <v>162.1</v>
      </c>
      <c r="P3" s="21">
        <v>116.3</v>
      </c>
      <c r="Q3" s="21">
        <v>163</v>
      </c>
      <c r="R3" s="21">
        <v>145.9</v>
      </c>
      <c r="S3" s="21">
        <v>167.2</v>
      </c>
      <c r="T3" s="21">
        <v>163.4</v>
      </c>
      <c r="U3" s="21">
        <v>191.8</v>
      </c>
      <c r="V3" s="21">
        <v>152.5</v>
      </c>
      <c r="W3" s="21">
        <v>137.30000000000001</v>
      </c>
      <c r="X3" s="21">
        <v>150.19999999999999</v>
      </c>
      <c r="Y3" s="21">
        <v>157.69999999999999</v>
      </c>
      <c r="Z3" s="21">
        <v>142.9</v>
      </c>
      <c r="AA3" s="21">
        <v>145.69999999999999</v>
      </c>
      <c r="AB3" s="21">
        <v>154.1</v>
      </c>
      <c r="AC3" s="21">
        <v>136.9</v>
      </c>
      <c r="AD3" s="21">
        <v>145.4</v>
      </c>
      <c r="AE3" s="21">
        <v>156.1</v>
      </c>
      <c r="AF3" s="21">
        <v>157.69999999999999</v>
      </c>
      <c r="AG3" s="21">
        <v>147.6</v>
      </c>
      <c r="AH3" s="21">
        <v>156</v>
      </c>
      <c r="AI3" s="28">
        <v>3922.7000000000007</v>
      </c>
      <c r="AJ3" s="28">
        <v>606.79999999999995</v>
      </c>
      <c r="AK3" s="28">
        <v>289.8</v>
      </c>
      <c r="AL3" s="28">
        <v>303.39999999999998</v>
      </c>
      <c r="AM3" s="28">
        <v>2288.8000000000002</v>
      </c>
      <c r="AN3" s="28">
        <v>151.69999999999999</v>
      </c>
      <c r="AO3" s="28">
        <v>151.69999999999999</v>
      </c>
      <c r="AP3" s="22">
        <v>163.48571428571429</v>
      </c>
    </row>
    <row r="4" spans="1:42" x14ac:dyDescent="0.3">
      <c r="A4" s="27" t="s">
        <v>3</v>
      </c>
      <c r="B4" s="20">
        <v>2021</v>
      </c>
      <c r="C4" s="20" t="s">
        <v>1</v>
      </c>
      <c r="D4" s="21" t="s">
        <v>110</v>
      </c>
      <c r="E4" s="33">
        <v>44197</v>
      </c>
      <c r="F4" s="20" t="s">
        <v>85</v>
      </c>
      <c r="G4" s="58">
        <v>86692.515382787504</v>
      </c>
      <c r="H4" s="20">
        <v>144.9</v>
      </c>
      <c r="I4" s="20">
        <v>190.1</v>
      </c>
      <c r="J4" s="20">
        <v>175.3</v>
      </c>
      <c r="K4" s="20">
        <v>154.1</v>
      </c>
      <c r="L4" s="20">
        <v>150.9</v>
      </c>
      <c r="M4" s="20">
        <v>149.6</v>
      </c>
      <c r="N4" s="20">
        <v>194.2</v>
      </c>
      <c r="O4" s="20">
        <v>160.4</v>
      </c>
      <c r="P4" s="20">
        <v>114.6</v>
      </c>
      <c r="Q4" s="20">
        <v>164</v>
      </c>
      <c r="R4" s="20">
        <v>151.80000000000001</v>
      </c>
      <c r="S4" s="20">
        <v>165.6</v>
      </c>
      <c r="T4" s="20">
        <v>161</v>
      </c>
      <c r="U4" s="20">
        <v>186.5</v>
      </c>
      <c r="V4" s="20">
        <v>155.5</v>
      </c>
      <c r="W4" s="20">
        <v>146.1</v>
      </c>
      <c r="X4" s="20">
        <v>154.19999999999999</v>
      </c>
      <c r="Y4" s="20">
        <v>157.69999999999999</v>
      </c>
      <c r="Z4" s="20">
        <v>147.9</v>
      </c>
      <c r="AA4" s="20">
        <v>150</v>
      </c>
      <c r="AB4" s="20">
        <v>159.30000000000001</v>
      </c>
      <c r="AC4" s="20">
        <v>141.9</v>
      </c>
      <c r="AD4" s="20">
        <v>149.6</v>
      </c>
      <c r="AE4" s="20">
        <v>159.19999999999999</v>
      </c>
      <c r="AF4" s="20">
        <v>156.80000000000001</v>
      </c>
      <c r="AG4" s="20">
        <v>151.9</v>
      </c>
      <c r="AH4" s="20">
        <v>157.30000000000001</v>
      </c>
      <c r="AI4" s="28">
        <v>3938.8999999999996</v>
      </c>
      <c r="AJ4" s="28">
        <v>617.5</v>
      </c>
      <c r="AK4" s="28">
        <v>301.60000000000002</v>
      </c>
      <c r="AL4" s="28">
        <v>307.7</v>
      </c>
      <c r="AM4" s="28">
        <v>2263</v>
      </c>
      <c r="AN4" s="28">
        <v>154.375</v>
      </c>
      <c r="AO4" s="28">
        <v>153.85</v>
      </c>
      <c r="AP4" s="23">
        <v>161.64285714285714</v>
      </c>
    </row>
    <row r="5" spans="1:42" hidden="1" x14ac:dyDescent="0.3">
      <c r="A5" s="26" t="s">
        <v>0</v>
      </c>
      <c r="B5" s="21">
        <v>2021</v>
      </c>
      <c r="C5" s="21" t="s">
        <v>4</v>
      </c>
      <c r="D5" s="21" t="s">
        <v>113</v>
      </c>
      <c r="E5" s="32">
        <v>44228</v>
      </c>
      <c r="F5" s="21" t="s">
        <v>85</v>
      </c>
      <c r="G5" s="56"/>
      <c r="H5" s="21">
        <v>142.80000000000001</v>
      </c>
      <c r="I5" s="21">
        <v>184</v>
      </c>
      <c r="J5" s="21">
        <v>168</v>
      </c>
      <c r="K5" s="21">
        <v>154.4</v>
      </c>
      <c r="L5" s="21">
        <v>163</v>
      </c>
      <c r="M5" s="21">
        <v>147.80000000000001</v>
      </c>
      <c r="N5" s="21">
        <v>149.69999999999999</v>
      </c>
      <c r="O5" s="21">
        <v>158.30000000000001</v>
      </c>
      <c r="P5" s="21">
        <v>111.8</v>
      </c>
      <c r="Q5" s="21">
        <v>165</v>
      </c>
      <c r="R5" s="21">
        <v>160</v>
      </c>
      <c r="S5" s="21">
        <v>165.8</v>
      </c>
      <c r="T5" s="21">
        <v>154.69999999999999</v>
      </c>
      <c r="U5" s="21">
        <v>186.5</v>
      </c>
      <c r="V5" s="21">
        <v>159.1</v>
      </c>
      <c r="W5" s="21">
        <v>153.9</v>
      </c>
      <c r="X5" s="21">
        <v>158.4</v>
      </c>
      <c r="Y5" s="28">
        <v>139.27096774193564</v>
      </c>
      <c r="Z5" s="21">
        <v>154.4</v>
      </c>
      <c r="AA5" s="21">
        <v>154.80000000000001</v>
      </c>
      <c r="AB5" s="21">
        <v>164.3</v>
      </c>
      <c r="AC5" s="21">
        <v>150.19999999999999</v>
      </c>
      <c r="AD5" s="21">
        <v>157</v>
      </c>
      <c r="AE5" s="21">
        <v>163.6</v>
      </c>
      <c r="AF5" s="21">
        <v>155.19999999999999</v>
      </c>
      <c r="AG5" s="21">
        <v>157.19999999999999</v>
      </c>
      <c r="AH5" s="21">
        <v>156.69999999999999</v>
      </c>
      <c r="AI5" s="28">
        <v>3920.7709677419361</v>
      </c>
      <c r="AJ5" s="28">
        <v>633</v>
      </c>
      <c r="AK5" s="28">
        <v>313</v>
      </c>
      <c r="AL5" s="28">
        <v>294.07096774193565</v>
      </c>
      <c r="AM5" s="28">
        <v>2211.8000000000002</v>
      </c>
      <c r="AN5" s="28">
        <v>158.25</v>
      </c>
      <c r="AO5" s="28">
        <v>147.03548387096782</v>
      </c>
      <c r="AP5" s="22">
        <v>157.98571428571429</v>
      </c>
    </row>
    <row r="6" spans="1:42" hidden="1" x14ac:dyDescent="0.3">
      <c r="A6" s="27" t="s">
        <v>2</v>
      </c>
      <c r="B6" s="20">
        <v>2021</v>
      </c>
      <c r="C6" s="20" t="s">
        <v>4</v>
      </c>
      <c r="D6" s="21" t="s">
        <v>113</v>
      </c>
      <c r="E6" s="33">
        <v>44228</v>
      </c>
      <c r="F6" s="20" t="s">
        <v>85</v>
      </c>
      <c r="G6" s="55"/>
      <c r="H6" s="20">
        <v>147.6</v>
      </c>
      <c r="I6" s="20">
        <v>191.2</v>
      </c>
      <c r="J6" s="20">
        <v>169.9</v>
      </c>
      <c r="K6" s="20">
        <v>155.1</v>
      </c>
      <c r="L6" s="20">
        <v>151.4</v>
      </c>
      <c r="M6" s="20">
        <v>154</v>
      </c>
      <c r="N6" s="20">
        <v>180.2</v>
      </c>
      <c r="O6" s="20">
        <v>159.80000000000001</v>
      </c>
      <c r="P6" s="20">
        <v>114.9</v>
      </c>
      <c r="Q6" s="20">
        <v>162.5</v>
      </c>
      <c r="R6" s="20">
        <v>149.19999999999999</v>
      </c>
      <c r="S6" s="20">
        <v>169.4</v>
      </c>
      <c r="T6" s="20">
        <v>160.80000000000001</v>
      </c>
      <c r="U6" s="20">
        <v>193.3</v>
      </c>
      <c r="V6" s="20">
        <v>154.19999999999999</v>
      </c>
      <c r="W6" s="20">
        <v>138.19999999999999</v>
      </c>
      <c r="X6" s="20">
        <v>151.80000000000001</v>
      </c>
      <c r="Y6" s="20">
        <v>159.80000000000001</v>
      </c>
      <c r="Z6" s="20">
        <v>149.1</v>
      </c>
      <c r="AA6" s="20">
        <v>146.5</v>
      </c>
      <c r="AB6" s="20">
        <v>156.30000000000001</v>
      </c>
      <c r="AC6" s="20">
        <v>140.5</v>
      </c>
      <c r="AD6" s="20">
        <v>147.30000000000001</v>
      </c>
      <c r="AE6" s="20">
        <v>156.6</v>
      </c>
      <c r="AF6" s="20">
        <v>156.69999999999999</v>
      </c>
      <c r="AG6" s="20">
        <v>149.30000000000001</v>
      </c>
      <c r="AH6" s="20">
        <v>156.5</v>
      </c>
      <c r="AI6" s="28">
        <v>3913.7999999999997</v>
      </c>
      <c r="AJ6" s="28">
        <v>609.90000000000009</v>
      </c>
      <c r="AK6" s="28">
        <v>292.39999999999998</v>
      </c>
      <c r="AL6" s="28">
        <v>306.3</v>
      </c>
      <c r="AM6" s="28">
        <v>2259.3000000000002</v>
      </c>
      <c r="AN6" s="28">
        <v>152.47500000000002</v>
      </c>
      <c r="AO6" s="28">
        <v>153.15</v>
      </c>
      <c r="AP6" s="23">
        <v>161.37857142857143</v>
      </c>
    </row>
    <row r="7" spans="1:42" x14ac:dyDescent="0.3">
      <c r="A7" s="26" t="s">
        <v>3</v>
      </c>
      <c r="B7" s="21">
        <v>2021</v>
      </c>
      <c r="C7" s="21" t="s">
        <v>4</v>
      </c>
      <c r="D7" s="21" t="s">
        <v>113</v>
      </c>
      <c r="E7" s="32">
        <v>44228</v>
      </c>
      <c r="F7" s="21" t="s">
        <v>85</v>
      </c>
      <c r="G7" s="59">
        <v>87441.416368947481</v>
      </c>
      <c r="H7" s="21">
        <v>144.30000000000001</v>
      </c>
      <c r="I7" s="21">
        <v>186.5</v>
      </c>
      <c r="J7" s="21">
        <v>168.7</v>
      </c>
      <c r="K7" s="21">
        <v>154.69999999999999</v>
      </c>
      <c r="L7" s="21">
        <v>158.69999999999999</v>
      </c>
      <c r="M7" s="21">
        <v>150.69999999999999</v>
      </c>
      <c r="N7" s="21">
        <v>160</v>
      </c>
      <c r="O7" s="21">
        <v>158.80000000000001</v>
      </c>
      <c r="P7" s="21">
        <v>112.8</v>
      </c>
      <c r="Q7" s="21">
        <v>164.2</v>
      </c>
      <c r="R7" s="21">
        <v>155.5</v>
      </c>
      <c r="S7" s="21">
        <v>167.5</v>
      </c>
      <c r="T7" s="21">
        <v>156.9</v>
      </c>
      <c r="U7" s="21">
        <v>188.3</v>
      </c>
      <c r="V7" s="21">
        <v>157.19999999999999</v>
      </c>
      <c r="W7" s="21">
        <v>147.4</v>
      </c>
      <c r="X7" s="21">
        <v>155.80000000000001</v>
      </c>
      <c r="Y7" s="21">
        <v>159.80000000000001</v>
      </c>
      <c r="Z7" s="21">
        <v>152.4</v>
      </c>
      <c r="AA7" s="21">
        <v>150.9</v>
      </c>
      <c r="AB7" s="21">
        <v>161.30000000000001</v>
      </c>
      <c r="AC7" s="21">
        <v>145.1</v>
      </c>
      <c r="AD7" s="21">
        <v>151.5</v>
      </c>
      <c r="AE7" s="21">
        <v>159.5</v>
      </c>
      <c r="AF7" s="21">
        <v>155.80000000000001</v>
      </c>
      <c r="AG7" s="21">
        <v>153.4</v>
      </c>
      <c r="AH7" s="21">
        <v>156.6</v>
      </c>
      <c r="AI7" s="28">
        <v>3921.9</v>
      </c>
      <c r="AJ7" s="28">
        <v>620.20000000000005</v>
      </c>
      <c r="AK7" s="28">
        <v>304.60000000000002</v>
      </c>
      <c r="AL7" s="28">
        <v>310.70000000000005</v>
      </c>
      <c r="AM7" s="28">
        <v>2227.6000000000004</v>
      </c>
      <c r="AN7" s="28">
        <v>155.05000000000001</v>
      </c>
      <c r="AO7" s="28">
        <v>155.35000000000002</v>
      </c>
      <c r="AP7" s="22">
        <v>159.11428571428573</v>
      </c>
    </row>
    <row r="8" spans="1:42" hidden="1" x14ac:dyDescent="0.3">
      <c r="A8" s="27" t="s">
        <v>0</v>
      </c>
      <c r="B8" s="20">
        <v>2021</v>
      </c>
      <c r="C8" s="20" t="s">
        <v>5</v>
      </c>
      <c r="D8" s="21" t="s">
        <v>119</v>
      </c>
      <c r="E8" s="33">
        <v>44256</v>
      </c>
      <c r="F8" s="20" t="s">
        <v>85</v>
      </c>
      <c r="G8" s="57"/>
      <c r="H8" s="20">
        <v>142.5</v>
      </c>
      <c r="I8" s="20">
        <v>189.4</v>
      </c>
      <c r="J8" s="20">
        <v>163.19999999999999</v>
      </c>
      <c r="K8" s="20">
        <v>154.5</v>
      </c>
      <c r="L8" s="20">
        <v>168.2</v>
      </c>
      <c r="M8" s="20">
        <v>150.5</v>
      </c>
      <c r="N8" s="20">
        <v>141</v>
      </c>
      <c r="O8" s="20">
        <v>159.19999999999999</v>
      </c>
      <c r="P8" s="20">
        <v>111.7</v>
      </c>
      <c r="Q8" s="20">
        <v>164</v>
      </c>
      <c r="R8" s="20">
        <v>160.6</v>
      </c>
      <c r="S8" s="20">
        <v>166.4</v>
      </c>
      <c r="T8" s="20">
        <v>154.5</v>
      </c>
      <c r="U8" s="20">
        <v>186.1</v>
      </c>
      <c r="V8" s="20">
        <v>159.6</v>
      </c>
      <c r="W8" s="20">
        <v>154.4</v>
      </c>
      <c r="X8" s="20">
        <v>158.9</v>
      </c>
      <c r="Y8" s="30">
        <v>139.27096774193564</v>
      </c>
      <c r="Z8" s="20">
        <v>156</v>
      </c>
      <c r="AA8" s="20">
        <v>154.80000000000001</v>
      </c>
      <c r="AB8" s="20">
        <v>164.6</v>
      </c>
      <c r="AC8" s="20">
        <v>151.30000000000001</v>
      </c>
      <c r="AD8" s="20">
        <v>157.80000000000001</v>
      </c>
      <c r="AE8" s="20">
        <v>163.80000000000001</v>
      </c>
      <c r="AF8" s="20">
        <v>153.1</v>
      </c>
      <c r="AG8" s="20">
        <v>157.30000000000001</v>
      </c>
      <c r="AH8" s="20">
        <v>156.69999999999999</v>
      </c>
      <c r="AI8" s="28">
        <v>3923.7709677419352</v>
      </c>
      <c r="AJ8" s="28">
        <v>632</v>
      </c>
      <c r="AK8" s="28">
        <v>314</v>
      </c>
      <c r="AL8" s="28">
        <v>294.07096774193565</v>
      </c>
      <c r="AM8" s="28">
        <v>2211.8000000000002</v>
      </c>
      <c r="AN8" s="28">
        <v>158</v>
      </c>
      <c r="AO8" s="28">
        <v>147.03548387096782</v>
      </c>
      <c r="AP8" s="23">
        <v>157.98571428571429</v>
      </c>
    </row>
    <row r="9" spans="1:42" hidden="1" x14ac:dyDescent="0.3">
      <c r="A9" s="26" t="s">
        <v>2</v>
      </c>
      <c r="B9" s="21">
        <v>2021</v>
      </c>
      <c r="C9" s="21" t="s">
        <v>5</v>
      </c>
      <c r="D9" s="21" t="s">
        <v>119</v>
      </c>
      <c r="E9" s="32">
        <v>44256</v>
      </c>
      <c r="F9" s="21" t="s">
        <v>85</v>
      </c>
      <c r="G9" s="54"/>
      <c r="H9" s="21">
        <v>147.5</v>
      </c>
      <c r="I9" s="21">
        <v>197.5</v>
      </c>
      <c r="J9" s="21">
        <v>164.7</v>
      </c>
      <c r="K9" s="21">
        <v>155.6</v>
      </c>
      <c r="L9" s="21">
        <v>156.4</v>
      </c>
      <c r="M9" s="21">
        <v>157.30000000000001</v>
      </c>
      <c r="N9" s="21">
        <v>166.1</v>
      </c>
      <c r="O9" s="21">
        <v>161.1</v>
      </c>
      <c r="P9" s="21">
        <v>114.3</v>
      </c>
      <c r="Q9" s="21">
        <v>162.6</v>
      </c>
      <c r="R9" s="21">
        <v>150.69999999999999</v>
      </c>
      <c r="S9" s="21">
        <v>170.3</v>
      </c>
      <c r="T9" s="21">
        <v>160.4</v>
      </c>
      <c r="U9" s="21">
        <v>193.5</v>
      </c>
      <c r="V9" s="21">
        <v>155.1</v>
      </c>
      <c r="W9" s="21">
        <v>138.69999999999999</v>
      </c>
      <c r="X9" s="21">
        <v>152.6</v>
      </c>
      <c r="Y9" s="21">
        <v>159.9</v>
      </c>
      <c r="Z9" s="21">
        <v>154.80000000000001</v>
      </c>
      <c r="AA9" s="21">
        <v>147.19999999999999</v>
      </c>
      <c r="AB9" s="21">
        <v>156.9</v>
      </c>
      <c r="AC9" s="21">
        <v>141.69999999999999</v>
      </c>
      <c r="AD9" s="21">
        <v>148.6</v>
      </c>
      <c r="AE9" s="21">
        <v>157.6</v>
      </c>
      <c r="AF9" s="21">
        <v>154.9</v>
      </c>
      <c r="AG9" s="21">
        <v>150</v>
      </c>
      <c r="AH9" s="21">
        <v>156.9</v>
      </c>
      <c r="AI9" s="28">
        <v>3923.4</v>
      </c>
      <c r="AJ9" s="28">
        <v>611.1</v>
      </c>
      <c r="AK9" s="28">
        <v>293.79999999999995</v>
      </c>
      <c r="AL9" s="28">
        <v>307.10000000000002</v>
      </c>
      <c r="AM9" s="28">
        <v>2257.9999999999995</v>
      </c>
      <c r="AN9" s="28">
        <v>152.77500000000001</v>
      </c>
      <c r="AO9" s="28">
        <v>153.55000000000001</v>
      </c>
      <c r="AP9" s="22">
        <v>161.28571428571425</v>
      </c>
    </row>
    <row r="10" spans="1:42" x14ac:dyDescent="0.3">
      <c r="A10" s="27" t="s">
        <v>3</v>
      </c>
      <c r="B10" s="20">
        <v>2021</v>
      </c>
      <c r="C10" s="20" t="s">
        <v>5</v>
      </c>
      <c r="D10" s="21" t="s">
        <v>119</v>
      </c>
      <c r="E10" s="33">
        <v>44256</v>
      </c>
      <c r="F10" s="20" t="s">
        <v>85</v>
      </c>
      <c r="G10" s="52">
        <v>113228.86524779514</v>
      </c>
      <c r="H10" s="20">
        <v>144.1</v>
      </c>
      <c r="I10" s="20">
        <v>192.2</v>
      </c>
      <c r="J10" s="20">
        <v>163.80000000000001</v>
      </c>
      <c r="K10" s="20">
        <v>154.9</v>
      </c>
      <c r="L10" s="20">
        <v>163.9</v>
      </c>
      <c r="M10" s="20">
        <v>153.69999999999999</v>
      </c>
      <c r="N10" s="20">
        <v>149.5</v>
      </c>
      <c r="O10" s="20">
        <v>159.80000000000001</v>
      </c>
      <c r="P10" s="20">
        <v>112.6</v>
      </c>
      <c r="Q10" s="20">
        <v>163.5</v>
      </c>
      <c r="R10" s="20">
        <v>156.5</v>
      </c>
      <c r="S10" s="20">
        <v>168.2</v>
      </c>
      <c r="T10" s="20">
        <v>156.69999999999999</v>
      </c>
      <c r="U10" s="20">
        <v>188.1</v>
      </c>
      <c r="V10" s="20">
        <v>157.80000000000001</v>
      </c>
      <c r="W10" s="20">
        <v>147.9</v>
      </c>
      <c r="X10" s="20">
        <v>156.4</v>
      </c>
      <c r="Y10" s="20">
        <v>159.9</v>
      </c>
      <c r="Z10" s="20">
        <v>155.5</v>
      </c>
      <c r="AA10" s="20">
        <v>151.19999999999999</v>
      </c>
      <c r="AB10" s="20">
        <v>161.69999999999999</v>
      </c>
      <c r="AC10" s="20">
        <v>146.19999999999999</v>
      </c>
      <c r="AD10" s="20">
        <v>152.6</v>
      </c>
      <c r="AE10" s="20">
        <v>160.19999999999999</v>
      </c>
      <c r="AF10" s="20">
        <v>153.80000000000001</v>
      </c>
      <c r="AG10" s="20">
        <v>153.80000000000001</v>
      </c>
      <c r="AH10" s="20">
        <v>156.80000000000001</v>
      </c>
      <c r="AI10" s="28">
        <v>3928.0999999999995</v>
      </c>
      <c r="AJ10" s="28">
        <v>620.4</v>
      </c>
      <c r="AK10" s="28">
        <v>305.70000000000005</v>
      </c>
      <c r="AL10" s="28">
        <v>311.10000000000002</v>
      </c>
      <c r="AM10" s="28">
        <v>2227.5</v>
      </c>
      <c r="AN10" s="28">
        <v>155.1</v>
      </c>
      <c r="AO10" s="28">
        <v>155.55000000000001</v>
      </c>
      <c r="AP10" s="23">
        <v>159.10714285714286</v>
      </c>
    </row>
    <row r="11" spans="1:42" hidden="1" x14ac:dyDescent="0.3">
      <c r="A11" s="26" t="s">
        <v>0</v>
      </c>
      <c r="B11" s="21">
        <v>2021</v>
      </c>
      <c r="C11" s="21" t="s">
        <v>6</v>
      </c>
      <c r="D11" s="21" t="s">
        <v>122</v>
      </c>
      <c r="E11" s="32">
        <v>44287</v>
      </c>
      <c r="F11" s="21" t="s">
        <v>85</v>
      </c>
      <c r="G11" s="56"/>
      <c r="H11" s="21">
        <v>142.69999999999999</v>
      </c>
      <c r="I11" s="21">
        <v>195.5</v>
      </c>
      <c r="J11" s="21">
        <v>163.4</v>
      </c>
      <c r="K11" s="21">
        <v>155</v>
      </c>
      <c r="L11" s="21">
        <v>175.2</v>
      </c>
      <c r="M11" s="21">
        <v>160.6</v>
      </c>
      <c r="N11" s="21">
        <v>135.1</v>
      </c>
      <c r="O11" s="21">
        <v>161.1</v>
      </c>
      <c r="P11" s="21">
        <v>112.2</v>
      </c>
      <c r="Q11" s="21">
        <v>164.4</v>
      </c>
      <c r="R11" s="21">
        <v>161.9</v>
      </c>
      <c r="S11" s="21">
        <v>166.8</v>
      </c>
      <c r="T11" s="21">
        <v>155.6</v>
      </c>
      <c r="U11" s="21">
        <v>186.8</v>
      </c>
      <c r="V11" s="21">
        <v>160.69999999999999</v>
      </c>
      <c r="W11" s="21">
        <v>155.1</v>
      </c>
      <c r="X11" s="21">
        <v>159.9</v>
      </c>
      <c r="Y11" s="28">
        <v>139.27096774193564</v>
      </c>
      <c r="Z11" s="21">
        <v>156</v>
      </c>
      <c r="AA11" s="21">
        <v>155.5</v>
      </c>
      <c r="AB11" s="21">
        <v>165.3</v>
      </c>
      <c r="AC11" s="21">
        <v>151.69999999999999</v>
      </c>
      <c r="AD11" s="21">
        <v>158.6</v>
      </c>
      <c r="AE11" s="21">
        <v>164.1</v>
      </c>
      <c r="AF11" s="21">
        <v>154.6</v>
      </c>
      <c r="AG11" s="21">
        <v>158</v>
      </c>
      <c r="AH11" s="21">
        <v>157.6</v>
      </c>
      <c r="AI11" s="28">
        <v>3955.1709677419353</v>
      </c>
      <c r="AJ11" s="28">
        <v>635.30000000000007</v>
      </c>
      <c r="AK11" s="28">
        <v>315.79999999999995</v>
      </c>
      <c r="AL11" s="28">
        <v>294.77096774193564</v>
      </c>
      <c r="AM11" s="28">
        <v>2236.3000000000002</v>
      </c>
      <c r="AN11" s="28">
        <v>158.82500000000002</v>
      </c>
      <c r="AO11" s="28">
        <v>147.38548387096782</v>
      </c>
      <c r="AP11" s="22">
        <v>159.73571428571429</v>
      </c>
    </row>
    <row r="12" spans="1:42" hidden="1" x14ac:dyDescent="0.3">
      <c r="A12" s="27" t="s">
        <v>2</v>
      </c>
      <c r="B12" s="20">
        <v>2021</v>
      </c>
      <c r="C12" s="20" t="s">
        <v>6</v>
      </c>
      <c r="D12" s="21" t="s">
        <v>122</v>
      </c>
      <c r="E12" s="33">
        <v>44287</v>
      </c>
      <c r="F12" s="20" t="s">
        <v>85</v>
      </c>
      <c r="G12" s="55"/>
      <c r="H12" s="20">
        <v>147.6</v>
      </c>
      <c r="I12" s="20">
        <v>202.5</v>
      </c>
      <c r="J12" s="20">
        <v>166.4</v>
      </c>
      <c r="K12" s="20">
        <v>156</v>
      </c>
      <c r="L12" s="20">
        <v>161.4</v>
      </c>
      <c r="M12" s="20">
        <v>168.8</v>
      </c>
      <c r="N12" s="20">
        <v>161.6</v>
      </c>
      <c r="O12" s="20">
        <v>162.80000000000001</v>
      </c>
      <c r="P12" s="20">
        <v>114.8</v>
      </c>
      <c r="Q12" s="20">
        <v>162.80000000000001</v>
      </c>
      <c r="R12" s="20">
        <v>151.5</v>
      </c>
      <c r="S12" s="20">
        <v>171.4</v>
      </c>
      <c r="T12" s="20">
        <v>162</v>
      </c>
      <c r="U12" s="20">
        <v>194.4</v>
      </c>
      <c r="V12" s="20">
        <v>155.9</v>
      </c>
      <c r="W12" s="20">
        <v>139.30000000000001</v>
      </c>
      <c r="X12" s="20">
        <v>153.4</v>
      </c>
      <c r="Y12" s="20">
        <v>161.4</v>
      </c>
      <c r="Z12" s="20">
        <v>154.9</v>
      </c>
      <c r="AA12" s="20">
        <v>147.6</v>
      </c>
      <c r="AB12" s="20">
        <v>157.5</v>
      </c>
      <c r="AC12" s="20">
        <v>142.1</v>
      </c>
      <c r="AD12" s="20">
        <v>149.1</v>
      </c>
      <c r="AE12" s="20">
        <v>157.6</v>
      </c>
      <c r="AF12" s="20">
        <v>156.6</v>
      </c>
      <c r="AG12" s="20">
        <v>150.5</v>
      </c>
      <c r="AH12" s="20">
        <v>158</v>
      </c>
      <c r="AI12" s="28">
        <v>3956.5000000000014</v>
      </c>
      <c r="AJ12" s="28">
        <v>613.80000000000007</v>
      </c>
      <c r="AK12" s="28">
        <v>295.20000000000005</v>
      </c>
      <c r="AL12" s="28">
        <v>309</v>
      </c>
      <c r="AM12" s="28">
        <v>2284</v>
      </c>
      <c r="AN12" s="28">
        <v>153.45000000000002</v>
      </c>
      <c r="AO12" s="28">
        <v>154.5</v>
      </c>
      <c r="AP12" s="23">
        <v>163.14285714285714</v>
      </c>
    </row>
    <row r="13" spans="1:42" x14ac:dyDescent="0.3">
      <c r="A13" s="26" t="s">
        <v>3</v>
      </c>
      <c r="B13" s="21">
        <v>2021</v>
      </c>
      <c r="C13" s="21" t="s">
        <v>6</v>
      </c>
      <c r="D13" s="21" t="s">
        <v>122</v>
      </c>
      <c r="E13" s="32">
        <v>44287</v>
      </c>
      <c r="F13" s="21" t="s">
        <v>85</v>
      </c>
      <c r="G13" s="53">
        <v>63309.498622749867</v>
      </c>
      <c r="H13" s="21">
        <v>144.30000000000001</v>
      </c>
      <c r="I13" s="21">
        <v>198</v>
      </c>
      <c r="J13" s="21">
        <v>164.6</v>
      </c>
      <c r="K13" s="21">
        <v>155.4</v>
      </c>
      <c r="L13" s="21">
        <v>170.1</v>
      </c>
      <c r="M13" s="21">
        <v>164.4</v>
      </c>
      <c r="N13" s="21">
        <v>144.1</v>
      </c>
      <c r="O13" s="21">
        <v>161.69999999999999</v>
      </c>
      <c r="P13" s="21">
        <v>113.1</v>
      </c>
      <c r="Q13" s="21">
        <v>163.9</v>
      </c>
      <c r="R13" s="21">
        <v>157.6</v>
      </c>
      <c r="S13" s="21">
        <v>168.9</v>
      </c>
      <c r="T13" s="21">
        <v>158</v>
      </c>
      <c r="U13" s="21">
        <v>188.8</v>
      </c>
      <c r="V13" s="21">
        <v>158.80000000000001</v>
      </c>
      <c r="W13" s="21">
        <v>148.5</v>
      </c>
      <c r="X13" s="21">
        <v>157.30000000000001</v>
      </c>
      <c r="Y13" s="21">
        <v>161.4</v>
      </c>
      <c r="Z13" s="21">
        <v>155.6</v>
      </c>
      <c r="AA13" s="21">
        <v>151.80000000000001</v>
      </c>
      <c r="AB13" s="21">
        <v>162.30000000000001</v>
      </c>
      <c r="AC13" s="21">
        <v>146.6</v>
      </c>
      <c r="AD13" s="21">
        <v>153.19999999999999</v>
      </c>
      <c r="AE13" s="21">
        <v>160.30000000000001</v>
      </c>
      <c r="AF13" s="21">
        <v>155.4</v>
      </c>
      <c r="AG13" s="21">
        <v>154.4</v>
      </c>
      <c r="AH13" s="21">
        <v>157.80000000000001</v>
      </c>
      <c r="AI13" s="28">
        <v>3961.2000000000003</v>
      </c>
      <c r="AJ13" s="28">
        <v>623.29999999999995</v>
      </c>
      <c r="AK13" s="28">
        <v>307.3</v>
      </c>
      <c r="AL13" s="28">
        <v>313.20000000000005</v>
      </c>
      <c r="AM13" s="28">
        <v>2252.9</v>
      </c>
      <c r="AN13" s="28">
        <v>155.82499999999999</v>
      </c>
      <c r="AO13" s="28">
        <v>156.60000000000002</v>
      </c>
      <c r="AP13" s="22">
        <v>160.92142857142858</v>
      </c>
    </row>
    <row r="14" spans="1:42" hidden="1" x14ac:dyDescent="0.3">
      <c r="A14" s="27" t="s">
        <v>0</v>
      </c>
      <c r="B14" s="20">
        <v>2021</v>
      </c>
      <c r="C14" s="20" t="s">
        <v>7</v>
      </c>
      <c r="D14" s="21" t="s">
        <v>125</v>
      </c>
      <c r="E14" s="33">
        <v>44317</v>
      </c>
      <c r="F14" s="20" t="s">
        <v>85</v>
      </c>
      <c r="G14" s="57"/>
      <c r="H14" s="20">
        <v>145.1</v>
      </c>
      <c r="I14" s="20">
        <v>198.5</v>
      </c>
      <c r="J14" s="20">
        <v>168.6</v>
      </c>
      <c r="K14" s="20">
        <v>155.80000000000001</v>
      </c>
      <c r="L14" s="20">
        <v>184.4</v>
      </c>
      <c r="M14" s="20">
        <v>162.30000000000001</v>
      </c>
      <c r="N14" s="20">
        <v>138.4</v>
      </c>
      <c r="O14" s="20">
        <v>165.1</v>
      </c>
      <c r="P14" s="20">
        <v>114.3</v>
      </c>
      <c r="Q14" s="20">
        <v>169.7</v>
      </c>
      <c r="R14" s="20">
        <v>164.6</v>
      </c>
      <c r="S14" s="20">
        <v>169.8</v>
      </c>
      <c r="T14" s="20">
        <v>158.69999999999999</v>
      </c>
      <c r="U14" s="20">
        <v>189.6</v>
      </c>
      <c r="V14" s="20">
        <v>165.3</v>
      </c>
      <c r="W14" s="20">
        <v>160.6</v>
      </c>
      <c r="X14" s="20">
        <v>164.5</v>
      </c>
      <c r="Y14" s="30">
        <v>139.27096774193564</v>
      </c>
      <c r="Z14" s="20">
        <v>161.69999999999999</v>
      </c>
      <c r="AA14" s="20">
        <v>158.80000000000001</v>
      </c>
      <c r="AB14" s="20">
        <v>169.1</v>
      </c>
      <c r="AC14" s="20">
        <v>153.19999999999999</v>
      </c>
      <c r="AD14" s="20">
        <v>160</v>
      </c>
      <c r="AE14" s="20">
        <v>167.6</v>
      </c>
      <c r="AF14" s="20">
        <v>159.30000000000001</v>
      </c>
      <c r="AG14" s="20">
        <v>161.1</v>
      </c>
      <c r="AH14" s="20">
        <v>161.1</v>
      </c>
      <c r="AI14" s="28">
        <v>4040.8709677419356</v>
      </c>
      <c r="AJ14" s="28">
        <v>648</v>
      </c>
      <c r="AK14" s="28">
        <v>325.89999999999998</v>
      </c>
      <c r="AL14" s="28">
        <v>298.07096774193565</v>
      </c>
      <c r="AM14" s="28">
        <v>2284.8999999999996</v>
      </c>
      <c r="AN14" s="28">
        <v>162</v>
      </c>
      <c r="AO14" s="28">
        <v>149.03548387096782</v>
      </c>
      <c r="AP14" s="23">
        <v>163.20714285714283</v>
      </c>
    </row>
    <row r="15" spans="1:42" hidden="1" x14ac:dyDescent="0.3">
      <c r="A15" s="26" t="s">
        <v>2</v>
      </c>
      <c r="B15" s="21">
        <v>2021</v>
      </c>
      <c r="C15" s="21" t="s">
        <v>7</v>
      </c>
      <c r="D15" s="21" t="s">
        <v>125</v>
      </c>
      <c r="E15" s="32">
        <v>44317</v>
      </c>
      <c r="F15" s="21" t="s">
        <v>85</v>
      </c>
      <c r="G15" s="54"/>
      <c r="H15" s="21">
        <v>148.80000000000001</v>
      </c>
      <c r="I15" s="21">
        <v>204.3</v>
      </c>
      <c r="J15" s="21">
        <v>173</v>
      </c>
      <c r="K15" s="21">
        <v>156.5</v>
      </c>
      <c r="L15" s="21">
        <v>168.8</v>
      </c>
      <c r="M15" s="21">
        <v>172.5</v>
      </c>
      <c r="N15" s="21">
        <v>166.5</v>
      </c>
      <c r="O15" s="21">
        <v>165.9</v>
      </c>
      <c r="P15" s="21">
        <v>115.9</v>
      </c>
      <c r="Q15" s="21">
        <v>165.2</v>
      </c>
      <c r="R15" s="21">
        <v>152</v>
      </c>
      <c r="S15" s="21">
        <v>171.1</v>
      </c>
      <c r="T15" s="21">
        <v>164.2</v>
      </c>
      <c r="U15" s="21">
        <v>198.2</v>
      </c>
      <c r="V15" s="21">
        <v>156.5</v>
      </c>
      <c r="W15" s="21">
        <v>140.19999999999999</v>
      </c>
      <c r="X15" s="21">
        <v>154.1</v>
      </c>
      <c r="Y15" s="21">
        <v>161.6</v>
      </c>
      <c r="Z15" s="21">
        <v>155.5</v>
      </c>
      <c r="AA15" s="21">
        <v>150.1</v>
      </c>
      <c r="AB15" s="21">
        <v>160.4</v>
      </c>
      <c r="AC15" s="21">
        <v>145</v>
      </c>
      <c r="AD15" s="21">
        <v>152.6</v>
      </c>
      <c r="AE15" s="21">
        <v>156.6</v>
      </c>
      <c r="AF15" s="21">
        <v>157.5</v>
      </c>
      <c r="AG15" s="21">
        <v>152.30000000000001</v>
      </c>
      <c r="AH15" s="21">
        <v>159.5</v>
      </c>
      <c r="AI15" s="28">
        <v>4011.1999999999994</v>
      </c>
      <c r="AJ15" s="28">
        <v>619</v>
      </c>
      <c r="AK15" s="28">
        <v>296.7</v>
      </c>
      <c r="AL15" s="28">
        <v>311.7</v>
      </c>
      <c r="AM15" s="28">
        <v>2322.9</v>
      </c>
      <c r="AN15" s="28">
        <v>154.75</v>
      </c>
      <c r="AO15" s="28">
        <v>155.85</v>
      </c>
      <c r="AP15" s="22">
        <v>165.92142857142858</v>
      </c>
    </row>
    <row r="16" spans="1:42" x14ac:dyDescent="0.3">
      <c r="A16" s="27" t="s">
        <v>3</v>
      </c>
      <c r="B16" s="20">
        <v>2021</v>
      </c>
      <c r="C16" s="20" t="s">
        <v>7</v>
      </c>
      <c r="D16" s="21" t="s">
        <v>125</v>
      </c>
      <c r="E16" s="33">
        <v>44317</v>
      </c>
      <c r="F16" s="20" t="s">
        <v>85</v>
      </c>
      <c r="G16" s="52">
        <v>60800.383481587211</v>
      </c>
      <c r="H16" s="20">
        <v>146.30000000000001</v>
      </c>
      <c r="I16" s="20">
        <v>200.5</v>
      </c>
      <c r="J16" s="20">
        <v>170.3</v>
      </c>
      <c r="K16" s="20">
        <v>156.1</v>
      </c>
      <c r="L16" s="20">
        <v>178.7</v>
      </c>
      <c r="M16" s="20">
        <v>167.1</v>
      </c>
      <c r="N16" s="20">
        <v>147.9</v>
      </c>
      <c r="O16" s="20">
        <v>165.4</v>
      </c>
      <c r="P16" s="20">
        <v>114.8</v>
      </c>
      <c r="Q16" s="20">
        <v>168.2</v>
      </c>
      <c r="R16" s="20">
        <v>159.30000000000001</v>
      </c>
      <c r="S16" s="20">
        <v>170.4</v>
      </c>
      <c r="T16" s="20">
        <v>160.69999999999999</v>
      </c>
      <c r="U16" s="20">
        <v>191.9</v>
      </c>
      <c r="V16" s="20">
        <v>161.80000000000001</v>
      </c>
      <c r="W16" s="20">
        <v>152.1</v>
      </c>
      <c r="X16" s="20">
        <v>160.4</v>
      </c>
      <c r="Y16" s="20">
        <v>161.6</v>
      </c>
      <c r="Z16" s="20">
        <v>159.4</v>
      </c>
      <c r="AA16" s="20">
        <v>154.69999999999999</v>
      </c>
      <c r="AB16" s="20">
        <v>165.8</v>
      </c>
      <c r="AC16" s="20">
        <v>148.9</v>
      </c>
      <c r="AD16" s="20">
        <v>155.80000000000001</v>
      </c>
      <c r="AE16" s="20">
        <v>161.19999999999999</v>
      </c>
      <c r="AF16" s="20">
        <v>158.6</v>
      </c>
      <c r="AG16" s="20">
        <v>156.80000000000001</v>
      </c>
      <c r="AH16" s="20">
        <v>160.4</v>
      </c>
      <c r="AI16" s="28">
        <v>4034.3</v>
      </c>
      <c r="AJ16" s="28">
        <v>632.4</v>
      </c>
      <c r="AK16" s="28">
        <v>313.89999999999998</v>
      </c>
      <c r="AL16" s="28">
        <v>316.29999999999995</v>
      </c>
      <c r="AM16" s="28">
        <v>2297.6000000000004</v>
      </c>
      <c r="AN16" s="28">
        <v>158.1</v>
      </c>
      <c r="AO16" s="28">
        <v>158.14999999999998</v>
      </c>
      <c r="AP16" s="23">
        <v>164.11428571428573</v>
      </c>
    </row>
    <row r="17" spans="1:42" hidden="1" x14ac:dyDescent="0.3">
      <c r="A17" s="26" t="s">
        <v>0</v>
      </c>
      <c r="B17" s="21">
        <v>2021</v>
      </c>
      <c r="C17" s="21" t="s">
        <v>8</v>
      </c>
      <c r="D17" s="21" t="s">
        <v>128</v>
      </c>
      <c r="E17" s="32">
        <v>44348</v>
      </c>
      <c r="F17" s="21" t="s">
        <v>85</v>
      </c>
      <c r="G17" s="56"/>
      <c r="H17" s="21">
        <v>145.6</v>
      </c>
      <c r="I17" s="21">
        <v>200.1</v>
      </c>
      <c r="J17" s="21">
        <v>179.3</v>
      </c>
      <c r="K17" s="21">
        <v>156.1</v>
      </c>
      <c r="L17" s="21">
        <v>190.4</v>
      </c>
      <c r="M17" s="21">
        <v>158.6</v>
      </c>
      <c r="N17" s="21">
        <v>144.69999999999999</v>
      </c>
      <c r="O17" s="21">
        <v>165.5</v>
      </c>
      <c r="P17" s="21">
        <v>114.6</v>
      </c>
      <c r="Q17" s="21">
        <v>170</v>
      </c>
      <c r="R17" s="21">
        <v>165.5</v>
      </c>
      <c r="S17" s="21">
        <v>171.7</v>
      </c>
      <c r="T17" s="21">
        <v>160.5</v>
      </c>
      <c r="U17" s="21">
        <v>189.1</v>
      </c>
      <c r="V17" s="21">
        <v>165.3</v>
      </c>
      <c r="W17" s="21">
        <v>159.9</v>
      </c>
      <c r="X17" s="21">
        <v>164.6</v>
      </c>
      <c r="Y17" s="28">
        <v>139.27096774193564</v>
      </c>
      <c r="Z17" s="21">
        <v>162.1</v>
      </c>
      <c r="AA17" s="21">
        <v>159.19999999999999</v>
      </c>
      <c r="AB17" s="21">
        <v>169.7</v>
      </c>
      <c r="AC17" s="21">
        <v>154.19999999999999</v>
      </c>
      <c r="AD17" s="21">
        <v>160.4</v>
      </c>
      <c r="AE17" s="21">
        <v>166.8</v>
      </c>
      <c r="AF17" s="21">
        <v>159.4</v>
      </c>
      <c r="AG17" s="21">
        <v>161.5</v>
      </c>
      <c r="AH17" s="21">
        <v>162.1</v>
      </c>
      <c r="AI17" s="28">
        <v>4069.4709677419351</v>
      </c>
      <c r="AJ17" s="28">
        <v>648.1</v>
      </c>
      <c r="AK17" s="28">
        <v>325.20000000000005</v>
      </c>
      <c r="AL17" s="28">
        <v>298.47096774193562</v>
      </c>
      <c r="AM17" s="28">
        <v>2311.6999999999998</v>
      </c>
      <c r="AN17" s="28">
        <v>162.02500000000001</v>
      </c>
      <c r="AO17" s="28">
        <v>149.23548387096781</v>
      </c>
      <c r="AP17" s="22">
        <v>165.12142857142857</v>
      </c>
    </row>
    <row r="18" spans="1:42" hidden="1" x14ac:dyDescent="0.3">
      <c r="A18" s="27" t="s">
        <v>2</v>
      </c>
      <c r="B18" s="20">
        <v>2021</v>
      </c>
      <c r="C18" s="20" t="s">
        <v>8</v>
      </c>
      <c r="D18" s="21" t="s">
        <v>128</v>
      </c>
      <c r="E18" s="33">
        <v>44348</v>
      </c>
      <c r="F18" s="20" t="s">
        <v>85</v>
      </c>
      <c r="G18" s="55"/>
      <c r="H18" s="20">
        <v>149.19999999999999</v>
      </c>
      <c r="I18" s="20">
        <v>205.5</v>
      </c>
      <c r="J18" s="20">
        <v>182.8</v>
      </c>
      <c r="K18" s="20">
        <v>156.5</v>
      </c>
      <c r="L18" s="20">
        <v>172.2</v>
      </c>
      <c r="M18" s="20">
        <v>171.5</v>
      </c>
      <c r="N18" s="20">
        <v>176.2</v>
      </c>
      <c r="O18" s="20">
        <v>166.9</v>
      </c>
      <c r="P18" s="20">
        <v>116.1</v>
      </c>
      <c r="Q18" s="20">
        <v>165.5</v>
      </c>
      <c r="R18" s="20">
        <v>152.30000000000001</v>
      </c>
      <c r="S18" s="20">
        <v>173.3</v>
      </c>
      <c r="T18" s="20">
        <v>166.2</v>
      </c>
      <c r="U18" s="20">
        <v>195.6</v>
      </c>
      <c r="V18" s="20">
        <v>157.30000000000001</v>
      </c>
      <c r="W18" s="20">
        <v>140.5</v>
      </c>
      <c r="X18" s="20">
        <v>154.80000000000001</v>
      </c>
      <c r="Y18" s="20">
        <v>160.5</v>
      </c>
      <c r="Z18" s="20">
        <v>156.1</v>
      </c>
      <c r="AA18" s="20">
        <v>149.80000000000001</v>
      </c>
      <c r="AB18" s="20">
        <v>160.80000000000001</v>
      </c>
      <c r="AC18" s="20">
        <v>147.5</v>
      </c>
      <c r="AD18" s="20">
        <v>150.69999999999999</v>
      </c>
      <c r="AE18" s="20">
        <v>158.1</v>
      </c>
      <c r="AF18" s="20">
        <v>158</v>
      </c>
      <c r="AG18" s="20">
        <v>153.4</v>
      </c>
      <c r="AH18" s="20">
        <v>160.4</v>
      </c>
      <c r="AI18" s="28">
        <v>4042.5</v>
      </c>
      <c r="AJ18" s="28">
        <v>620.20000000000005</v>
      </c>
      <c r="AK18" s="28">
        <v>297.8</v>
      </c>
      <c r="AL18" s="28">
        <v>310.3</v>
      </c>
      <c r="AM18" s="28">
        <v>2349.7999999999997</v>
      </c>
      <c r="AN18" s="28">
        <v>155.05000000000001</v>
      </c>
      <c r="AO18" s="28">
        <v>155.15</v>
      </c>
      <c r="AP18" s="23">
        <v>167.84285714285713</v>
      </c>
    </row>
    <row r="19" spans="1:42" x14ac:dyDescent="0.3">
      <c r="A19" s="26" t="s">
        <v>3</v>
      </c>
      <c r="B19" s="21">
        <v>2021</v>
      </c>
      <c r="C19" s="21" t="s">
        <v>8</v>
      </c>
      <c r="D19" s="21" t="s">
        <v>128</v>
      </c>
      <c r="E19" s="32">
        <v>44348</v>
      </c>
      <c r="F19" s="21" t="s">
        <v>85</v>
      </c>
      <c r="G19" s="53">
        <v>61073.298999169296</v>
      </c>
      <c r="H19" s="21">
        <v>146.69999999999999</v>
      </c>
      <c r="I19" s="21">
        <v>202</v>
      </c>
      <c r="J19" s="21">
        <v>180.7</v>
      </c>
      <c r="K19" s="21">
        <v>156.19999999999999</v>
      </c>
      <c r="L19" s="21">
        <v>183.7</v>
      </c>
      <c r="M19" s="21">
        <v>164.6</v>
      </c>
      <c r="N19" s="21">
        <v>155.4</v>
      </c>
      <c r="O19" s="21">
        <v>166</v>
      </c>
      <c r="P19" s="21">
        <v>115.1</v>
      </c>
      <c r="Q19" s="21">
        <v>168.5</v>
      </c>
      <c r="R19" s="21">
        <v>160</v>
      </c>
      <c r="S19" s="21">
        <v>172.4</v>
      </c>
      <c r="T19" s="21">
        <v>162.6</v>
      </c>
      <c r="U19" s="21">
        <v>190.8</v>
      </c>
      <c r="V19" s="21">
        <v>162.19999999999999</v>
      </c>
      <c r="W19" s="21">
        <v>151.80000000000001</v>
      </c>
      <c r="X19" s="21">
        <v>160.69999999999999</v>
      </c>
      <c r="Y19" s="21">
        <v>160.5</v>
      </c>
      <c r="Z19" s="21">
        <v>159.80000000000001</v>
      </c>
      <c r="AA19" s="21">
        <v>154.80000000000001</v>
      </c>
      <c r="AB19" s="21">
        <v>166.3</v>
      </c>
      <c r="AC19" s="21">
        <v>150.69999999999999</v>
      </c>
      <c r="AD19" s="21">
        <v>154.9</v>
      </c>
      <c r="AE19" s="21">
        <v>161.69999999999999</v>
      </c>
      <c r="AF19" s="21">
        <v>158.80000000000001</v>
      </c>
      <c r="AG19" s="21">
        <v>157.6</v>
      </c>
      <c r="AH19" s="21">
        <v>161.30000000000001</v>
      </c>
      <c r="AI19" s="28">
        <v>4063.7999999999997</v>
      </c>
      <c r="AJ19" s="28">
        <v>633</v>
      </c>
      <c r="AK19" s="28">
        <v>314</v>
      </c>
      <c r="AL19" s="28">
        <v>315.3</v>
      </c>
      <c r="AM19" s="28">
        <v>2324.7000000000003</v>
      </c>
      <c r="AN19" s="28">
        <v>158.25</v>
      </c>
      <c r="AO19" s="28">
        <v>157.65</v>
      </c>
      <c r="AP19" s="22">
        <v>166.05</v>
      </c>
    </row>
    <row r="20" spans="1:42" hidden="1" x14ac:dyDescent="0.3">
      <c r="A20" s="27" t="s">
        <v>0</v>
      </c>
      <c r="B20" s="20">
        <v>2021</v>
      </c>
      <c r="C20" s="20" t="s">
        <v>9</v>
      </c>
      <c r="D20" s="21" t="s">
        <v>130</v>
      </c>
      <c r="E20" s="33">
        <v>44378</v>
      </c>
      <c r="F20" s="20" t="s">
        <v>85</v>
      </c>
      <c r="G20" s="57"/>
      <c r="H20" s="20">
        <v>145.1</v>
      </c>
      <c r="I20" s="20">
        <v>204.5</v>
      </c>
      <c r="J20" s="20">
        <v>180.4</v>
      </c>
      <c r="K20" s="20">
        <v>157.1</v>
      </c>
      <c r="L20" s="20">
        <v>188.7</v>
      </c>
      <c r="M20" s="20">
        <v>157.69999999999999</v>
      </c>
      <c r="N20" s="20">
        <v>152.80000000000001</v>
      </c>
      <c r="O20" s="20">
        <v>163.6</v>
      </c>
      <c r="P20" s="20">
        <v>113.9</v>
      </c>
      <c r="Q20" s="20">
        <v>169.7</v>
      </c>
      <c r="R20" s="20">
        <v>166.2</v>
      </c>
      <c r="S20" s="20">
        <v>171</v>
      </c>
      <c r="T20" s="20">
        <v>161.69999999999999</v>
      </c>
      <c r="U20" s="20">
        <v>189.7</v>
      </c>
      <c r="V20" s="20">
        <v>166</v>
      </c>
      <c r="W20" s="20">
        <v>161.1</v>
      </c>
      <c r="X20" s="20">
        <v>165.3</v>
      </c>
      <c r="Y20" s="30">
        <v>139.27096774193564</v>
      </c>
      <c r="Z20" s="20">
        <v>162.5</v>
      </c>
      <c r="AA20" s="20">
        <v>160.30000000000001</v>
      </c>
      <c r="AB20" s="20">
        <v>170.4</v>
      </c>
      <c r="AC20" s="20">
        <v>157.1</v>
      </c>
      <c r="AD20" s="20">
        <v>160.69999999999999</v>
      </c>
      <c r="AE20" s="20">
        <v>167.2</v>
      </c>
      <c r="AF20" s="20">
        <v>160.4</v>
      </c>
      <c r="AG20" s="20">
        <v>162.80000000000001</v>
      </c>
      <c r="AH20" s="20">
        <v>163.19999999999999</v>
      </c>
      <c r="AI20" s="28">
        <v>4089.8709677419347</v>
      </c>
      <c r="AJ20" s="28">
        <v>651.1</v>
      </c>
      <c r="AK20" s="28">
        <v>327.10000000000002</v>
      </c>
      <c r="AL20" s="28">
        <v>299.57096774193565</v>
      </c>
      <c r="AM20" s="28">
        <v>2322.1</v>
      </c>
      <c r="AN20" s="28">
        <v>162.77500000000001</v>
      </c>
      <c r="AO20" s="28">
        <v>149.78548387096782</v>
      </c>
      <c r="AP20" s="23">
        <v>165.8642857142857</v>
      </c>
    </row>
    <row r="21" spans="1:42" hidden="1" x14ac:dyDescent="0.3">
      <c r="A21" s="26" t="s">
        <v>2</v>
      </c>
      <c r="B21" s="21">
        <v>2021</v>
      </c>
      <c r="C21" s="21" t="s">
        <v>9</v>
      </c>
      <c r="D21" s="21" t="s">
        <v>130</v>
      </c>
      <c r="E21" s="32">
        <v>44378</v>
      </c>
      <c r="F21" s="21" t="s">
        <v>85</v>
      </c>
      <c r="G21" s="54"/>
      <c r="H21" s="21">
        <v>149.1</v>
      </c>
      <c r="I21" s="21">
        <v>210.9</v>
      </c>
      <c r="J21" s="21">
        <v>185</v>
      </c>
      <c r="K21" s="21">
        <v>158.19999999999999</v>
      </c>
      <c r="L21" s="21">
        <v>170.6</v>
      </c>
      <c r="M21" s="21">
        <v>170.9</v>
      </c>
      <c r="N21" s="21">
        <v>186.4</v>
      </c>
      <c r="O21" s="21">
        <v>164.7</v>
      </c>
      <c r="P21" s="21">
        <v>115.7</v>
      </c>
      <c r="Q21" s="21">
        <v>165.5</v>
      </c>
      <c r="R21" s="21">
        <v>153.4</v>
      </c>
      <c r="S21" s="21">
        <v>173.5</v>
      </c>
      <c r="T21" s="21">
        <v>167.9</v>
      </c>
      <c r="U21" s="21">
        <v>195.5</v>
      </c>
      <c r="V21" s="21">
        <v>157.9</v>
      </c>
      <c r="W21" s="21">
        <v>141.9</v>
      </c>
      <c r="X21" s="21">
        <v>155.5</v>
      </c>
      <c r="Y21" s="21">
        <v>161.5</v>
      </c>
      <c r="Z21" s="21">
        <v>157.69999999999999</v>
      </c>
      <c r="AA21" s="21">
        <v>150.69999999999999</v>
      </c>
      <c r="AB21" s="21">
        <v>161.5</v>
      </c>
      <c r="AC21" s="21">
        <v>149.5</v>
      </c>
      <c r="AD21" s="21">
        <v>151.19999999999999</v>
      </c>
      <c r="AE21" s="21">
        <v>160.30000000000001</v>
      </c>
      <c r="AF21" s="21">
        <v>159.6</v>
      </c>
      <c r="AG21" s="21">
        <v>155</v>
      </c>
      <c r="AH21" s="21">
        <v>161.80000000000001</v>
      </c>
      <c r="AI21" s="28">
        <v>4074.1</v>
      </c>
      <c r="AJ21" s="28">
        <v>626.1</v>
      </c>
      <c r="AK21" s="28">
        <v>299.8</v>
      </c>
      <c r="AL21" s="28">
        <v>312.2</v>
      </c>
      <c r="AM21" s="28">
        <v>2367.3000000000002</v>
      </c>
      <c r="AN21" s="28">
        <v>156.52500000000001</v>
      </c>
      <c r="AO21" s="28">
        <v>156.1</v>
      </c>
      <c r="AP21" s="22">
        <v>169.09285714285716</v>
      </c>
    </row>
    <row r="22" spans="1:42" x14ac:dyDescent="0.3">
      <c r="A22" s="27" t="s">
        <v>3</v>
      </c>
      <c r="B22" s="20">
        <v>2021</v>
      </c>
      <c r="C22" s="20" t="s">
        <v>9</v>
      </c>
      <c r="D22" s="21" t="s">
        <v>130</v>
      </c>
      <c r="E22" s="33">
        <v>44378</v>
      </c>
      <c r="F22" s="20" t="s">
        <v>85</v>
      </c>
      <c r="G22" s="52">
        <v>59460.950438057756</v>
      </c>
      <c r="H22" s="20">
        <v>146.4</v>
      </c>
      <c r="I22" s="20">
        <v>206.8</v>
      </c>
      <c r="J22" s="20">
        <v>182.2</v>
      </c>
      <c r="K22" s="20">
        <v>157.5</v>
      </c>
      <c r="L22" s="20">
        <v>182.1</v>
      </c>
      <c r="M22" s="20">
        <v>163.9</v>
      </c>
      <c r="N22" s="20">
        <v>164.2</v>
      </c>
      <c r="O22" s="20">
        <v>164</v>
      </c>
      <c r="P22" s="20">
        <v>114.5</v>
      </c>
      <c r="Q22" s="20">
        <v>168.3</v>
      </c>
      <c r="R22" s="20">
        <v>160.9</v>
      </c>
      <c r="S22" s="20">
        <v>172.2</v>
      </c>
      <c r="T22" s="20">
        <v>164</v>
      </c>
      <c r="U22" s="20">
        <v>191.2</v>
      </c>
      <c r="V22" s="20">
        <v>162.80000000000001</v>
      </c>
      <c r="W22" s="20">
        <v>153.1</v>
      </c>
      <c r="X22" s="20">
        <v>161.4</v>
      </c>
      <c r="Y22" s="20">
        <v>161.5</v>
      </c>
      <c r="Z22" s="20">
        <v>160.69999999999999</v>
      </c>
      <c r="AA22" s="20">
        <v>155.80000000000001</v>
      </c>
      <c r="AB22" s="20">
        <v>167</v>
      </c>
      <c r="AC22" s="20">
        <v>153.1</v>
      </c>
      <c r="AD22" s="20">
        <v>155.30000000000001</v>
      </c>
      <c r="AE22" s="20">
        <v>163.19999999999999</v>
      </c>
      <c r="AF22" s="20">
        <v>160.1</v>
      </c>
      <c r="AG22" s="20">
        <v>159</v>
      </c>
      <c r="AH22" s="20">
        <v>162.5</v>
      </c>
      <c r="AI22" s="28">
        <v>4089.8</v>
      </c>
      <c r="AJ22" s="28">
        <v>637.6</v>
      </c>
      <c r="AK22" s="28">
        <v>315.89999999999998</v>
      </c>
      <c r="AL22" s="28">
        <v>317.3</v>
      </c>
      <c r="AM22" s="28">
        <v>2338.1999999999998</v>
      </c>
      <c r="AN22" s="28">
        <v>159.4</v>
      </c>
      <c r="AO22" s="28">
        <v>158.65</v>
      </c>
      <c r="AP22" s="23">
        <v>167.01428571428571</v>
      </c>
    </row>
    <row r="23" spans="1:42" hidden="1" x14ac:dyDescent="0.3">
      <c r="A23" s="26" t="s">
        <v>0</v>
      </c>
      <c r="B23" s="21">
        <v>2021</v>
      </c>
      <c r="C23" s="21" t="s">
        <v>10</v>
      </c>
      <c r="D23" s="21" t="s">
        <v>132</v>
      </c>
      <c r="E23" s="32">
        <v>44409</v>
      </c>
      <c r="F23" s="21" t="s">
        <v>85</v>
      </c>
      <c r="G23" s="56"/>
      <c r="H23" s="21">
        <v>144.9</v>
      </c>
      <c r="I23" s="21">
        <v>202.3</v>
      </c>
      <c r="J23" s="21">
        <v>176.5</v>
      </c>
      <c r="K23" s="21">
        <v>157.5</v>
      </c>
      <c r="L23" s="21">
        <v>190.9</v>
      </c>
      <c r="M23" s="21">
        <v>155.69999999999999</v>
      </c>
      <c r="N23" s="21">
        <v>153.9</v>
      </c>
      <c r="O23" s="21">
        <v>162.80000000000001</v>
      </c>
      <c r="P23" s="21">
        <v>115.2</v>
      </c>
      <c r="Q23" s="21">
        <v>169.8</v>
      </c>
      <c r="R23" s="21">
        <v>167.6</v>
      </c>
      <c r="S23" s="21">
        <v>171.9</v>
      </c>
      <c r="T23" s="21">
        <v>161.80000000000001</v>
      </c>
      <c r="U23" s="21">
        <v>190.2</v>
      </c>
      <c r="V23" s="21">
        <v>167</v>
      </c>
      <c r="W23" s="21">
        <v>162.6</v>
      </c>
      <c r="X23" s="21">
        <v>166.3</v>
      </c>
      <c r="Y23" s="28">
        <v>139.27096774193564</v>
      </c>
      <c r="Z23" s="21">
        <v>163.1</v>
      </c>
      <c r="AA23" s="21">
        <v>160.9</v>
      </c>
      <c r="AB23" s="21">
        <v>171.1</v>
      </c>
      <c r="AC23" s="21">
        <v>157.69999999999999</v>
      </c>
      <c r="AD23" s="21">
        <v>161.1</v>
      </c>
      <c r="AE23" s="21">
        <v>167.5</v>
      </c>
      <c r="AF23" s="21">
        <v>160.30000000000001</v>
      </c>
      <c r="AG23" s="21">
        <v>163.30000000000001</v>
      </c>
      <c r="AH23" s="21">
        <v>163.6</v>
      </c>
      <c r="AI23" s="28">
        <v>4094.8709677419361</v>
      </c>
      <c r="AJ23" s="28">
        <v>652.20000000000005</v>
      </c>
      <c r="AK23" s="28">
        <v>329.6</v>
      </c>
      <c r="AL23" s="28">
        <v>300.17096774193567</v>
      </c>
      <c r="AM23" s="28">
        <v>2321</v>
      </c>
      <c r="AN23" s="28">
        <v>163.05000000000001</v>
      </c>
      <c r="AO23" s="28">
        <v>150.08548387096783</v>
      </c>
      <c r="AP23" s="22">
        <v>165.78571428571428</v>
      </c>
    </row>
    <row r="24" spans="1:42" hidden="1" x14ac:dyDescent="0.3">
      <c r="A24" s="27" t="s">
        <v>2</v>
      </c>
      <c r="B24" s="20">
        <v>2021</v>
      </c>
      <c r="C24" s="20" t="s">
        <v>10</v>
      </c>
      <c r="D24" s="21" t="s">
        <v>132</v>
      </c>
      <c r="E24" s="33">
        <v>44409</v>
      </c>
      <c r="F24" s="20" t="s">
        <v>85</v>
      </c>
      <c r="G24" s="55"/>
      <c r="H24" s="20">
        <v>149.30000000000001</v>
      </c>
      <c r="I24" s="20">
        <v>207.4</v>
      </c>
      <c r="J24" s="20">
        <v>174.1</v>
      </c>
      <c r="K24" s="20">
        <v>159.19999999999999</v>
      </c>
      <c r="L24" s="20">
        <v>175</v>
      </c>
      <c r="M24" s="20">
        <v>161.30000000000001</v>
      </c>
      <c r="N24" s="20">
        <v>183.3</v>
      </c>
      <c r="O24" s="20">
        <v>164.5</v>
      </c>
      <c r="P24" s="20">
        <v>120.4</v>
      </c>
      <c r="Q24" s="20">
        <v>166.2</v>
      </c>
      <c r="R24" s="20">
        <v>154.80000000000001</v>
      </c>
      <c r="S24" s="20">
        <v>175.1</v>
      </c>
      <c r="T24" s="20">
        <v>167.3</v>
      </c>
      <c r="U24" s="20">
        <v>196.5</v>
      </c>
      <c r="V24" s="20">
        <v>159.80000000000001</v>
      </c>
      <c r="W24" s="20">
        <v>143.6</v>
      </c>
      <c r="X24" s="20">
        <v>157.30000000000001</v>
      </c>
      <c r="Y24" s="20">
        <v>162.1</v>
      </c>
      <c r="Z24" s="20">
        <v>160.69999999999999</v>
      </c>
      <c r="AA24" s="20">
        <v>153.19999999999999</v>
      </c>
      <c r="AB24" s="20">
        <v>162.80000000000001</v>
      </c>
      <c r="AC24" s="20">
        <v>150.4</v>
      </c>
      <c r="AD24" s="20">
        <v>153.69999999999999</v>
      </c>
      <c r="AE24" s="20">
        <v>160.4</v>
      </c>
      <c r="AF24" s="20">
        <v>159.6</v>
      </c>
      <c r="AG24" s="20">
        <v>156</v>
      </c>
      <c r="AH24" s="20">
        <v>162.30000000000001</v>
      </c>
      <c r="AI24" s="28">
        <v>4076.7000000000003</v>
      </c>
      <c r="AJ24" s="28">
        <v>629.70000000000005</v>
      </c>
      <c r="AK24" s="28">
        <v>303.39999999999998</v>
      </c>
      <c r="AL24" s="28">
        <v>315.29999999999995</v>
      </c>
      <c r="AM24" s="28">
        <v>2354.4</v>
      </c>
      <c r="AN24" s="28">
        <v>157.42500000000001</v>
      </c>
      <c r="AO24" s="28">
        <v>157.64999999999998</v>
      </c>
      <c r="AP24" s="23">
        <v>168.17142857142858</v>
      </c>
    </row>
    <row r="25" spans="1:42" x14ac:dyDescent="0.3">
      <c r="A25" s="26" t="s">
        <v>3</v>
      </c>
      <c r="B25" s="21">
        <v>2021</v>
      </c>
      <c r="C25" s="21" t="s">
        <v>10</v>
      </c>
      <c r="D25" s="21" t="s">
        <v>132</v>
      </c>
      <c r="E25" s="32">
        <v>44409</v>
      </c>
      <c r="F25" s="21" t="s">
        <v>85</v>
      </c>
      <c r="G25" s="53">
        <v>67310.659830633638</v>
      </c>
      <c r="H25" s="21">
        <v>146.6</v>
      </c>
      <c r="I25" s="21">
        <v>204</v>
      </c>
      <c r="J25" s="21">
        <v>172.8</v>
      </c>
      <c r="K25" s="21">
        <v>158.4</v>
      </c>
      <c r="L25" s="21">
        <v>188</v>
      </c>
      <c r="M25" s="21">
        <v>156.80000000000001</v>
      </c>
      <c r="N25" s="21">
        <v>162.19999999999999</v>
      </c>
      <c r="O25" s="21">
        <v>164.1</v>
      </c>
      <c r="P25" s="21">
        <v>119.7</v>
      </c>
      <c r="Q25" s="21">
        <v>168.8</v>
      </c>
      <c r="R25" s="21">
        <v>162.69999999999999</v>
      </c>
      <c r="S25" s="21">
        <v>173.9</v>
      </c>
      <c r="T25" s="21">
        <v>164</v>
      </c>
      <c r="U25" s="21">
        <v>192.1</v>
      </c>
      <c r="V25" s="21">
        <v>164.5</v>
      </c>
      <c r="W25" s="21">
        <v>155.30000000000001</v>
      </c>
      <c r="X25" s="21">
        <v>163.19999999999999</v>
      </c>
      <c r="Y25" s="21">
        <v>162.1</v>
      </c>
      <c r="Z25" s="21">
        <v>162.6</v>
      </c>
      <c r="AA25" s="21">
        <v>157.5</v>
      </c>
      <c r="AB25" s="21">
        <v>168.4</v>
      </c>
      <c r="AC25" s="21">
        <v>154</v>
      </c>
      <c r="AD25" s="21">
        <v>157.6</v>
      </c>
      <c r="AE25" s="21">
        <v>163.80000000000001</v>
      </c>
      <c r="AF25" s="21">
        <v>160</v>
      </c>
      <c r="AG25" s="21">
        <v>160</v>
      </c>
      <c r="AH25" s="21">
        <v>163.19999999999999</v>
      </c>
      <c r="AI25" s="28">
        <v>4099.8999999999996</v>
      </c>
      <c r="AJ25" s="28">
        <v>641.4</v>
      </c>
      <c r="AK25" s="28">
        <v>319.8</v>
      </c>
      <c r="AL25" s="28">
        <v>319.60000000000002</v>
      </c>
      <c r="AM25" s="28">
        <v>2334.1</v>
      </c>
      <c r="AN25" s="28">
        <v>160.35</v>
      </c>
      <c r="AO25" s="28">
        <v>159.80000000000001</v>
      </c>
      <c r="AP25" s="22">
        <v>166.72142857142856</v>
      </c>
    </row>
    <row r="26" spans="1:42" hidden="1" x14ac:dyDescent="0.3">
      <c r="A26" s="27" t="s">
        <v>0</v>
      </c>
      <c r="B26" s="20">
        <v>2021</v>
      </c>
      <c r="C26" s="20" t="s">
        <v>11</v>
      </c>
      <c r="D26" s="21" t="s">
        <v>134</v>
      </c>
      <c r="E26" s="33">
        <v>44440</v>
      </c>
      <c r="F26" s="20" t="s">
        <v>85</v>
      </c>
      <c r="G26" s="57"/>
      <c r="H26" s="20">
        <v>145.4</v>
      </c>
      <c r="I26" s="20">
        <v>202.1</v>
      </c>
      <c r="J26" s="20">
        <v>172</v>
      </c>
      <c r="K26" s="20">
        <v>158</v>
      </c>
      <c r="L26" s="20">
        <v>195.5</v>
      </c>
      <c r="M26" s="20">
        <v>152.69999999999999</v>
      </c>
      <c r="N26" s="20">
        <v>151.4</v>
      </c>
      <c r="O26" s="20">
        <v>163.9</v>
      </c>
      <c r="P26" s="20">
        <v>119.3</v>
      </c>
      <c r="Q26" s="20">
        <v>170.1</v>
      </c>
      <c r="R26" s="20">
        <v>168.3</v>
      </c>
      <c r="S26" s="20">
        <v>172.8</v>
      </c>
      <c r="T26" s="20">
        <v>162.1</v>
      </c>
      <c r="U26" s="20">
        <v>190.5</v>
      </c>
      <c r="V26" s="20">
        <v>167.7</v>
      </c>
      <c r="W26" s="20">
        <v>163.6</v>
      </c>
      <c r="X26" s="20">
        <v>167.1</v>
      </c>
      <c r="Y26" s="30">
        <v>139.27096774193564</v>
      </c>
      <c r="Z26" s="20">
        <v>163.69999999999999</v>
      </c>
      <c r="AA26" s="20">
        <v>161.30000000000001</v>
      </c>
      <c r="AB26" s="20">
        <v>171.9</v>
      </c>
      <c r="AC26" s="20">
        <v>157.80000000000001</v>
      </c>
      <c r="AD26" s="20">
        <v>162.69999999999999</v>
      </c>
      <c r="AE26" s="20">
        <v>168.5</v>
      </c>
      <c r="AF26" s="20">
        <v>160.19999999999999</v>
      </c>
      <c r="AG26" s="20">
        <v>163.80000000000001</v>
      </c>
      <c r="AH26" s="20">
        <v>164</v>
      </c>
      <c r="AI26" s="28">
        <v>4104.5709677419363</v>
      </c>
      <c r="AJ26" s="28">
        <v>655.20000000000005</v>
      </c>
      <c r="AK26" s="28">
        <v>331.29999999999995</v>
      </c>
      <c r="AL26" s="28">
        <v>300.57096774193565</v>
      </c>
      <c r="AM26" s="28">
        <v>2324.1</v>
      </c>
      <c r="AN26" s="28">
        <v>163.80000000000001</v>
      </c>
      <c r="AO26" s="28">
        <v>150.28548387096782</v>
      </c>
      <c r="AP26" s="23">
        <v>166.00714285714284</v>
      </c>
    </row>
    <row r="27" spans="1:42" hidden="1" x14ac:dyDescent="0.3">
      <c r="A27" s="26" t="s">
        <v>2</v>
      </c>
      <c r="B27" s="21">
        <v>2021</v>
      </c>
      <c r="C27" s="21" t="s">
        <v>11</v>
      </c>
      <c r="D27" s="21" t="s">
        <v>134</v>
      </c>
      <c r="E27" s="32">
        <v>44440</v>
      </c>
      <c r="F27" s="21" t="s">
        <v>85</v>
      </c>
      <c r="G27" s="54"/>
      <c r="H27" s="21">
        <v>149.30000000000001</v>
      </c>
      <c r="I27" s="21">
        <v>207.4</v>
      </c>
      <c r="J27" s="21">
        <v>174.1</v>
      </c>
      <c r="K27" s="21">
        <v>159.1</v>
      </c>
      <c r="L27" s="21">
        <v>175</v>
      </c>
      <c r="M27" s="21">
        <v>161.19999999999999</v>
      </c>
      <c r="N27" s="21">
        <v>183.5</v>
      </c>
      <c r="O27" s="21">
        <v>164.5</v>
      </c>
      <c r="P27" s="21">
        <v>120.4</v>
      </c>
      <c r="Q27" s="21">
        <v>166.2</v>
      </c>
      <c r="R27" s="21">
        <v>154.80000000000001</v>
      </c>
      <c r="S27" s="21">
        <v>175.1</v>
      </c>
      <c r="T27" s="21">
        <v>167.3</v>
      </c>
      <c r="U27" s="21">
        <v>196.5</v>
      </c>
      <c r="V27" s="21">
        <v>159.80000000000001</v>
      </c>
      <c r="W27" s="21">
        <v>143.6</v>
      </c>
      <c r="X27" s="21">
        <v>157.4</v>
      </c>
      <c r="Y27" s="21">
        <v>162.1</v>
      </c>
      <c r="Z27" s="21">
        <v>160.80000000000001</v>
      </c>
      <c r="AA27" s="21">
        <v>153.30000000000001</v>
      </c>
      <c r="AB27" s="21">
        <v>162.80000000000001</v>
      </c>
      <c r="AC27" s="21">
        <v>150.5</v>
      </c>
      <c r="AD27" s="21">
        <v>153.9</v>
      </c>
      <c r="AE27" s="21">
        <v>160.30000000000001</v>
      </c>
      <c r="AF27" s="21">
        <v>159.6</v>
      </c>
      <c r="AG27" s="21">
        <v>156</v>
      </c>
      <c r="AH27" s="21">
        <v>162.30000000000001</v>
      </c>
      <c r="AI27" s="28">
        <v>4077.1</v>
      </c>
      <c r="AJ27" s="28">
        <v>629.80000000000007</v>
      </c>
      <c r="AK27" s="28">
        <v>303.39999999999998</v>
      </c>
      <c r="AL27" s="28">
        <v>315.39999999999998</v>
      </c>
      <c r="AM27" s="28">
        <v>2354.4</v>
      </c>
      <c r="AN27" s="28">
        <v>157.45000000000002</v>
      </c>
      <c r="AO27" s="28">
        <v>157.69999999999999</v>
      </c>
      <c r="AP27" s="22">
        <v>168.17142857142858</v>
      </c>
    </row>
    <row r="28" spans="1:42" x14ac:dyDescent="0.3">
      <c r="A28" s="27" t="s">
        <v>3</v>
      </c>
      <c r="B28" s="20">
        <v>2021</v>
      </c>
      <c r="C28" s="20" t="s">
        <v>11</v>
      </c>
      <c r="D28" s="21" t="s">
        <v>134</v>
      </c>
      <c r="E28" s="33">
        <v>44440</v>
      </c>
      <c r="F28" s="20" t="s">
        <v>85</v>
      </c>
      <c r="G28" s="52">
        <v>69109.876194440018</v>
      </c>
      <c r="H28" s="20">
        <v>146.6</v>
      </c>
      <c r="I28" s="20">
        <v>204</v>
      </c>
      <c r="J28" s="20">
        <v>172.8</v>
      </c>
      <c r="K28" s="20">
        <v>158.4</v>
      </c>
      <c r="L28" s="20">
        <v>188</v>
      </c>
      <c r="M28" s="20">
        <v>156.69999999999999</v>
      </c>
      <c r="N28" s="20">
        <v>162.30000000000001</v>
      </c>
      <c r="O28" s="20">
        <v>164.1</v>
      </c>
      <c r="P28" s="20">
        <v>119.7</v>
      </c>
      <c r="Q28" s="20">
        <v>168.8</v>
      </c>
      <c r="R28" s="20">
        <v>162.69999999999999</v>
      </c>
      <c r="S28" s="20">
        <v>173.9</v>
      </c>
      <c r="T28" s="20">
        <v>164</v>
      </c>
      <c r="U28" s="20">
        <v>192.1</v>
      </c>
      <c r="V28" s="20">
        <v>164.6</v>
      </c>
      <c r="W28" s="20">
        <v>155.30000000000001</v>
      </c>
      <c r="X28" s="20">
        <v>163.30000000000001</v>
      </c>
      <c r="Y28" s="20">
        <v>162.1</v>
      </c>
      <c r="Z28" s="20">
        <v>162.6</v>
      </c>
      <c r="AA28" s="20">
        <v>157.5</v>
      </c>
      <c r="AB28" s="20">
        <v>168.4</v>
      </c>
      <c r="AC28" s="20">
        <v>154</v>
      </c>
      <c r="AD28" s="20">
        <v>157.69999999999999</v>
      </c>
      <c r="AE28" s="20">
        <v>163.69999999999999</v>
      </c>
      <c r="AF28" s="20">
        <v>160</v>
      </c>
      <c r="AG28" s="20">
        <v>160</v>
      </c>
      <c r="AH28" s="20">
        <v>163.19999999999999</v>
      </c>
      <c r="AI28" s="28">
        <v>4099.9999999999991</v>
      </c>
      <c r="AJ28" s="28">
        <v>641.4</v>
      </c>
      <c r="AK28" s="28">
        <v>319.89999999999998</v>
      </c>
      <c r="AL28" s="28">
        <v>319.60000000000002</v>
      </c>
      <c r="AM28" s="28">
        <v>2334.1</v>
      </c>
      <c r="AN28" s="28">
        <v>160.35</v>
      </c>
      <c r="AO28" s="28">
        <v>159.80000000000001</v>
      </c>
      <c r="AP28" s="23">
        <v>166.72142857142856</v>
      </c>
    </row>
    <row r="29" spans="1:42" hidden="1" x14ac:dyDescent="0.3">
      <c r="A29" s="26" t="s">
        <v>0</v>
      </c>
      <c r="B29" s="21">
        <v>2021</v>
      </c>
      <c r="C29" s="21" t="s">
        <v>12</v>
      </c>
      <c r="D29" s="21" t="s">
        <v>136</v>
      </c>
      <c r="E29" s="32">
        <v>44470</v>
      </c>
      <c r="F29" s="21" t="s">
        <v>85</v>
      </c>
      <c r="G29" s="56"/>
      <c r="H29" s="21">
        <v>146.1</v>
      </c>
      <c r="I29" s="21">
        <v>202.5</v>
      </c>
      <c r="J29" s="21">
        <v>170.1</v>
      </c>
      <c r="K29" s="21">
        <v>158.4</v>
      </c>
      <c r="L29" s="21">
        <v>198.8</v>
      </c>
      <c r="M29" s="21">
        <v>152.6</v>
      </c>
      <c r="N29" s="21">
        <v>170.4</v>
      </c>
      <c r="O29" s="21">
        <v>165.2</v>
      </c>
      <c r="P29" s="21">
        <v>121.6</v>
      </c>
      <c r="Q29" s="21">
        <v>170.6</v>
      </c>
      <c r="R29" s="21">
        <v>168.8</v>
      </c>
      <c r="S29" s="21">
        <v>173.6</v>
      </c>
      <c r="T29" s="21">
        <v>165.5</v>
      </c>
      <c r="U29" s="21">
        <v>191.2</v>
      </c>
      <c r="V29" s="21">
        <v>168.9</v>
      </c>
      <c r="W29" s="21">
        <v>164.8</v>
      </c>
      <c r="X29" s="21">
        <v>168.3</v>
      </c>
      <c r="Y29" s="28">
        <v>139.27096774193564</v>
      </c>
      <c r="Z29" s="21">
        <v>165.5</v>
      </c>
      <c r="AA29" s="21">
        <v>162</v>
      </c>
      <c r="AB29" s="21">
        <v>172.5</v>
      </c>
      <c r="AC29" s="21">
        <v>159.5</v>
      </c>
      <c r="AD29" s="21">
        <v>163.19999999999999</v>
      </c>
      <c r="AE29" s="21">
        <v>169</v>
      </c>
      <c r="AF29" s="21">
        <v>161.1</v>
      </c>
      <c r="AG29" s="21">
        <v>164.7</v>
      </c>
      <c r="AH29" s="21">
        <v>166.3</v>
      </c>
      <c r="AI29" s="28">
        <v>4145.8709677419356</v>
      </c>
      <c r="AJ29" s="28">
        <v>658</v>
      </c>
      <c r="AK29" s="28">
        <v>333.70000000000005</v>
      </c>
      <c r="AL29" s="28">
        <v>301.27096774193564</v>
      </c>
      <c r="AM29" s="28">
        <v>2355.3999999999996</v>
      </c>
      <c r="AN29" s="28">
        <v>164.5</v>
      </c>
      <c r="AO29" s="28">
        <v>150.63548387096782</v>
      </c>
      <c r="AP29" s="22">
        <v>168.2428571428571</v>
      </c>
    </row>
    <row r="30" spans="1:42" hidden="1" x14ac:dyDescent="0.3">
      <c r="A30" s="27" t="s">
        <v>2</v>
      </c>
      <c r="B30" s="20">
        <v>2021</v>
      </c>
      <c r="C30" s="20" t="s">
        <v>12</v>
      </c>
      <c r="D30" s="21" t="s">
        <v>136</v>
      </c>
      <c r="E30" s="33">
        <v>44470</v>
      </c>
      <c r="F30" s="20" t="s">
        <v>85</v>
      </c>
      <c r="G30" s="55"/>
      <c r="H30" s="20">
        <v>150.1</v>
      </c>
      <c r="I30" s="20">
        <v>208.4</v>
      </c>
      <c r="J30" s="20">
        <v>173</v>
      </c>
      <c r="K30" s="20">
        <v>159.19999999999999</v>
      </c>
      <c r="L30" s="20">
        <v>176.6</v>
      </c>
      <c r="M30" s="20">
        <v>159.30000000000001</v>
      </c>
      <c r="N30" s="20">
        <v>214.4</v>
      </c>
      <c r="O30" s="20">
        <v>165.3</v>
      </c>
      <c r="P30" s="20">
        <v>122.5</v>
      </c>
      <c r="Q30" s="20">
        <v>166.8</v>
      </c>
      <c r="R30" s="20">
        <v>155.4</v>
      </c>
      <c r="S30" s="20">
        <v>175.9</v>
      </c>
      <c r="T30" s="20">
        <v>171.5</v>
      </c>
      <c r="U30" s="20">
        <v>197</v>
      </c>
      <c r="V30" s="20">
        <v>160.80000000000001</v>
      </c>
      <c r="W30" s="20">
        <v>144.4</v>
      </c>
      <c r="X30" s="20">
        <v>158.30000000000001</v>
      </c>
      <c r="Y30" s="20">
        <v>163.6</v>
      </c>
      <c r="Z30" s="20">
        <v>162.19999999999999</v>
      </c>
      <c r="AA30" s="20">
        <v>154.30000000000001</v>
      </c>
      <c r="AB30" s="20">
        <v>163.5</v>
      </c>
      <c r="AC30" s="20">
        <v>152.19999999999999</v>
      </c>
      <c r="AD30" s="20">
        <v>155.1</v>
      </c>
      <c r="AE30" s="20">
        <v>160.30000000000001</v>
      </c>
      <c r="AF30" s="20">
        <v>160.30000000000001</v>
      </c>
      <c r="AG30" s="20">
        <v>157</v>
      </c>
      <c r="AH30" s="20">
        <v>164.6</v>
      </c>
      <c r="AI30" s="28">
        <v>4129.1000000000004</v>
      </c>
      <c r="AJ30" s="28">
        <v>632.70000000000005</v>
      </c>
      <c r="AK30" s="28">
        <v>305.20000000000005</v>
      </c>
      <c r="AL30" s="28">
        <v>317.89999999999998</v>
      </c>
      <c r="AM30" s="28">
        <v>2395.4000000000005</v>
      </c>
      <c r="AN30" s="28">
        <v>158.17500000000001</v>
      </c>
      <c r="AO30" s="28">
        <v>158.94999999999999</v>
      </c>
      <c r="AP30" s="23">
        <v>171.10000000000005</v>
      </c>
    </row>
    <row r="31" spans="1:42" x14ac:dyDescent="0.3">
      <c r="A31" s="26" t="s">
        <v>3</v>
      </c>
      <c r="B31" s="21">
        <v>2021</v>
      </c>
      <c r="C31" s="21" t="s">
        <v>12</v>
      </c>
      <c r="D31" s="21" t="s">
        <v>136</v>
      </c>
      <c r="E31" s="32">
        <v>44470</v>
      </c>
      <c r="F31" s="21" t="s">
        <v>85</v>
      </c>
      <c r="G31" s="53">
        <v>72054.19693085934</v>
      </c>
      <c r="H31" s="21">
        <v>147.4</v>
      </c>
      <c r="I31" s="21">
        <v>204.6</v>
      </c>
      <c r="J31" s="21">
        <v>171.2</v>
      </c>
      <c r="K31" s="21">
        <v>158.69999999999999</v>
      </c>
      <c r="L31" s="21">
        <v>190.6</v>
      </c>
      <c r="M31" s="21">
        <v>155.69999999999999</v>
      </c>
      <c r="N31" s="21">
        <v>185.3</v>
      </c>
      <c r="O31" s="21">
        <v>165.2</v>
      </c>
      <c r="P31" s="21">
        <v>121.9</v>
      </c>
      <c r="Q31" s="21">
        <v>169.3</v>
      </c>
      <c r="R31" s="21">
        <v>163.19999999999999</v>
      </c>
      <c r="S31" s="21">
        <v>174.7</v>
      </c>
      <c r="T31" s="21">
        <v>167.7</v>
      </c>
      <c r="U31" s="21">
        <v>192.7</v>
      </c>
      <c r="V31" s="21">
        <v>165.7</v>
      </c>
      <c r="W31" s="21">
        <v>156.30000000000001</v>
      </c>
      <c r="X31" s="21">
        <v>164.3</v>
      </c>
      <c r="Y31" s="21">
        <v>163.6</v>
      </c>
      <c r="Z31" s="21">
        <v>164.2</v>
      </c>
      <c r="AA31" s="21">
        <v>158.4</v>
      </c>
      <c r="AB31" s="21">
        <v>169.1</v>
      </c>
      <c r="AC31" s="21">
        <v>155.69999999999999</v>
      </c>
      <c r="AD31" s="21">
        <v>158.6</v>
      </c>
      <c r="AE31" s="21">
        <v>163.9</v>
      </c>
      <c r="AF31" s="21">
        <v>160.80000000000001</v>
      </c>
      <c r="AG31" s="21">
        <v>161</v>
      </c>
      <c r="AH31" s="21">
        <v>165.5</v>
      </c>
      <c r="AI31" s="28">
        <v>4145.4999999999991</v>
      </c>
      <c r="AJ31" s="28">
        <v>644.30000000000007</v>
      </c>
      <c r="AK31" s="28">
        <v>322</v>
      </c>
      <c r="AL31" s="28">
        <v>322</v>
      </c>
      <c r="AM31" s="28">
        <v>2368.1999999999998</v>
      </c>
      <c r="AN31" s="28">
        <v>161.07500000000002</v>
      </c>
      <c r="AO31" s="28">
        <v>161</v>
      </c>
      <c r="AP31" s="22">
        <v>169.15714285714284</v>
      </c>
    </row>
    <row r="32" spans="1:42" hidden="1" x14ac:dyDescent="0.3">
      <c r="A32" s="27" t="s">
        <v>0</v>
      </c>
      <c r="B32" s="20">
        <v>2021</v>
      </c>
      <c r="C32" s="20" t="s">
        <v>14</v>
      </c>
      <c r="D32" s="21" t="s">
        <v>138</v>
      </c>
      <c r="E32" s="33">
        <v>44501</v>
      </c>
      <c r="F32" s="20" t="s">
        <v>85</v>
      </c>
      <c r="G32" s="57"/>
      <c r="H32" s="20">
        <v>146.9</v>
      </c>
      <c r="I32" s="20">
        <v>199.8</v>
      </c>
      <c r="J32" s="20">
        <v>171.5</v>
      </c>
      <c r="K32" s="20">
        <v>159.1</v>
      </c>
      <c r="L32" s="20">
        <v>198.4</v>
      </c>
      <c r="M32" s="20">
        <v>153.19999999999999</v>
      </c>
      <c r="N32" s="20">
        <v>183.9</v>
      </c>
      <c r="O32" s="20">
        <v>165.4</v>
      </c>
      <c r="P32" s="20">
        <v>122.1</v>
      </c>
      <c r="Q32" s="20">
        <v>170.8</v>
      </c>
      <c r="R32" s="20">
        <v>169.1</v>
      </c>
      <c r="S32" s="20">
        <v>174.3</v>
      </c>
      <c r="T32" s="20">
        <v>167.5</v>
      </c>
      <c r="U32" s="20">
        <v>191.4</v>
      </c>
      <c r="V32" s="20">
        <v>170.4</v>
      </c>
      <c r="W32" s="20">
        <v>166</v>
      </c>
      <c r="X32" s="20">
        <v>169.8</v>
      </c>
      <c r="Y32" s="30">
        <v>139.27096774193564</v>
      </c>
      <c r="Z32" s="20">
        <v>165.3</v>
      </c>
      <c r="AA32" s="20">
        <v>162.9</v>
      </c>
      <c r="AB32" s="20">
        <v>173.4</v>
      </c>
      <c r="AC32" s="20">
        <v>158.9</v>
      </c>
      <c r="AD32" s="20">
        <v>163.80000000000001</v>
      </c>
      <c r="AE32" s="20">
        <v>169.3</v>
      </c>
      <c r="AF32" s="20">
        <v>162.4</v>
      </c>
      <c r="AG32" s="20">
        <v>165.2</v>
      </c>
      <c r="AH32" s="20">
        <v>167.6</v>
      </c>
      <c r="AI32" s="28">
        <v>4170.2709677419361</v>
      </c>
      <c r="AJ32" s="28">
        <v>660.7</v>
      </c>
      <c r="AK32" s="28">
        <v>336.4</v>
      </c>
      <c r="AL32" s="28">
        <v>302.17096774193567</v>
      </c>
      <c r="AM32" s="28">
        <v>2373.4</v>
      </c>
      <c r="AN32" s="28">
        <v>165.17500000000001</v>
      </c>
      <c r="AO32" s="28">
        <v>151.08548387096783</v>
      </c>
      <c r="AP32" s="23">
        <v>169.52857142857144</v>
      </c>
    </row>
    <row r="33" spans="1:42" hidden="1" x14ac:dyDescent="0.3">
      <c r="A33" s="26" t="s">
        <v>2</v>
      </c>
      <c r="B33" s="21">
        <v>2021</v>
      </c>
      <c r="C33" s="21" t="s">
        <v>14</v>
      </c>
      <c r="D33" s="21" t="s">
        <v>138</v>
      </c>
      <c r="E33" s="32">
        <v>44501</v>
      </c>
      <c r="F33" s="21" t="s">
        <v>85</v>
      </c>
      <c r="G33" s="54"/>
      <c r="H33" s="21">
        <v>151</v>
      </c>
      <c r="I33" s="21">
        <v>204.9</v>
      </c>
      <c r="J33" s="21">
        <v>175.4</v>
      </c>
      <c r="K33" s="21">
        <v>159.6</v>
      </c>
      <c r="L33" s="21">
        <v>175.8</v>
      </c>
      <c r="M33" s="21">
        <v>160.30000000000001</v>
      </c>
      <c r="N33" s="21">
        <v>229.1</v>
      </c>
      <c r="O33" s="21">
        <v>165.1</v>
      </c>
      <c r="P33" s="21">
        <v>123.1</v>
      </c>
      <c r="Q33" s="21">
        <v>167.2</v>
      </c>
      <c r="R33" s="21">
        <v>156.1</v>
      </c>
      <c r="S33" s="21">
        <v>176.8</v>
      </c>
      <c r="T33" s="21">
        <v>173.5</v>
      </c>
      <c r="U33" s="21">
        <v>197</v>
      </c>
      <c r="V33" s="21">
        <v>162.30000000000001</v>
      </c>
      <c r="W33" s="21">
        <v>145.30000000000001</v>
      </c>
      <c r="X33" s="21">
        <v>159.69999999999999</v>
      </c>
      <c r="Y33" s="21">
        <v>164.2</v>
      </c>
      <c r="Z33" s="21">
        <v>161.6</v>
      </c>
      <c r="AA33" s="21">
        <v>155.19999999999999</v>
      </c>
      <c r="AB33" s="21">
        <v>164.2</v>
      </c>
      <c r="AC33" s="21">
        <v>151.19999999999999</v>
      </c>
      <c r="AD33" s="21">
        <v>156.69999999999999</v>
      </c>
      <c r="AE33" s="21">
        <v>160.80000000000001</v>
      </c>
      <c r="AF33" s="21">
        <v>161.80000000000001</v>
      </c>
      <c r="AG33" s="21">
        <v>157.30000000000001</v>
      </c>
      <c r="AH33" s="21">
        <v>165.6</v>
      </c>
      <c r="AI33" s="28">
        <v>4155.5</v>
      </c>
      <c r="AJ33" s="28">
        <v>636.6</v>
      </c>
      <c r="AK33" s="28">
        <v>307.60000000000002</v>
      </c>
      <c r="AL33" s="28">
        <v>319.39999999999998</v>
      </c>
      <c r="AM33" s="28">
        <v>2414.8999999999996</v>
      </c>
      <c r="AN33" s="28">
        <v>159.15</v>
      </c>
      <c r="AO33" s="28">
        <v>159.69999999999999</v>
      </c>
      <c r="AP33" s="22">
        <v>172.4928571428571</v>
      </c>
    </row>
    <row r="34" spans="1:42" x14ac:dyDescent="0.3">
      <c r="A34" s="27" t="s">
        <v>3</v>
      </c>
      <c r="B34" s="20">
        <v>2021</v>
      </c>
      <c r="C34" s="20" t="s">
        <v>14</v>
      </c>
      <c r="D34" s="21" t="s">
        <v>138</v>
      </c>
      <c r="E34" s="33">
        <v>44501</v>
      </c>
      <c r="F34" s="20" t="s">
        <v>85</v>
      </c>
      <c r="G34" s="52">
        <v>79009.388695268004</v>
      </c>
      <c r="H34" s="20">
        <v>148.19999999999999</v>
      </c>
      <c r="I34" s="20">
        <v>201.6</v>
      </c>
      <c r="J34" s="20">
        <v>173</v>
      </c>
      <c r="K34" s="20">
        <v>159.30000000000001</v>
      </c>
      <c r="L34" s="20">
        <v>190.1</v>
      </c>
      <c r="M34" s="20">
        <v>156.5</v>
      </c>
      <c r="N34" s="20">
        <v>199.2</v>
      </c>
      <c r="O34" s="20">
        <v>165.3</v>
      </c>
      <c r="P34" s="20">
        <v>122.4</v>
      </c>
      <c r="Q34" s="20">
        <v>169.6</v>
      </c>
      <c r="R34" s="20">
        <v>163.69999999999999</v>
      </c>
      <c r="S34" s="20">
        <v>175.5</v>
      </c>
      <c r="T34" s="20">
        <v>169.7</v>
      </c>
      <c r="U34" s="20">
        <v>192.9</v>
      </c>
      <c r="V34" s="20">
        <v>167.2</v>
      </c>
      <c r="W34" s="20">
        <v>157.4</v>
      </c>
      <c r="X34" s="20">
        <v>165.8</v>
      </c>
      <c r="Y34" s="20">
        <v>164.2</v>
      </c>
      <c r="Z34" s="20">
        <v>163.9</v>
      </c>
      <c r="AA34" s="20">
        <v>159.30000000000001</v>
      </c>
      <c r="AB34" s="20">
        <v>169.9</v>
      </c>
      <c r="AC34" s="20">
        <v>154.80000000000001</v>
      </c>
      <c r="AD34" s="20">
        <v>159.80000000000001</v>
      </c>
      <c r="AE34" s="20">
        <v>164.3</v>
      </c>
      <c r="AF34" s="20">
        <v>162.19999999999999</v>
      </c>
      <c r="AG34" s="20">
        <v>161.4</v>
      </c>
      <c r="AH34" s="20">
        <v>166.7</v>
      </c>
      <c r="AI34" s="28">
        <v>4171.3999999999996</v>
      </c>
      <c r="AJ34" s="28">
        <v>647.70000000000005</v>
      </c>
      <c r="AK34" s="28">
        <v>324.60000000000002</v>
      </c>
      <c r="AL34" s="28">
        <v>323.5</v>
      </c>
      <c r="AM34" s="28">
        <v>2387</v>
      </c>
      <c r="AN34" s="28">
        <v>161.92500000000001</v>
      </c>
      <c r="AO34" s="28">
        <v>161.75</v>
      </c>
      <c r="AP34" s="23">
        <v>170.5</v>
      </c>
    </row>
    <row r="35" spans="1:42" hidden="1" x14ac:dyDescent="0.3">
      <c r="A35" s="26" t="s">
        <v>0</v>
      </c>
      <c r="B35" s="21">
        <v>2021</v>
      </c>
      <c r="C35" s="21" t="s">
        <v>15</v>
      </c>
      <c r="D35" s="21" t="s">
        <v>143</v>
      </c>
      <c r="E35" s="32">
        <v>44531</v>
      </c>
      <c r="F35" s="21" t="s">
        <v>85</v>
      </c>
      <c r="G35" s="56"/>
      <c r="H35" s="21">
        <v>147.4</v>
      </c>
      <c r="I35" s="21">
        <v>197</v>
      </c>
      <c r="J35" s="21">
        <v>176.5</v>
      </c>
      <c r="K35" s="21">
        <v>159.80000000000001</v>
      </c>
      <c r="L35" s="21">
        <v>195.8</v>
      </c>
      <c r="M35" s="21">
        <v>152</v>
      </c>
      <c r="N35" s="21">
        <v>172.3</v>
      </c>
      <c r="O35" s="21">
        <v>164.5</v>
      </c>
      <c r="P35" s="21">
        <v>120.6</v>
      </c>
      <c r="Q35" s="21">
        <v>171.7</v>
      </c>
      <c r="R35" s="21">
        <v>169.7</v>
      </c>
      <c r="S35" s="21">
        <v>175.1</v>
      </c>
      <c r="T35" s="21">
        <v>165.8</v>
      </c>
      <c r="U35" s="21">
        <v>190.8</v>
      </c>
      <c r="V35" s="21">
        <v>171.8</v>
      </c>
      <c r="W35" s="21">
        <v>167.3</v>
      </c>
      <c r="X35" s="21">
        <v>171.2</v>
      </c>
      <c r="Y35" s="28">
        <v>139.27096774193564</v>
      </c>
      <c r="Z35" s="21">
        <v>165.6</v>
      </c>
      <c r="AA35" s="21">
        <v>163.9</v>
      </c>
      <c r="AB35" s="21">
        <v>174</v>
      </c>
      <c r="AC35" s="21">
        <v>160.1</v>
      </c>
      <c r="AD35" s="21">
        <v>164.5</v>
      </c>
      <c r="AE35" s="21">
        <v>169.7</v>
      </c>
      <c r="AF35" s="21">
        <v>162.80000000000001</v>
      </c>
      <c r="AG35" s="21">
        <v>166</v>
      </c>
      <c r="AH35" s="21">
        <v>167</v>
      </c>
      <c r="AI35" s="28">
        <v>4163.970967741936</v>
      </c>
      <c r="AJ35" s="28">
        <v>663</v>
      </c>
      <c r="AK35" s="28">
        <v>339.1</v>
      </c>
      <c r="AL35" s="28">
        <v>303.17096774193567</v>
      </c>
      <c r="AM35" s="28">
        <v>2359</v>
      </c>
      <c r="AN35" s="28">
        <v>165.75</v>
      </c>
      <c r="AO35" s="28">
        <v>151.58548387096783</v>
      </c>
      <c r="AP35" s="22">
        <v>168.5</v>
      </c>
    </row>
    <row r="36" spans="1:42" hidden="1" x14ac:dyDescent="0.3">
      <c r="A36" s="27" t="s">
        <v>2</v>
      </c>
      <c r="B36" s="20">
        <v>2021</v>
      </c>
      <c r="C36" s="20" t="s">
        <v>15</v>
      </c>
      <c r="D36" s="21" t="s">
        <v>143</v>
      </c>
      <c r="E36" s="33">
        <v>44531</v>
      </c>
      <c r="F36" s="20" t="s">
        <v>85</v>
      </c>
      <c r="G36" s="55"/>
      <c r="H36" s="20">
        <v>151.6</v>
      </c>
      <c r="I36" s="20">
        <v>202.2</v>
      </c>
      <c r="J36" s="20">
        <v>180</v>
      </c>
      <c r="K36" s="20">
        <v>160</v>
      </c>
      <c r="L36" s="20">
        <v>173.5</v>
      </c>
      <c r="M36" s="20">
        <v>158.30000000000001</v>
      </c>
      <c r="N36" s="20">
        <v>219.5</v>
      </c>
      <c r="O36" s="20">
        <v>164.2</v>
      </c>
      <c r="P36" s="20">
        <v>121.9</v>
      </c>
      <c r="Q36" s="20">
        <v>168.2</v>
      </c>
      <c r="R36" s="20">
        <v>156.5</v>
      </c>
      <c r="S36" s="20">
        <v>178.2</v>
      </c>
      <c r="T36" s="20">
        <v>172.2</v>
      </c>
      <c r="U36" s="20">
        <v>196.8</v>
      </c>
      <c r="V36" s="20">
        <v>163.30000000000001</v>
      </c>
      <c r="W36" s="20">
        <v>146.69999999999999</v>
      </c>
      <c r="X36" s="20">
        <v>160.69999999999999</v>
      </c>
      <c r="Y36" s="20">
        <v>163.4</v>
      </c>
      <c r="Z36" s="20">
        <v>161.69999999999999</v>
      </c>
      <c r="AA36" s="20">
        <v>156</v>
      </c>
      <c r="AB36" s="20">
        <v>165.1</v>
      </c>
      <c r="AC36" s="20">
        <v>151.80000000000001</v>
      </c>
      <c r="AD36" s="20">
        <v>157.6</v>
      </c>
      <c r="AE36" s="20">
        <v>160.6</v>
      </c>
      <c r="AF36" s="20">
        <v>162.4</v>
      </c>
      <c r="AG36" s="20">
        <v>157.80000000000001</v>
      </c>
      <c r="AH36" s="20">
        <v>165.2</v>
      </c>
      <c r="AI36" s="28">
        <v>4149.5</v>
      </c>
      <c r="AJ36" s="28">
        <v>638.40000000000009</v>
      </c>
      <c r="AK36" s="28">
        <v>310</v>
      </c>
      <c r="AL36" s="28">
        <v>319.39999999999998</v>
      </c>
      <c r="AM36" s="28">
        <v>2403.1000000000004</v>
      </c>
      <c r="AN36" s="28">
        <v>159.60000000000002</v>
      </c>
      <c r="AO36" s="28">
        <v>159.69999999999999</v>
      </c>
      <c r="AP36" s="23">
        <v>171.65000000000003</v>
      </c>
    </row>
    <row r="37" spans="1:42" x14ac:dyDescent="0.3">
      <c r="A37" s="26" t="s">
        <v>3</v>
      </c>
      <c r="B37" s="21">
        <v>2021</v>
      </c>
      <c r="C37" s="21" t="s">
        <v>15</v>
      </c>
      <c r="D37" s="21" t="s">
        <v>143</v>
      </c>
      <c r="E37" s="32">
        <v>44531</v>
      </c>
      <c r="F37" s="21" t="s">
        <v>85</v>
      </c>
      <c r="G37" s="53">
        <v>81771.141778992853</v>
      </c>
      <c r="H37" s="21">
        <v>148.69999999999999</v>
      </c>
      <c r="I37" s="21">
        <v>198.8</v>
      </c>
      <c r="J37" s="21">
        <v>177.9</v>
      </c>
      <c r="K37" s="21">
        <v>159.9</v>
      </c>
      <c r="L37" s="21">
        <v>187.6</v>
      </c>
      <c r="M37" s="21">
        <v>154.9</v>
      </c>
      <c r="N37" s="21">
        <v>188.3</v>
      </c>
      <c r="O37" s="21">
        <v>164.4</v>
      </c>
      <c r="P37" s="21">
        <v>121</v>
      </c>
      <c r="Q37" s="21">
        <v>170.5</v>
      </c>
      <c r="R37" s="21">
        <v>164.2</v>
      </c>
      <c r="S37" s="21">
        <v>176.5</v>
      </c>
      <c r="T37" s="21">
        <v>168.2</v>
      </c>
      <c r="U37" s="21">
        <v>192.4</v>
      </c>
      <c r="V37" s="21">
        <v>168.5</v>
      </c>
      <c r="W37" s="21">
        <v>158.69999999999999</v>
      </c>
      <c r="X37" s="21">
        <v>167</v>
      </c>
      <c r="Y37" s="21">
        <v>163.4</v>
      </c>
      <c r="Z37" s="21">
        <v>164.1</v>
      </c>
      <c r="AA37" s="21">
        <v>160.19999999999999</v>
      </c>
      <c r="AB37" s="21">
        <v>170.6</v>
      </c>
      <c r="AC37" s="21">
        <v>155.69999999999999</v>
      </c>
      <c r="AD37" s="21">
        <v>160.6</v>
      </c>
      <c r="AE37" s="21">
        <v>164.4</v>
      </c>
      <c r="AF37" s="21">
        <v>162.6</v>
      </c>
      <c r="AG37" s="21">
        <v>162</v>
      </c>
      <c r="AH37" s="21">
        <v>166.2</v>
      </c>
      <c r="AI37" s="28">
        <v>4164.1000000000004</v>
      </c>
      <c r="AJ37" s="28">
        <v>649.6</v>
      </c>
      <c r="AK37" s="28">
        <v>327.2</v>
      </c>
      <c r="AL37" s="28">
        <v>323.60000000000002</v>
      </c>
      <c r="AM37" s="28">
        <v>2373.3000000000002</v>
      </c>
      <c r="AN37" s="28">
        <v>162.4</v>
      </c>
      <c r="AO37" s="28">
        <v>161.80000000000001</v>
      </c>
      <c r="AP37" s="22">
        <v>169.52142857142857</v>
      </c>
    </row>
    <row r="38" spans="1:42" hidden="1" x14ac:dyDescent="0.3">
      <c r="A38" s="27" t="s">
        <v>0</v>
      </c>
      <c r="B38" s="20">
        <v>2022</v>
      </c>
      <c r="C38" s="20" t="s">
        <v>1</v>
      </c>
      <c r="D38" s="21" t="s">
        <v>111</v>
      </c>
      <c r="E38" s="33">
        <v>44562</v>
      </c>
      <c r="F38" s="20" t="s">
        <v>85</v>
      </c>
      <c r="G38" s="57"/>
      <c r="H38" s="20">
        <v>148.30000000000001</v>
      </c>
      <c r="I38" s="20">
        <v>196.9</v>
      </c>
      <c r="J38" s="20">
        <v>178</v>
      </c>
      <c r="K38" s="20">
        <v>160.5</v>
      </c>
      <c r="L38" s="20">
        <v>192.6</v>
      </c>
      <c r="M38" s="20">
        <v>151.19999999999999</v>
      </c>
      <c r="N38" s="20">
        <v>159.19999999999999</v>
      </c>
      <c r="O38" s="20">
        <v>164</v>
      </c>
      <c r="P38" s="20">
        <v>119.3</v>
      </c>
      <c r="Q38" s="20">
        <v>173.3</v>
      </c>
      <c r="R38" s="20">
        <v>169.8</v>
      </c>
      <c r="S38" s="20">
        <v>175.8</v>
      </c>
      <c r="T38" s="20">
        <v>164.1</v>
      </c>
      <c r="U38" s="20">
        <v>190.7</v>
      </c>
      <c r="V38" s="20">
        <v>173.2</v>
      </c>
      <c r="W38" s="20">
        <v>169.3</v>
      </c>
      <c r="X38" s="20">
        <v>172.7</v>
      </c>
      <c r="Y38" s="30">
        <v>139.27096774193564</v>
      </c>
      <c r="Z38" s="20">
        <v>165.8</v>
      </c>
      <c r="AA38" s="20">
        <v>164.9</v>
      </c>
      <c r="AB38" s="20">
        <v>174.7</v>
      </c>
      <c r="AC38" s="20">
        <v>160.80000000000001</v>
      </c>
      <c r="AD38" s="20">
        <v>164.9</v>
      </c>
      <c r="AE38" s="20">
        <v>169.9</v>
      </c>
      <c r="AF38" s="20">
        <v>163.19999999999999</v>
      </c>
      <c r="AG38" s="20">
        <v>166.6</v>
      </c>
      <c r="AH38" s="20">
        <v>166.4</v>
      </c>
      <c r="AI38" s="28">
        <v>4156.2709677419352</v>
      </c>
      <c r="AJ38" s="28">
        <v>664.59999999999991</v>
      </c>
      <c r="AK38" s="28">
        <v>342.5</v>
      </c>
      <c r="AL38" s="28">
        <v>304.17096774193567</v>
      </c>
      <c r="AM38" s="28">
        <v>2343.6999999999998</v>
      </c>
      <c r="AN38" s="28">
        <v>166.14999999999998</v>
      </c>
      <c r="AO38" s="28">
        <v>152.08548387096783</v>
      </c>
      <c r="AP38" s="23">
        <v>167.40714285714284</v>
      </c>
    </row>
    <row r="39" spans="1:42" hidden="1" x14ac:dyDescent="0.3">
      <c r="A39" s="26" t="s">
        <v>2</v>
      </c>
      <c r="B39" s="21">
        <v>2022</v>
      </c>
      <c r="C39" s="21" t="s">
        <v>1</v>
      </c>
      <c r="D39" s="21" t="s">
        <v>111</v>
      </c>
      <c r="E39" s="32">
        <v>44562</v>
      </c>
      <c r="F39" s="21" t="s">
        <v>85</v>
      </c>
      <c r="G39" s="54"/>
      <c r="H39" s="21">
        <v>152.19999999999999</v>
      </c>
      <c r="I39" s="21">
        <v>202.1</v>
      </c>
      <c r="J39" s="21">
        <v>180.1</v>
      </c>
      <c r="K39" s="21">
        <v>160.4</v>
      </c>
      <c r="L39" s="21">
        <v>171</v>
      </c>
      <c r="M39" s="21">
        <v>156.5</v>
      </c>
      <c r="N39" s="21">
        <v>203.6</v>
      </c>
      <c r="O39" s="21">
        <v>163.80000000000001</v>
      </c>
      <c r="P39" s="21">
        <v>121.3</v>
      </c>
      <c r="Q39" s="21">
        <v>169.8</v>
      </c>
      <c r="R39" s="21">
        <v>156.6</v>
      </c>
      <c r="S39" s="21">
        <v>179</v>
      </c>
      <c r="T39" s="21">
        <v>170.3</v>
      </c>
      <c r="U39" s="21">
        <v>196.4</v>
      </c>
      <c r="V39" s="21">
        <v>164.7</v>
      </c>
      <c r="W39" s="21">
        <v>148.5</v>
      </c>
      <c r="X39" s="21">
        <v>162.19999999999999</v>
      </c>
      <c r="Y39" s="21">
        <v>164.5</v>
      </c>
      <c r="Z39" s="21">
        <v>161.6</v>
      </c>
      <c r="AA39" s="21">
        <v>156.80000000000001</v>
      </c>
      <c r="AB39" s="21">
        <v>166.1</v>
      </c>
      <c r="AC39" s="21">
        <v>152.69999999999999</v>
      </c>
      <c r="AD39" s="21">
        <v>158.4</v>
      </c>
      <c r="AE39" s="21">
        <v>161</v>
      </c>
      <c r="AF39" s="21">
        <v>162.80000000000001</v>
      </c>
      <c r="AG39" s="21">
        <v>158.6</v>
      </c>
      <c r="AH39" s="21">
        <v>165</v>
      </c>
      <c r="AI39" s="28">
        <v>4138.8</v>
      </c>
      <c r="AJ39" s="28">
        <v>640.79999999999995</v>
      </c>
      <c r="AK39" s="28">
        <v>313.2</v>
      </c>
      <c r="AL39" s="28">
        <v>321.3</v>
      </c>
      <c r="AM39" s="28">
        <v>2383.1</v>
      </c>
      <c r="AN39" s="28">
        <v>160.19999999999999</v>
      </c>
      <c r="AO39" s="28">
        <v>160.65</v>
      </c>
      <c r="AP39" s="22">
        <v>170.22142857142856</v>
      </c>
    </row>
    <row r="40" spans="1:42" x14ac:dyDescent="0.3">
      <c r="A40" s="27" t="s">
        <v>3</v>
      </c>
      <c r="B40" s="20">
        <v>2022</v>
      </c>
      <c r="C40" s="20" t="s">
        <v>1</v>
      </c>
      <c r="D40" s="21" t="s">
        <v>111</v>
      </c>
      <c r="E40" s="33">
        <v>44562</v>
      </c>
      <c r="F40" s="20" t="s">
        <v>85</v>
      </c>
      <c r="G40" s="52">
        <v>92441.854830099124</v>
      </c>
      <c r="H40" s="20">
        <v>149.5</v>
      </c>
      <c r="I40" s="20">
        <v>198.7</v>
      </c>
      <c r="J40" s="20">
        <v>178.8</v>
      </c>
      <c r="K40" s="20">
        <v>160.5</v>
      </c>
      <c r="L40" s="20">
        <v>184.7</v>
      </c>
      <c r="M40" s="20">
        <v>153.69999999999999</v>
      </c>
      <c r="N40" s="20">
        <v>174.3</v>
      </c>
      <c r="O40" s="20">
        <v>163.9</v>
      </c>
      <c r="P40" s="20">
        <v>120</v>
      </c>
      <c r="Q40" s="20">
        <v>172.1</v>
      </c>
      <c r="R40" s="20">
        <v>164.3</v>
      </c>
      <c r="S40" s="20">
        <v>177.3</v>
      </c>
      <c r="T40" s="20">
        <v>166.4</v>
      </c>
      <c r="U40" s="20">
        <v>192.2</v>
      </c>
      <c r="V40" s="20">
        <v>169.9</v>
      </c>
      <c r="W40" s="20">
        <v>160.69999999999999</v>
      </c>
      <c r="X40" s="20">
        <v>168.5</v>
      </c>
      <c r="Y40" s="20">
        <v>164.5</v>
      </c>
      <c r="Z40" s="20">
        <v>164.2</v>
      </c>
      <c r="AA40" s="20">
        <v>161.1</v>
      </c>
      <c r="AB40" s="20">
        <v>171.4</v>
      </c>
      <c r="AC40" s="20">
        <v>156.5</v>
      </c>
      <c r="AD40" s="20">
        <v>161.19999999999999</v>
      </c>
      <c r="AE40" s="20">
        <v>164.7</v>
      </c>
      <c r="AF40" s="20">
        <v>163</v>
      </c>
      <c r="AG40" s="20">
        <v>162.69999999999999</v>
      </c>
      <c r="AH40" s="20">
        <v>165.7</v>
      </c>
      <c r="AI40" s="28">
        <v>4156.3</v>
      </c>
      <c r="AJ40" s="28">
        <v>651.59999999999991</v>
      </c>
      <c r="AK40" s="28">
        <v>330.6</v>
      </c>
      <c r="AL40" s="28">
        <v>325.60000000000002</v>
      </c>
      <c r="AM40" s="28">
        <v>2356.3999999999996</v>
      </c>
      <c r="AN40" s="28">
        <v>162.89999999999998</v>
      </c>
      <c r="AO40" s="28">
        <v>162.80000000000001</v>
      </c>
      <c r="AP40" s="23">
        <v>168.31428571428569</v>
      </c>
    </row>
    <row r="41" spans="1:42" hidden="1" x14ac:dyDescent="0.3">
      <c r="A41" s="26" t="s">
        <v>0</v>
      </c>
      <c r="B41" s="21">
        <v>2022</v>
      </c>
      <c r="C41" s="21" t="s">
        <v>4</v>
      </c>
      <c r="D41" s="21" t="s">
        <v>114</v>
      </c>
      <c r="E41" s="32">
        <v>44593</v>
      </c>
      <c r="F41" s="21" t="s">
        <v>85</v>
      </c>
      <c r="G41" s="56"/>
      <c r="H41" s="21">
        <v>148.80000000000001</v>
      </c>
      <c r="I41" s="21">
        <v>198.1</v>
      </c>
      <c r="J41" s="21">
        <v>175.5</v>
      </c>
      <c r="K41" s="21">
        <v>160.69999999999999</v>
      </c>
      <c r="L41" s="21">
        <v>192.6</v>
      </c>
      <c r="M41" s="21">
        <v>151.4</v>
      </c>
      <c r="N41" s="21">
        <v>155.19999999999999</v>
      </c>
      <c r="O41" s="21">
        <v>163.9</v>
      </c>
      <c r="P41" s="21">
        <v>118.1</v>
      </c>
      <c r="Q41" s="21">
        <v>175.4</v>
      </c>
      <c r="R41" s="21">
        <v>170.5</v>
      </c>
      <c r="S41" s="21">
        <v>176.3</v>
      </c>
      <c r="T41" s="21">
        <v>163.9</v>
      </c>
      <c r="U41" s="21">
        <v>191.5</v>
      </c>
      <c r="V41" s="21">
        <v>174.1</v>
      </c>
      <c r="W41" s="21">
        <v>171</v>
      </c>
      <c r="X41" s="21">
        <v>173.7</v>
      </c>
      <c r="Y41" s="28">
        <v>139.27096774193564</v>
      </c>
      <c r="Z41" s="21">
        <v>167.4</v>
      </c>
      <c r="AA41" s="21">
        <v>165.7</v>
      </c>
      <c r="AB41" s="21">
        <v>175.3</v>
      </c>
      <c r="AC41" s="21">
        <v>161.19999999999999</v>
      </c>
      <c r="AD41" s="21">
        <v>165.5</v>
      </c>
      <c r="AE41" s="21">
        <v>170.3</v>
      </c>
      <c r="AF41" s="21">
        <v>164.5</v>
      </c>
      <c r="AG41" s="21">
        <v>167.3</v>
      </c>
      <c r="AH41" s="21">
        <v>166.7</v>
      </c>
      <c r="AI41" s="28">
        <v>4163.470967741936</v>
      </c>
      <c r="AJ41" s="28">
        <v>667.6</v>
      </c>
      <c r="AK41" s="28">
        <v>345.1</v>
      </c>
      <c r="AL41" s="28">
        <v>304.97096774193562</v>
      </c>
      <c r="AM41" s="28">
        <v>2341.9</v>
      </c>
      <c r="AN41" s="28">
        <v>166.9</v>
      </c>
      <c r="AO41" s="28">
        <v>152.48548387096781</v>
      </c>
      <c r="AP41" s="22">
        <v>167.27857142857144</v>
      </c>
    </row>
    <row r="42" spans="1:42" hidden="1" x14ac:dyDescent="0.3">
      <c r="A42" s="27" t="s">
        <v>2</v>
      </c>
      <c r="B42" s="20">
        <v>2022</v>
      </c>
      <c r="C42" s="20" t="s">
        <v>4</v>
      </c>
      <c r="D42" s="21" t="s">
        <v>114</v>
      </c>
      <c r="E42" s="33">
        <v>44593</v>
      </c>
      <c r="F42" s="20" t="s">
        <v>85</v>
      </c>
      <c r="G42" s="55"/>
      <c r="H42" s="20">
        <v>152.5</v>
      </c>
      <c r="I42" s="20">
        <v>205.2</v>
      </c>
      <c r="J42" s="20">
        <v>176.4</v>
      </c>
      <c r="K42" s="20">
        <v>160.6</v>
      </c>
      <c r="L42" s="20">
        <v>171.5</v>
      </c>
      <c r="M42" s="20">
        <v>156.4</v>
      </c>
      <c r="N42" s="20">
        <v>198</v>
      </c>
      <c r="O42" s="20">
        <v>163.19999999999999</v>
      </c>
      <c r="P42" s="20">
        <v>120.6</v>
      </c>
      <c r="Q42" s="20">
        <v>172.2</v>
      </c>
      <c r="R42" s="20">
        <v>156.69999999999999</v>
      </c>
      <c r="S42" s="20">
        <v>180</v>
      </c>
      <c r="T42" s="20">
        <v>170.2</v>
      </c>
      <c r="U42" s="20">
        <v>196.5</v>
      </c>
      <c r="V42" s="20">
        <v>165.7</v>
      </c>
      <c r="W42" s="20">
        <v>150.4</v>
      </c>
      <c r="X42" s="20">
        <v>163.4</v>
      </c>
      <c r="Y42" s="20">
        <v>165.5</v>
      </c>
      <c r="Z42" s="20">
        <v>163</v>
      </c>
      <c r="AA42" s="20">
        <v>157.4</v>
      </c>
      <c r="AB42" s="20">
        <v>167.2</v>
      </c>
      <c r="AC42" s="20">
        <v>153.1</v>
      </c>
      <c r="AD42" s="20">
        <v>159.5</v>
      </c>
      <c r="AE42" s="20">
        <v>162</v>
      </c>
      <c r="AF42" s="20">
        <v>164.2</v>
      </c>
      <c r="AG42" s="20">
        <v>159.4</v>
      </c>
      <c r="AH42" s="20">
        <v>165.5</v>
      </c>
      <c r="AI42" s="28">
        <v>4147.3999999999987</v>
      </c>
      <c r="AJ42" s="28">
        <v>645.1</v>
      </c>
      <c r="AK42" s="28">
        <v>316.10000000000002</v>
      </c>
      <c r="AL42" s="28">
        <v>322.89999999999998</v>
      </c>
      <c r="AM42" s="28">
        <v>2380</v>
      </c>
      <c r="AN42" s="28">
        <v>161.27500000000001</v>
      </c>
      <c r="AO42" s="28">
        <v>161.44999999999999</v>
      </c>
      <c r="AP42" s="23">
        <v>170</v>
      </c>
    </row>
    <row r="43" spans="1:42" x14ac:dyDescent="0.3">
      <c r="A43" s="26" t="s">
        <v>3</v>
      </c>
      <c r="B43" s="21">
        <v>2022</v>
      </c>
      <c r="C43" s="21" t="s">
        <v>4</v>
      </c>
      <c r="D43" s="21" t="s">
        <v>114</v>
      </c>
      <c r="E43" s="32">
        <v>44593</v>
      </c>
      <c r="F43" s="21" t="s">
        <v>85</v>
      </c>
      <c r="G43" s="53">
        <v>85798.258921224522</v>
      </c>
      <c r="H43" s="21">
        <v>150</v>
      </c>
      <c r="I43" s="21">
        <v>200.6</v>
      </c>
      <c r="J43" s="21">
        <v>175.8</v>
      </c>
      <c r="K43" s="21">
        <v>160.69999999999999</v>
      </c>
      <c r="L43" s="21">
        <v>184.9</v>
      </c>
      <c r="M43" s="21">
        <v>153.69999999999999</v>
      </c>
      <c r="N43" s="21">
        <v>169.7</v>
      </c>
      <c r="O43" s="21">
        <v>163.69999999999999</v>
      </c>
      <c r="P43" s="21">
        <v>118.9</v>
      </c>
      <c r="Q43" s="21">
        <v>174.3</v>
      </c>
      <c r="R43" s="21">
        <v>164.7</v>
      </c>
      <c r="S43" s="21">
        <v>178</v>
      </c>
      <c r="T43" s="21">
        <v>166.2</v>
      </c>
      <c r="U43" s="21">
        <v>192.8</v>
      </c>
      <c r="V43" s="21">
        <v>170.8</v>
      </c>
      <c r="W43" s="21">
        <v>162.4</v>
      </c>
      <c r="X43" s="21">
        <v>169.6</v>
      </c>
      <c r="Y43" s="21">
        <v>165.5</v>
      </c>
      <c r="Z43" s="21">
        <v>165.7</v>
      </c>
      <c r="AA43" s="21">
        <v>161.80000000000001</v>
      </c>
      <c r="AB43" s="21">
        <v>172.2</v>
      </c>
      <c r="AC43" s="21">
        <v>156.9</v>
      </c>
      <c r="AD43" s="21">
        <v>162.1</v>
      </c>
      <c r="AE43" s="21">
        <v>165.4</v>
      </c>
      <c r="AF43" s="21">
        <v>164.4</v>
      </c>
      <c r="AG43" s="21">
        <v>163.5</v>
      </c>
      <c r="AH43" s="21">
        <v>166.1</v>
      </c>
      <c r="AI43" s="28">
        <v>4164.7</v>
      </c>
      <c r="AJ43" s="28">
        <v>655.4</v>
      </c>
      <c r="AK43" s="28">
        <v>333.20000000000005</v>
      </c>
      <c r="AL43" s="28">
        <v>327.3</v>
      </c>
      <c r="AM43" s="28">
        <v>2354.0000000000005</v>
      </c>
      <c r="AN43" s="28">
        <v>163.85</v>
      </c>
      <c r="AO43" s="28">
        <v>163.65</v>
      </c>
      <c r="AP43" s="22">
        <v>168.14285714285717</v>
      </c>
    </row>
    <row r="44" spans="1:42" hidden="1" x14ac:dyDescent="0.3">
      <c r="A44" s="27" t="s">
        <v>0</v>
      </c>
      <c r="B44" s="20">
        <v>2022</v>
      </c>
      <c r="C44" s="20" t="s">
        <v>5</v>
      </c>
      <c r="D44" s="21" t="s">
        <v>120</v>
      </c>
      <c r="E44" s="33">
        <v>44621</v>
      </c>
      <c r="F44" s="20" t="s">
        <v>85</v>
      </c>
      <c r="G44" s="57"/>
      <c r="H44" s="20">
        <v>150.19999999999999</v>
      </c>
      <c r="I44" s="20">
        <v>208</v>
      </c>
      <c r="J44" s="20">
        <v>167.9</v>
      </c>
      <c r="K44" s="20">
        <v>162</v>
      </c>
      <c r="L44" s="20">
        <v>203.1</v>
      </c>
      <c r="M44" s="20">
        <v>155.9</v>
      </c>
      <c r="N44" s="20">
        <v>155.80000000000001</v>
      </c>
      <c r="O44" s="20">
        <v>164.2</v>
      </c>
      <c r="P44" s="20">
        <v>118.1</v>
      </c>
      <c r="Q44" s="20">
        <v>178.7</v>
      </c>
      <c r="R44" s="20">
        <v>171.2</v>
      </c>
      <c r="S44" s="20">
        <v>177.4</v>
      </c>
      <c r="T44" s="20">
        <v>166.6</v>
      </c>
      <c r="U44" s="20">
        <v>192.3</v>
      </c>
      <c r="V44" s="20">
        <v>175.4</v>
      </c>
      <c r="W44" s="20">
        <v>173.2</v>
      </c>
      <c r="X44" s="20">
        <v>175.1</v>
      </c>
      <c r="Y44" s="30">
        <v>139.27096774193564</v>
      </c>
      <c r="Z44" s="20">
        <v>168.9</v>
      </c>
      <c r="AA44" s="20">
        <v>166.5</v>
      </c>
      <c r="AB44" s="20">
        <v>176</v>
      </c>
      <c r="AC44" s="20">
        <v>162</v>
      </c>
      <c r="AD44" s="20">
        <v>166.6</v>
      </c>
      <c r="AE44" s="20">
        <v>170.6</v>
      </c>
      <c r="AF44" s="20">
        <v>167.4</v>
      </c>
      <c r="AG44" s="20">
        <v>168.3</v>
      </c>
      <c r="AH44" s="20">
        <v>168.7</v>
      </c>
      <c r="AI44" s="28">
        <v>4205.5709677419354</v>
      </c>
      <c r="AJ44" s="28">
        <v>672.90000000000009</v>
      </c>
      <c r="AK44" s="28">
        <v>348.6</v>
      </c>
      <c r="AL44" s="28">
        <v>305.77096774193564</v>
      </c>
      <c r="AM44" s="28">
        <v>2371.4000000000005</v>
      </c>
      <c r="AN44" s="28">
        <v>168.22500000000002</v>
      </c>
      <c r="AO44" s="28">
        <v>152.88548387096782</v>
      </c>
      <c r="AP44" s="23">
        <v>169.38571428571433</v>
      </c>
    </row>
    <row r="45" spans="1:42" hidden="1" x14ac:dyDescent="0.3">
      <c r="A45" s="26" t="s">
        <v>2</v>
      </c>
      <c r="B45" s="21">
        <v>2022</v>
      </c>
      <c r="C45" s="21" t="s">
        <v>5</v>
      </c>
      <c r="D45" s="21" t="s">
        <v>120</v>
      </c>
      <c r="E45" s="32">
        <v>44621</v>
      </c>
      <c r="F45" s="21" t="s">
        <v>85</v>
      </c>
      <c r="G45" s="54"/>
      <c r="H45" s="21">
        <v>153.69999999999999</v>
      </c>
      <c r="I45" s="21">
        <v>215.8</v>
      </c>
      <c r="J45" s="21">
        <v>167.7</v>
      </c>
      <c r="K45" s="21">
        <v>162.6</v>
      </c>
      <c r="L45" s="21">
        <v>180</v>
      </c>
      <c r="M45" s="21">
        <v>159.6</v>
      </c>
      <c r="N45" s="21">
        <v>188.4</v>
      </c>
      <c r="O45" s="21">
        <v>163.4</v>
      </c>
      <c r="P45" s="21">
        <v>120.3</v>
      </c>
      <c r="Q45" s="21">
        <v>174.7</v>
      </c>
      <c r="R45" s="21">
        <v>157.1</v>
      </c>
      <c r="S45" s="21">
        <v>181.5</v>
      </c>
      <c r="T45" s="21">
        <v>171.5</v>
      </c>
      <c r="U45" s="21">
        <v>197.5</v>
      </c>
      <c r="V45" s="21">
        <v>167.1</v>
      </c>
      <c r="W45" s="21">
        <v>152.6</v>
      </c>
      <c r="X45" s="21">
        <v>164.9</v>
      </c>
      <c r="Y45" s="21">
        <v>165.3</v>
      </c>
      <c r="Z45" s="21">
        <v>164.5</v>
      </c>
      <c r="AA45" s="21">
        <v>158.6</v>
      </c>
      <c r="AB45" s="21">
        <v>168.2</v>
      </c>
      <c r="AC45" s="21">
        <v>154.19999999999999</v>
      </c>
      <c r="AD45" s="21">
        <v>160.80000000000001</v>
      </c>
      <c r="AE45" s="21">
        <v>162.69999999999999</v>
      </c>
      <c r="AF45" s="21">
        <v>166.8</v>
      </c>
      <c r="AG45" s="21">
        <v>160.6</v>
      </c>
      <c r="AH45" s="21">
        <v>166.5</v>
      </c>
      <c r="AI45" s="28">
        <v>4175.2</v>
      </c>
      <c r="AJ45" s="28">
        <v>650.9</v>
      </c>
      <c r="AK45" s="28">
        <v>319.7</v>
      </c>
      <c r="AL45" s="28">
        <v>323.89999999999998</v>
      </c>
      <c r="AM45" s="28">
        <v>2393.8000000000002</v>
      </c>
      <c r="AN45" s="28">
        <v>162.72499999999999</v>
      </c>
      <c r="AO45" s="28">
        <v>161.94999999999999</v>
      </c>
      <c r="AP45" s="22">
        <v>170.98571428571429</v>
      </c>
    </row>
    <row r="46" spans="1:42" x14ac:dyDescent="0.3">
      <c r="A46" s="27" t="s">
        <v>3</v>
      </c>
      <c r="B46" s="20">
        <v>2022</v>
      </c>
      <c r="C46" s="20" t="s">
        <v>5</v>
      </c>
      <c r="D46" s="21" t="s">
        <v>120</v>
      </c>
      <c r="E46" s="33">
        <v>44621</v>
      </c>
      <c r="F46" s="20" t="s">
        <v>85</v>
      </c>
      <c r="G46" s="52">
        <v>89613.478577777831</v>
      </c>
      <c r="H46" s="20">
        <v>151.30000000000001</v>
      </c>
      <c r="I46" s="20">
        <v>210.7</v>
      </c>
      <c r="J46" s="20">
        <v>167.8</v>
      </c>
      <c r="K46" s="20">
        <v>162.19999999999999</v>
      </c>
      <c r="L46" s="20">
        <v>194.6</v>
      </c>
      <c r="M46" s="20">
        <v>157.6</v>
      </c>
      <c r="N46" s="20">
        <v>166.9</v>
      </c>
      <c r="O46" s="20">
        <v>163.9</v>
      </c>
      <c r="P46" s="20">
        <v>118.8</v>
      </c>
      <c r="Q46" s="20">
        <v>177.4</v>
      </c>
      <c r="R46" s="20">
        <v>165.3</v>
      </c>
      <c r="S46" s="20">
        <v>179.3</v>
      </c>
      <c r="T46" s="20">
        <v>168.4</v>
      </c>
      <c r="U46" s="20">
        <v>193.7</v>
      </c>
      <c r="V46" s="20">
        <v>172.1</v>
      </c>
      <c r="W46" s="20">
        <v>164.6</v>
      </c>
      <c r="X46" s="20">
        <v>171.1</v>
      </c>
      <c r="Y46" s="20">
        <v>165.3</v>
      </c>
      <c r="Z46" s="20">
        <v>167.2</v>
      </c>
      <c r="AA46" s="20">
        <v>162.80000000000001</v>
      </c>
      <c r="AB46" s="20">
        <v>173</v>
      </c>
      <c r="AC46" s="20">
        <v>157.9</v>
      </c>
      <c r="AD46" s="20">
        <v>163.30000000000001</v>
      </c>
      <c r="AE46" s="20">
        <v>166</v>
      </c>
      <c r="AF46" s="20">
        <v>167.2</v>
      </c>
      <c r="AG46" s="20">
        <v>164.6</v>
      </c>
      <c r="AH46" s="20">
        <v>167.7</v>
      </c>
      <c r="AI46" s="28">
        <v>4201.9000000000005</v>
      </c>
      <c r="AJ46" s="28">
        <v>661.09999999999991</v>
      </c>
      <c r="AK46" s="28">
        <v>336.7</v>
      </c>
      <c r="AL46" s="28">
        <v>328.1</v>
      </c>
      <c r="AM46" s="28">
        <v>2377.9</v>
      </c>
      <c r="AN46" s="28">
        <v>165.27499999999998</v>
      </c>
      <c r="AO46" s="28">
        <v>164.05</v>
      </c>
      <c r="AP46" s="23">
        <v>169.85</v>
      </c>
    </row>
    <row r="47" spans="1:42" hidden="1" x14ac:dyDescent="0.3">
      <c r="A47" s="26" t="s">
        <v>0</v>
      </c>
      <c r="B47" s="21">
        <v>2022</v>
      </c>
      <c r="C47" s="21" t="s">
        <v>6</v>
      </c>
      <c r="D47" s="21" t="s">
        <v>123</v>
      </c>
      <c r="E47" s="32">
        <v>44652</v>
      </c>
      <c r="F47" s="21" t="s">
        <v>85</v>
      </c>
      <c r="G47" s="56"/>
      <c r="H47" s="21">
        <v>151.80000000000001</v>
      </c>
      <c r="I47" s="21">
        <v>209.7</v>
      </c>
      <c r="J47" s="21">
        <v>164.5</v>
      </c>
      <c r="K47" s="21">
        <v>163.80000000000001</v>
      </c>
      <c r="L47" s="21">
        <v>207.4</v>
      </c>
      <c r="M47" s="21">
        <v>169.7</v>
      </c>
      <c r="N47" s="21">
        <v>153.6</v>
      </c>
      <c r="O47" s="21">
        <v>165.1</v>
      </c>
      <c r="P47" s="21">
        <v>118.2</v>
      </c>
      <c r="Q47" s="21">
        <v>182.9</v>
      </c>
      <c r="R47" s="21">
        <v>172.4</v>
      </c>
      <c r="S47" s="21">
        <v>178.9</v>
      </c>
      <c r="T47" s="21">
        <v>168.6</v>
      </c>
      <c r="U47" s="21">
        <v>192.8</v>
      </c>
      <c r="V47" s="21">
        <v>177.5</v>
      </c>
      <c r="W47" s="21">
        <v>175.1</v>
      </c>
      <c r="X47" s="21">
        <v>177.1</v>
      </c>
      <c r="Y47" s="28">
        <v>139.27096774193564</v>
      </c>
      <c r="Z47" s="21">
        <v>173.3</v>
      </c>
      <c r="AA47" s="21">
        <v>167.7</v>
      </c>
      <c r="AB47" s="21">
        <v>177</v>
      </c>
      <c r="AC47" s="21">
        <v>166.2</v>
      </c>
      <c r="AD47" s="21">
        <v>167.2</v>
      </c>
      <c r="AE47" s="21">
        <v>170.9</v>
      </c>
      <c r="AF47" s="21">
        <v>169</v>
      </c>
      <c r="AG47" s="21">
        <v>170.2</v>
      </c>
      <c r="AH47" s="21">
        <v>170.8</v>
      </c>
      <c r="AI47" s="28">
        <v>4252.7709677419361</v>
      </c>
      <c r="AJ47" s="28">
        <v>677.3</v>
      </c>
      <c r="AK47" s="28">
        <v>352.6</v>
      </c>
      <c r="AL47" s="28">
        <v>306.97096774193562</v>
      </c>
      <c r="AM47" s="28">
        <v>2399.4</v>
      </c>
      <c r="AN47" s="28">
        <v>169.32499999999999</v>
      </c>
      <c r="AO47" s="28">
        <v>153.48548387096781</v>
      </c>
      <c r="AP47" s="22">
        <v>171.3857142857143</v>
      </c>
    </row>
    <row r="48" spans="1:42" hidden="1" x14ac:dyDescent="0.3">
      <c r="A48" s="27" t="s">
        <v>2</v>
      </c>
      <c r="B48" s="20">
        <v>2022</v>
      </c>
      <c r="C48" s="20" t="s">
        <v>6</v>
      </c>
      <c r="D48" s="21" t="s">
        <v>123</v>
      </c>
      <c r="E48" s="33">
        <v>44652</v>
      </c>
      <c r="F48" s="20" t="s">
        <v>85</v>
      </c>
      <c r="G48" s="55"/>
      <c r="H48" s="20">
        <v>155.4</v>
      </c>
      <c r="I48" s="20">
        <v>215.8</v>
      </c>
      <c r="J48" s="20">
        <v>164.6</v>
      </c>
      <c r="K48" s="20">
        <v>164.2</v>
      </c>
      <c r="L48" s="20">
        <v>186</v>
      </c>
      <c r="M48" s="20">
        <v>175.9</v>
      </c>
      <c r="N48" s="20">
        <v>190.7</v>
      </c>
      <c r="O48" s="20">
        <v>164</v>
      </c>
      <c r="P48" s="20">
        <v>120.5</v>
      </c>
      <c r="Q48" s="20">
        <v>178</v>
      </c>
      <c r="R48" s="20">
        <v>157.5</v>
      </c>
      <c r="S48" s="20">
        <v>183.3</v>
      </c>
      <c r="T48" s="20">
        <v>174.5</v>
      </c>
      <c r="U48" s="20">
        <v>197.1</v>
      </c>
      <c r="V48" s="20">
        <v>168.4</v>
      </c>
      <c r="W48" s="20">
        <v>154.5</v>
      </c>
      <c r="X48" s="20">
        <v>166.3</v>
      </c>
      <c r="Y48" s="20">
        <v>167</v>
      </c>
      <c r="Z48" s="20">
        <v>170.5</v>
      </c>
      <c r="AA48" s="20">
        <v>159.80000000000001</v>
      </c>
      <c r="AB48" s="20">
        <v>169</v>
      </c>
      <c r="AC48" s="20">
        <v>159.30000000000001</v>
      </c>
      <c r="AD48" s="20">
        <v>162.19999999999999</v>
      </c>
      <c r="AE48" s="20">
        <v>164</v>
      </c>
      <c r="AF48" s="20">
        <v>168.4</v>
      </c>
      <c r="AG48" s="20">
        <v>163.1</v>
      </c>
      <c r="AH48" s="20">
        <v>169.2</v>
      </c>
      <c r="AI48" s="28">
        <v>4233.7</v>
      </c>
      <c r="AJ48" s="28">
        <v>657.7</v>
      </c>
      <c r="AK48" s="28">
        <v>322.89999999999998</v>
      </c>
      <c r="AL48" s="28">
        <v>326.8</v>
      </c>
      <c r="AM48" s="28">
        <v>2427.5</v>
      </c>
      <c r="AN48" s="28">
        <v>164.42500000000001</v>
      </c>
      <c r="AO48" s="28">
        <v>163.4</v>
      </c>
      <c r="AP48" s="23">
        <v>173.39285714285714</v>
      </c>
    </row>
    <row r="49" spans="1:42" x14ac:dyDescent="0.3">
      <c r="A49" s="26" t="s">
        <v>3</v>
      </c>
      <c r="B49" s="21">
        <v>2022</v>
      </c>
      <c r="C49" s="21" t="s">
        <v>6</v>
      </c>
      <c r="D49" s="21" t="s">
        <v>123</v>
      </c>
      <c r="E49" s="32">
        <v>44652</v>
      </c>
      <c r="F49" s="21" t="s">
        <v>85</v>
      </c>
      <c r="G49" s="53">
        <v>128800.06584155018</v>
      </c>
      <c r="H49" s="21">
        <v>152.9</v>
      </c>
      <c r="I49" s="21">
        <v>211.8</v>
      </c>
      <c r="J49" s="21">
        <v>164.5</v>
      </c>
      <c r="K49" s="21">
        <v>163.9</v>
      </c>
      <c r="L49" s="21">
        <v>199.5</v>
      </c>
      <c r="M49" s="21">
        <v>172.6</v>
      </c>
      <c r="N49" s="21">
        <v>166.2</v>
      </c>
      <c r="O49" s="21">
        <v>164.7</v>
      </c>
      <c r="P49" s="21">
        <v>119</v>
      </c>
      <c r="Q49" s="21">
        <v>181.3</v>
      </c>
      <c r="R49" s="21">
        <v>166.2</v>
      </c>
      <c r="S49" s="21">
        <v>180.9</v>
      </c>
      <c r="T49" s="21">
        <v>170.8</v>
      </c>
      <c r="U49" s="21">
        <v>193.9</v>
      </c>
      <c r="V49" s="21">
        <v>173.9</v>
      </c>
      <c r="W49" s="21">
        <v>166.5</v>
      </c>
      <c r="X49" s="21">
        <v>172.8</v>
      </c>
      <c r="Y49" s="21">
        <v>167</v>
      </c>
      <c r="Z49" s="21">
        <v>172.2</v>
      </c>
      <c r="AA49" s="21">
        <v>164</v>
      </c>
      <c r="AB49" s="21">
        <v>174</v>
      </c>
      <c r="AC49" s="21">
        <v>162.6</v>
      </c>
      <c r="AD49" s="21">
        <v>164.4</v>
      </c>
      <c r="AE49" s="21">
        <v>166.9</v>
      </c>
      <c r="AF49" s="21">
        <v>168.8</v>
      </c>
      <c r="AG49" s="21">
        <v>166.8</v>
      </c>
      <c r="AH49" s="21">
        <v>170.1</v>
      </c>
      <c r="AI49" s="28">
        <v>4255.3</v>
      </c>
      <c r="AJ49" s="28">
        <v>666.9</v>
      </c>
      <c r="AK49" s="28">
        <v>340.4</v>
      </c>
      <c r="AL49" s="28">
        <v>331</v>
      </c>
      <c r="AM49" s="28">
        <v>2408.2000000000003</v>
      </c>
      <c r="AN49" s="28">
        <v>166.72499999999999</v>
      </c>
      <c r="AO49" s="28">
        <v>165.5</v>
      </c>
      <c r="AP49" s="22">
        <v>172.01428571428573</v>
      </c>
    </row>
    <row r="50" spans="1:42" hidden="1" x14ac:dyDescent="0.3">
      <c r="A50" s="27" t="s">
        <v>0</v>
      </c>
      <c r="B50" s="20">
        <v>2022</v>
      </c>
      <c r="C50" s="20" t="s">
        <v>7</v>
      </c>
      <c r="D50" s="21" t="s">
        <v>126</v>
      </c>
      <c r="E50" s="33">
        <v>44682</v>
      </c>
      <c r="F50" s="20" t="s">
        <v>85</v>
      </c>
      <c r="G50" s="57"/>
      <c r="H50" s="20">
        <v>152.9</v>
      </c>
      <c r="I50" s="20">
        <v>214.7</v>
      </c>
      <c r="J50" s="20">
        <v>161.4</v>
      </c>
      <c r="K50" s="20">
        <v>164.6</v>
      </c>
      <c r="L50" s="20">
        <v>209.9</v>
      </c>
      <c r="M50" s="20">
        <v>168</v>
      </c>
      <c r="N50" s="20">
        <v>160.4</v>
      </c>
      <c r="O50" s="20">
        <v>165</v>
      </c>
      <c r="P50" s="20">
        <v>118.9</v>
      </c>
      <c r="Q50" s="20">
        <v>186.6</v>
      </c>
      <c r="R50" s="20">
        <v>173.2</v>
      </c>
      <c r="S50" s="20">
        <v>180.4</v>
      </c>
      <c r="T50" s="20">
        <v>170.8</v>
      </c>
      <c r="U50" s="20">
        <v>192.9</v>
      </c>
      <c r="V50" s="20">
        <v>179.3</v>
      </c>
      <c r="W50" s="20">
        <v>177.2</v>
      </c>
      <c r="X50" s="20">
        <v>179</v>
      </c>
      <c r="Y50" s="30">
        <v>139.27096774193564</v>
      </c>
      <c r="Z50" s="20">
        <v>175.3</v>
      </c>
      <c r="AA50" s="20">
        <v>168.9</v>
      </c>
      <c r="AB50" s="20">
        <v>177.7</v>
      </c>
      <c r="AC50" s="20">
        <v>167.1</v>
      </c>
      <c r="AD50" s="20">
        <v>167.6</v>
      </c>
      <c r="AE50" s="20">
        <v>171.8</v>
      </c>
      <c r="AF50" s="20">
        <v>168.5</v>
      </c>
      <c r="AG50" s="20">
        <v>170.9</v>
      </c>
      <c r="AH50" s="20">
        <v>172.5</v>
      </c>
      <c r="AI50" s="28">
        <v>4283.2709677419361</v>
      </c>
      <c r="AJ50" s="28">
        <v>678.8</v>
      </c>
      <c r="AK50" s="28">
        <v>356.5</v>
      </c>
      <c r="AL50" s="28">
        <v>308.17096774193567</v>
      </c>
      <c r="AM50" s="28">
        <v>2419.7000000000003</v>
      </c>
      <c r="AN50" s="28">
        <v>169.7</v>
      </c>
      <c r="AO50" s="28">
        <v>154.08548387096783</v>
      </c>
      <c r="AP50" s="23">
        <v>172.83571428571432</v>
      </c>
    </row>
    <row r="51" spans="1:42" hidden="1" x14ac:dyDescent="0.3">
      <c r="A51" s="26" t="s">
        <v>2</v>
      </c>
      <c r="B51" s="21">
        <v>2022</v>
      </c>
      <c r="C51" s="21" t="s">
        <v>7</v>
      </c>
      <c r="D51" s="21" t="s">
        <v>126</v>
      </c>
      <c r="E51" s="32">
        <v>44682</v>
      </c>
      <c r="F51" s="21" t="s">
        <v>85</v>
      </c>
      <c r="G51" s="54"/>
      <c r="H51" s="21">
        <v>156.69999999999999</v>
      </c>
      <c r="I51" s="21">
        <v>221.2</v>
      </c>
      <c r="J51" s="21">
        <v>164.1</v>
      </c>
      <c r="K51" s="21">
        <v>165.4</v>
      </c>
      <c r="L51" s="21">
        <v>189.5</v>
      </c>
      <c r="M51" s="21">
        <v>174.5</v>
      </c>
      <c r="N51" s="21">
        <v>203.2</v>
      </c>
      <c r="O51" s="21">
        <v>164.1</v>
      </c>
      <c r="P51" s="21">
        <v>121.2</v>
      </c>
      <c r="Q51" s="21">
        <v>181.4</v>
      </c>
      <c r="R51" s="21">
        <v>158.5</v>
      </c>
      <c r="S51" s="21">
        <v>184.9</v>
      </c>
      <c r="T51" s="21">
        <v>177.5</v>
      </c>
      <c r="U51" s="21">
        <v>197.5</v>
      </c>
      <c r="V51" s="21">
        <v>170</v>
      </c>
      <c r="W51" s="21">
        <v>155.9</v>
      </c>
      <c r="X51" s="21">
        <v>167.8</v>
      </c>
      <c r="Y51" s="21">
        <v>167.5</v>
      </c>
      <c r="Z51" s="21">
        <v>173.5</v>
      </c>
      <c r="AA51" s="21">
        <v>161.1</v>
      </c>
      <c r="AB51" s="21">
        <v>170.1</v>
      </c>
      <c r="AC51" s="21">
        <v>159.4</v>
      </c>
      <c r="AD51" s="21">
        <v>163.19999999999999</v>
      </c>
      <c r="AE51" s="21">
        <v>165.2</v>
      </c>
      <c r="AF51" s="21">
        <v>168.2</v>
      </c>
      <c r="AG51" s="21">
        <v>163.80000000000001</v>
      </c>
      <c r="AH51" s="21">
        <v>170.8</v>
      </c>
      <c r="AI51" s="28">
        <v>4277.5999999999995</v>
      </c>
      <c r="AJ51" s="28">
        <v>660.4</v>
      </c>
      <c r="AK51" s="28">
        <v>325.89999999999998</v>
      </c>
      <c r="AL51" s="28">
        <v>328.6</v>
      </c>
      <c r="AM51" s="28">
        <v>2459.7000000000003</v>
      </c>
      <c r="AN51" s="28">
        <v>165.1</v>
      </c>
      <c r="AO51" s="28">
        <v>164.3</v>
      </c>
      <c r="AP51" s="22">
        <v>175.69285714285715</v>
      </c>
    </row>
    <row r="52" spans="1:42" x14ac:dyDescent="0.3">
      <c r="A52" s="27" t="s">
        <v>3</v>
      </c>
      <c r="B52" s="20">
        <v>2022</v>
      </c>
      <c r="C52" s="20" t="s">
        <v>7</v>
      </c>
      <c r="D52" s="21" t="s">
        <v>126</v>
      </c>
      <c r="E52" s="33">
        <v>44682</v>
      </c>
      <c r="F52" s="20" t="s">
        <v>85</v>
      </c>
      <c r="G52" s="52">
        <v>119633.62181054099</v>
      </c>
      <c r="H52" s="20">
        <v>154.1</v>
      </c>
      <c r="I52" s="20">
        <v>217</v>
      </c>
      <c r="J52" s="20">
        <v>162.4</v>
      </c>
      <c r="K52" s="20">
        <v>164.9</v>
      </c>
      <c r="L52" s="20">
        <v>202.4</v>
      </c>
      <c r="M52" s="20">
        <v>171</v>
      </c>
      <c r="N52" s="20">
        <v>174.9</v>
      </c>
      <c r="O52" s="20">
        <v>164.7</v>
      </c>
      <c r="P52" s="20">
        <v>119.7</v>
      </c>
      <c r="Q52" s="20">
        <v>184.9</v>
      </c>
      <c r="R52" s="20">
        <v>167.1</v>
      </c>
      <c r="S52" s="20">
        <v>182.5</v>
      </c>
      <c r="T52" s="20">
        <v>173.3</v>
      </c>
      <c r="U52" s="20">
        <v>194.1</v>
      </c>
      <c r="V52" s="20">
        <v>175.6</v>
      </c>
      <c r="W52" s="20">
        <v>168.4</v>
      </c>
      <c r="X52" s="20">
        <v>174.6</v>
      </c>
      <c r="Y52" s="20">
        <v>167.5</v>
      </c>
      <c r="Z52" s="20">
        <v>174.6</v>
      </c>
      <c r="AA52" s="20">
        <v>165.2</v>
      </c>
      <c r="AB52" s="20">
        <v>174.8</v>
      </c>
      <c r="AC52" s="20">
        <v>163</v>
      </c>
      <c r="AD52" s="20">
        <v>165.1</v>
      </c>
      <c r="AE52" s="20">
        <v>167.9</v>
      </c>
      <c r="AF52" s="20">
        <v>168.4</v>
      </c>
      <c r="AG52" s="20">
        <v>167.5</v>
      </c>
      <c r="AH52" s="20">
        <v>171.7</v>
      </c>
      <c r="AI52" s="28">
        <v>4291</v>
      </c>
      <c r="AJ52" s="28">
        <v>668.9</v>
      </c>
      <c r="AK52" s="28">
        <v>344</v>
      </c>
      <c r="AL52" s="28">
        <v>332.7</v>
      </c>
      <c r="AM52" s="28">
        <v>2433.0000000000005</v>
      </c>
      <c r="AN52" s="28">
        <v>167.22499999999999</v>
      </c>
      <c r="AO52" s="28">
        <v>166.35</v>
      </c>
      <c r="AP52" s="23">
        <v>173.78571428571431</v>
      </c>
    </row>
    <row r="53" spans="1:42" hidden="1" x14ac:dyDescent="0.3">
      <c r="A53" s="26" t="s">
        <v>0</v>
      </c>
      <c r="B53" s="21">
        <v>2022</v>
      </c>
      <c r="C53" s="21" t="s">
        <v>8</v>
      </c>
      <c r="D53" s="21" t="s">
        <v>129</v>
      </c>
      <c r="E53" s="32">
        <v>44713</v>
      </c>
      <c r="F53" s="21" t="s">
        <v>85</v>
      </c>
      <c r="G53" s="56"/>
      <c r="H53" s="21">
        <v>153.80000000000001</v>
      </c>
      <c r="I53" s="21">
        <v>217.2</v>
      </c>
      <c r="J53" s="21">
        <v>169.6</v>
      </c>
      <c r="K53" s="21">
        <v>165.4</v>
      </c>
      <c r="L53" s="21">
        <v>208.1</v>
      </c>
      <c r="M53" s="21">
        <v>165.8</v>
      </c>
      <c r="N53" s="21">
        <v>167.3</v>
      </c>
      <c r="O53" s="21">
        <v>164.6</v>
      </c>
      <c r="P53" s="21">
        <v>119.1</v>
      </c>
      <c r="Q53" s="21">
        <v>188.9</v>
      </c>
      <c r="R53" s="21">
        <v>174.2</v>
      </c>
      <c r="S53" s="21">
        <v>181.9</v>
      </c>
      <c r="T53" s="21">
        <v>172.4</v>
      </c>
      <c r="U53" s="21">
        <v>192.9</v>
      </c>
      <c r="V53" s="21">
        <v>180.7</v>
      </c>
      <c r="W53" s="21">
        <v>178.7</v>
      </c>
      <c r="X53" s="21">
        <v>180.4</v>
      </c>
      <c r="Y53" s="28">
        <v>139.27096774193564</v>
      </c>
      <c r="Z53" s="21">
        <v>176.7</v>
      </c>
      <c r="AA53" s="21">
        <v>170.3</v>
      </c>
      <c r="AB53" s="21">
        <v>178.2</v>
      </c>
      <c r="AC53" s="21">
        <v>165.5</v>
      </c>
      <c r="AD53" s="21">
        <v>168</v>
      </c>
      <c r="AE53" s="21">
        <v>172.6</v>
      </c>
      <c r="AF53" s="21">
        <v>169.5</v>
      </c>
      <c r="AG53" s="21">
        <v>171</v>
      </c>
      <c r="AH53" s="21">
        <v>173.6</v>
      </c>
      <c r="AI53" s="28">
        <v>4311.6709677419358</v>
      </c>
      <c r="AJ53" s="28">
        <v>681.1</v>
      </c>
      <c r="AK53" s="28">
        <v>359.4</v>
      </c>
      <c r="AL53" s="28">
        <v>309.57096774193565</v>
      </c>
      <c r="AM53" s="28">
        <v>2441.2000000000003</v>
      </c>
      <c r="AN53" s="28">
        <v>170.27500000000001</v>
      </c>
      <c r="AO53" s="28">
        <v>154.78548387096782</v>
      </c>
      <c r="AP53" s="22">
        <v>174.37142857142859</v>
      </c>
    </row>
    <row r="54" spans="1:42" hidden="1" x14ac:dyDescent="0.3">
      <c r="A54" s="27" t="s">
        <v>2</v>
      </c>
      <c r="B54" s="20">
        <v>2022</v>
      </c>
      <c r="C54" s="20" t="s">
        <v>8</v>
      </c>
      <c r="D54" s="21" t="s">
        <v>129</v>
      </c>
      <c r="E54" s="33">
        <v>44713</v>
      </c>
      <c r="F54" s="20" t="s">
        <v>85</v>
      </c>
      <c r="G54" s="55"/>
      <c r="H54" s="20">
        <v>157.5</v>
      </c>
      <c r="I54" s="20">
        <v>223.4</v>
      </c>
      <c r="J54" s="20">
        <v>172.8</v>
      </c>
      <c r="K54" s="20">
        <v>166.4</v>
      </c>
      <c r="L54" s="20">
        <v>188.6</v>
      </c>
      <c r="M54" s="20">
        <v>174.1</v>
      </c>
      <c r="N54" s="20">
        <v>211.5</v>
      </c>
      <c r="O54" s="20">
        <v>163.6</v>
      </c>
      <c r="P54" s="20">
        <v>121.4</v>
      </c>
      <c r="Q54" s="20">
        <v>183.5</v>
      </c>
      <c r="R54" s="20">
        <v>159.1</v>
      </c>
      <c r="S54" s="20">
        <v>186.3</v>
      </c>
      <c r="T54" s="20">
        <v>179.3</v>
      </c>
      <c r="U54" s="20">
        <v>198.3</v>
      </c>
      <c r="V54" s="20">
        <v>171.6</v>
      </c>
      <c r="W54" s="20">
        <v>157.4</v>
      </c>
      <c r="X54" s="20">
        <v>169.4</v>
      </c>
      <c r="Y54" s="20">
        <v>166.8</v>
      </c>
      <c r="Z54" s="20">
        <v>174.9</v>
      </c>
      <c r="AA54" s="20">
        <v>162.1</v>
      </c>
      <c r="AB54" s="20">
        <v>170.9</v>
      </c>
      <c r="AC54" s="20">
        <v>157.19999999999999</v>
      </c>
      <c r="AD54" s="20">
        <v>164.1</v>
      </c>
      <c r="AE54" s="20">
        <v>166.5</v>
      </c>
      <c r="AF54" s="20">
        <v>169.2</v>
      </c>
      <c r="AG54" s="20">
        <v>163.80000000000001</v>
      </c>
      <c r="AH54" s="20">
        <v>171.4</v>
      </c>
      <c r="AI54" s="28">
        <v>4310.3</v>
      </c>
      <c r="AJ54" s="28">
        <v>663.6</v>
      </c>
      <c r="AK54" s="28">
        <v>329</v>
      </c>
      <c r="AL54" s="28">
        <v>328.9</v>
      </c>
      <c r="AM54" s="28">
        <v>2485.8000000000002</v>
      </c>
      <c r="AN54" s="28">
        <v>165.9</v>
      </c>
      <c r="AO54" s="28">
        <v>164.45</v>
      </c>
      <c r="AP54" s="23">
        <v>177.55714285714288</v>
      </c>
    </row>
    <row r="55" spans="1:42" x14ac:dyDescent="0.3">
      <c r="A55" s="26" t="s">
        <v>3</v>
      </c>
      <c r="B55" s="21">
        <v>2022</v>
      </c>
      <c r="C55" s="21" t="s">
        <v>8</v>
      </c>
      <c r="D55" s="21" t="s">
        <v>129</v>
      </c>
      <c r="E55" s="32">
        <v>44713</v>
      </c>
      <c r="F55" s="21" t="s">
        <v>85</v>
      </c>
      <c r="G55" s="53">
        <v>121897.63969956485</v>
      </c>
      <c r="H55" s="21">
        <v>155</v>
      </c>
      <c r="I55" s="21">
        <v>219.4</v>
      </c>
      <c r="J55" s="21">
        <v>170.8</v>
      </c>
      <c r="K55" s="21">
        <v>165.8</v>
      </c>
      <c r="L55" s="21">
        <v>200.9</v>
      </c>
      <c r="M55" s="21">
        <v>169.7</v>
      </c>
      <c r="N55" s="21">
        <v>182.3</v>
      </c>
      <c r="O55" s="21">
        <v>164.3</v>
      </c>
      <c r="P55" s="21">
        <v>119.9</v>
      </c>
      <c r="Q55" s="21">
        <v>187.1</v>
      </c>
      <c r="R55" s="21">
        <v>167.9</v>
      </c>
      <c r="S55" s="21">
        <v>183.9</v>
      </c>
      <c r="T55" s="21">
        <v>174.9</v>
      </c>
      <c r="U55" s="21">
        <v>194.3</v>
      </c>
      <c r="V55" s="21">
        <v>177.1</v>
      </c>
      <c r="W55" s="21">
        <v>169.9</v>
      </c>
      <c r="X55" s="21">
        <v>176</v>
      </c>
      <c r="Y55" s="21">
        <v>166.8</v>
      </c>
      <c r="Z55" s="21">
        <v>176</v>
      </c>
      <c r="AA55" s="21">
        <v>166.4</v>
      </c>
      <c r="AB55" s="21">
        <v>175.4</v>
      </c>
      <c r="AC55" s="21">
        <v>161.1</v>
      </c>
      <c r="AD55" s="21">
        <v>165.8</v>
      </c>
      <c r="AE55" s="21">
        <v>169</v>
      </c>
      <c r="AF55" s="21">
        <v>169.4</v>
      </c>
      <c r="AG55" s="21">
        <v>167.5</v>
      </c>
      <c r="AH55" s="21">
        <v>172.6</v>
      </c>
      <c r="AI55" s="28">
        <v>4320.6000000000013</v>
      </c>
      <c r="AJ55" s="28">
        <v>671.7</v>
      </c>
      <c r="AK55" s="28">
        <v>347</v>
      </c>
      <c r="AL55" s="28">
        <v>333.20000000000005</v>
      </c>
      <c r="AM55" s="28">
        <v>2456.2000000000003</v>
      </c>
      <c r="AN55" s="28">
        <v>167.92500000000001</v>
      </c>
      <c r="AO55" s="28">
        <v>166.60000000000002</v>
      </c>
      <c r="AP55" s="22">
        <v>175.44285714285715</v>
      </c>
    </row>
    <row r="56" spans="1:42" hidden="1" x14ac:dyDescent="0.3">
      <c r="A56" s="27" t="s">
        <v>0</v>
      </c>
      <c r="B56" s="20">
        <v>2022</v>
      </c>
      <c r="C56" s="20" t="s">
        <v>9</v>
      </c>
      <c r="D56" s="21" t="s">
        <v>131</v>
      </c>
      <c r="E56" s="33">
        <v>44743</v>
      </c>
      <c r="F56" s="20" t="s">
        <v>85</v>
      </c>
      <c r="G56" s="57"/>
      <c r="H56" s="20">
        <v>155.19999999999999</v>
      </c>
      <c r="I56" s="20">
        <v>210.8</v>
      </c>
      <c r="J56" s="20">
        <v>174.3</v>
      </c>
      <c r="K56" s="20">
        <v>166.3</v>
      </c>
      <c r="L56" s="20">
        <v>202.2</v>
      </c>
      <c r="M56" s="20">
        <v>169.6</v>
      </c>
      <c r="N56" s="20">
        <v>168.6</v>
      </c>
      <c r="O56" s="20">
        <v>164.4</v>
      </c>
      <c r="P56" s="20">
        <v>119.2</v>
      </c>
      <c r="Q56" s="20">
        <v>191.8</v>
      </c>
      <c r="R56" s="20">
        <v>174.5</v>
      </c>
      <c r="S56" s="20">
        <v>183.1</v>
      </c>
      <c r="T56" s="20">
        <v>172.5</v>
      </c>
      <c r="U56" s="20">
        <v>193.2</v>
      </c>
      <c r="V56" s="20">
        <v>182</v>
      </c>
      <c r="W56" s="20">
        <v>180.3</v>
      </c>
      <c r="X56" s="20">
        <v>181.7</v>
      </c>
      <c r="Y56" s="30">
        <v>139.27096774193564</v>
      </c>
      <c r="Z56" s="20">
        <v>179.6</v>
      </c>
      <c r="AA56" s="20">
        <v>171.3</v>
      </c>
      <c r="AB56" s="20">
        <v>178.8</v>
      </c>
      <c r="AC56" s="20">
        <v>166.3</v>
      </c>
      <c r="AD56" s="20">
        <v>168.6</v>
      </c>
      <c r="AE56" s="20">
        <v>174.7</v>
      </c>
      <c r="AF56" s="20">
        <v>169.7</v>
      </c>
      <c r="AG56" s="20">
        <v>171.8</v>
      </c>
      <c r="AH56" s="20">
        <v>174.3</v>
      </c>
      <c r="AI56" s="28">
        <v>4328.0709677419354</v>
      </c>
      <c r="AJ56" s="28">
        <v>684.80000000000007</v>
      </c>
      <c r="AK56" s="28">
        <v>362.3</v>
      </c>
      <c r="AL56" s="28">
        <v>310.57096774193565</v>
      </c>
      <c r="AM56" s="28">
        <v>2445.6999999999998</v>
      </c>
      <c r="AN56" s="28">
        <v>171.20000000000002</v>
      </c>
      <c r="AO56" s="28">
        <v>155.28548387096782</v>
      </c>
      <c r="AP56" s="23">
        <v>174.69285714285712</v>
      </c>
    </row>
    <row r="57" spans="1:42" hidden="1" x14ac:dyDescent="0.3">
      <c r="A57" s="26" t="s">
        <v>2</v>
      </c>
      <c r="B57" s="21">
        <v>2022</v>
      </c>
      <c r="C57" s="21" t="s">
        <v>9</v>
      </c>
      <c r="D57" s="21" t="s">
        <v>131</v>
      </c>
      <c r="E57" s="32">
        <v>44743</v>
      </c>
      <c r="F57" s="21" t="s">
        <v>85</v>
      </c>
      <c r="G57" s="54"/>
      <c r="H57" s="21">
        <v>159.30000000000001</v>
      </c>
      <c r="I57" s="21">
        <v>217.1</v>
      </c>
      <c r="J57" s="21">
        <v>176.6</v>
      </c>
      <c r="K57" s="21">
        <v>167.1</v>
      </c>
      <c r="L57" s="21">
        <v>184.8</v>
      </c>
      <c r="M57" s="21">
        <v>179.5</v>
      </c>
      <c r="N57" s="21">
        <v>208.5</v>
      </c>
      <c r="O57" s="21">
        <v>164</v>
      </c>
      <c r="P57" s="21">
        <v>121.5</v>
      </c>
      <c r="Q57" s="21">
        <v>186.3</v>
      </c>
      <c r="R57" s="21">
        <v>159.80000000000001</v>
      </c>
      <c r="S57" s="21">
        <v>187.7</v>
      </c>
      <c r="T57" s="21">
        <v>179.4</v>
      </c>
      <c r="U57" s="21">
        <v>198.6</v>
      </c>
      <c r="V57" s="21">
        <v>172.7</v>
      </c>
      <c r="W57" s="21">
        <v>158.69999999999999</v>
      </c>
      <c r="X57" s="21">
        <v>170.6</v>
      </c>
      <c r="Y57" s="21">
        <v>167.8</v>
      </c>
      <c r="Z57" s="21">
        <v>179.5</v>
      </c>
      <c r="AA57" s="21">
        <v>163.1</v>
      </c>
      <c r="AB57" s="21">
        <v>171.7</v>
      </c>
      <c r="AC57" s="21">
        <v>157.4</v>
      </c>
      <c r="AD57" s="21">
        <v>164.6</v>
      </c>
      <c r="AE57" s="21">
        <v>169.1</v>
      </c>
      <c r="AF57" s="21">
        <v>169.8</v>
      </c>
      <c r="AG57" s="21">
        <v>164.7</v>
      </c>
      <c r="AH57" s="21">
        <v>172.3</v>
      </c>
      <c r="AI57" s="28">
        <v>4329.3</v>
      </c>
      <c r="AJ57" s="28">
        <v>668.2</v>
      </c>
      <c r="AK57" s="28">
        <v>331.4</v>
      </c>
      <c r="AL57" s="28">
        <v>330.9</v>
      </c>
      <c r="AM57" s="28">
        <v>2490.1999999999998</v>
      </c>
      <c r="AN57" s="28">
        <v>167.05</v>
      </c>
      <c r="AO57" s="28">
        <v>165.45</v>
      </c>
      <c r="AP57" s="22">
        <v>177.87142857142857</v>
      </c>
    </row>
    <row r="58" spans="1:42" x14ac:dyDescent="0.3">
      <c r="A58" s="27" t="s">
        <v>3</v>
      </c>
      <c r="B58" s="20">
        <v>2022</v>
      </c>
      <c r="C58" s="20" t="s">
        <v>9</v>
      </c>
      <c r="D58" s="21" t="s">
        <v>131</v>
      </c>
      <c r="E58" s="33">
        <v>44743</v>
      </c>
      <c r="F58" s="20" t="s">
        <v>85</v>
      </c>
      <c r="G58" s="52">
        <v>128755.46490262874</v>
      </c>
      <c r="H58" s="20">
        <v>156.5</v>
      </c>
      <c r="I58" s="20">
        <v>213</v>
      </c>
      <c r="J58" s="20">
        <v>175.2</v>
      </c>
      <c r="K58" s="20">
        <v>166.6</v>
      </c>
      <c r="L58" s="20">
        <v>195.8</v>
      </c>
      <c r="M58" s="20">
        <v>174.2</v>
      </c>
      <c r="N58" s="20">
        <v>182.1</v>
      </c>
      <c r="O58" s="20">
        <v>164.3</v>
      </c>
      <c r="P58" s="20">
        <v>120</v>
      </c>
      <c r="Q58" s="20">
        <v>190</v>
      </c>
      <c r="R58" s="20">
        <v>168.4</v>
      </c>
      <c r="S58" s="20">
        <v>185.2</v>
      </c>
      <c r="T58" s="20">
        <v>175</v>
      </c>
      <c r="U58" s="20">
        <v>194.6</v>
      </c>
      <c r="V58" s="20">
        <v>178.3</v>
      </c>
      <c r="W58" s="20">
        <v>171.3</v>
      </c>
      <c r="X58" s="20">
        <v>177.3</v>
      </c>
      <c r="Y58" s="20">
        <v>167.8</v>
      </c>
      <c r="Z58" s="20">
        <v>179.6</v>
      </c>
      <c r="AA58" s="20">
        <v>167.4</v>
      </c>
      <c r="AB58" s="20">
        <v>176.1</v>
      </c>
      <c r="AC58" s="20">
        <v>161.6</v>
      </c>
      <c r="AD58" s="20">
        <v>166.3</v>
      </c>
      <c r="AE58" s="20">
        <v>171.4</v>
      </c>
      <c r="AF58" s="20">
        <v>169.7</v>
      </c>
      <c r="AG58" s="20">
        <v>168.4</v>
      </c>
      <c r="AH58" s="20">
        <v>173.4</v>
      </c>
      <c r="AI58" s="28">
        <v>4338.8</v>
      </c>
      <c r="AJ58" s="28">
        <v>675.8</v>
      </c>
      <c r="AK58" s="28">
        <v>349.6</v>
      </c>
      <c r="AL58" s="28">
        <v>335.20000000000005</v>
      </c>
      <c r="AM58" s="28">
        <v>2460.9</v>
      </c>
      <c r="AN58" s="28">
        <v>168.95</v>
      </c>
      <c r="AO58" s="28">
        <v>167.60000000000002</v>
      </c>
      <c r="AP58" s="23">
        <v>175.77857142857144</v>
      </c>
    </row>
    <row r="59" spans="1:42" hidden="1" x14ac:dyDescent="0.3">
      <c r="A59" s="26" t="s">
        <v>0</v>
      </c>
      <c r="B59" s="21">
        <v>2022</v>
      </c>
      <c r="C59" s="21" t="s">
        <v>10</v>
      </c>
      <c r="D59" s="21" t="s">
        <v>133</v>
      </c>
      <c r="E59" s="32">
        <v>44774</v>
      </c>
      <c r="F59" s="21" t="s">
        <v>85</v>
      </c>
      <c r="G59" s="56"/>
      <c r="H59" s="21">
        <v>159.5</v>
      </c>
      <c r="I59" s="21">
        <v>204.1</v>
      </c>
      <c r="J59" s="21">
        <v>168.3</v>
      </c>
      <c r="K59" s="21">
        <v>167.9</v>
      </c>
      <c r="L59" s="21">
        <v>198.1</v>
      </c>
      <c r="M59" s="21">
        <v>169.2</v>
      </c>
      <c r="N59" s="21">
        <v>173.1</v>
      </c>
      <c r="O59" s="21">
        <v>167.1</v>
      </c>
      <c r="P59" s="21">
        <v>120.2</v>
      </c>
      <c r="Q59" s="21">
        <v>195.6</v>
      </c>
      <c r="R59" s="21">
        <v>174.8</v>
      </c>
      <c r="S59" s="21">
        <v>184</v>
      </c>
      <c r="T59" s="21">
        <v>173.9</v>
      </c>
      <c r="U59" s="21">
        <v>193.7</v>
      </c>
      <c r="V59" s="21">
        <v>183.2</v>
      </c>
      <c r="W59" s="21">
        <v>181.7</v>
      </c>
      <c r="X59" s="21">
        <v>183</v>
      </c>
      <c r="Y59" s="28">
        <v>139.27096774193564</v>
      </c>
      <c r="Z59" s="21">
        <v>179.1</v>
      </c>
      <c r="AA59" s="21">
        <v>172.3</v>
      </c>
      <c r="AB59" s="21">
        <v>179.4</v>
      </c>
      <c r="AC59" s="21">
        <v>166.6</v>
      </c>
      <c r="AD59" s="21">
        <v>169.3</v>
      </c>
      <c r="AE59" s="21">
        <v>175.7</v>
      </c>
      <c r="AF59" s="21">
        <v>171.1</v>
      </c>
      <c r="AG59" s="21">
        <v>172.6</v>
      </c>
      <c r="AH59" s="21">
        <v>175.3</v>
      </c>
      <c r="AI59" s="28">
        <v>4339.7709677419352</v>
      </c>
      <c r="AJ59" s="28">
        <v>688.7</v>
      </c>
      <c r="AK59" s="28">
        <v>364.9</v>
      </c>
      <c r="AL59" s="28">
        <v>311.57096774193565</v>
      </c>
      <c r="AM59" s="28">
        <v>2449.4999999999995</v>
      </c>
      <c r="AN59" s="28">
        <v>172.17500000000001</v>
      </c>
      <c r="AO59" s="28">
        <v>155.78548387096782</v>
      </c>
      <c r="AP59" s="22">
        <v>174.96428571428569</v>
      </c>
    </row>
    <row r="60" spans="1:42" hidden="1" x14ac:dyDescent="0.3">
      <c r="A60" s="27" t="s">
        <v>2</v>
      </c>
      <c r="B60" s="20">
        <v>2022</v>
      </c>
      <c r="C60" s="20" t="s">
        <v>10</v>
      </c>
      <c r="D60" s="21" t="s">
        <v>133</v>
      </c>
      <c r="E60" s="33">
        <v>44774</v>
      </c>
      <c r="F60" s="20" t="s">
        <v>85</v>
      </c>
      <c r="G60" s="55"/>
      <c r="H60" s="20">
        <v>162.1</v>
      </c>
      <c r="I60" s="20">
        <v>210.9</v>
      </c>
      <c r="J60" s="20">
        <v>170.6</v>
      </c>
      <c r="K60" s="20">
        <v>168.4</v>
      </c>
      <c r="L60" s="20">
        <v>182.5</v>
      </c>
      <c r="M60" s="20">
        <v>177.1</v>
      </c>
      <c r="N60" s="20">
        <v>213.1</v>
      </c>
      <c r="O60" s="20">
        <v>167.3</v>
      </c>
      <c r="P60" s="20">
        <v>122.2</v>
      </c>
      <c r="Q60" s="20">
        <v>189.7</v>
      </c>
      <c r="R60" s="20">
        <v>160.5</v>
      </c>
      <c r="S60" s="20">
        <v>188.9</v>
      </c>
      <c r="T60" s="20">
        <v>180.4</v>
      </c>
      <c r="U60" s="20">
        <v>198.7</v>
      </c>
      <c r="V60" s="20">
        <v>173.7</v>
      </c>
      <c r="W60" s="20">
        <v>160</v>
      </c>
      <c r="X60" s="20">
        <v>171.6</v>
      </c>
      <c r="Y60" s="20">
        <v>169</v>
      </c>
      <c r="Z60" s="20">
        <v>178.4</v>
      </c>
      <c r="AA60" s="20">
        <v>164.2</v>
      </c>
      <c r="AB60" s="20">
        <v>172.6</v>
      </c>
      <c r="AC60" s="20">
        <v>157.69999999999999</v>
      </c>
      <c r="AD60" s="20">
        <v>165.1</v>
      </c>
      <c r="AE60" s="20">
        <v>169.9</v>
      </c>
      <c r="AF60" s="20">
        <v>171.4</v>
      </c>
      <c r="AG60" s="20">
        <v>165.4</v>
      </c>
      <c r="AH60" s="20">
        <v>173.1</v>
      </c>
      <c r="AI60" s="28">
        <v>4339.8</v>
      </c>
      <c r="AJ60" s="28">
        <v>671.80000000000007</v>
      </c>
      <c r="AK60" s="28">
        <v>333.7</v>
      </c>
      <c r="AL60" s="28">
        <v>333.2</v>
      </c>
      <c r="AM60" s="28">
        <v>2492.3999999999996</v>
      </c>
      <c r="AN60" s="28">
        <v>167.95000000000002</v>
      </c>
      <c r="AO60" s="28">
        <v>166.6</v>
      </c>
      <c r="AP60" s="23">
        <v>178.02857142857141</v>
      </c>
    </row>
    <row r="61" spans="1:42" x14ac:dyDescent="0.3">
      <c r="A61" s="26" t="s">
        <v>3</v>
      </c>
      <c r="B61" s="21">
        <v>2022</v>
      </c>
      <c r="C61" s="21" t="s">
        <v>10</v>
      </c>
      <c r="D61" s="21" t="s">
        <v>133</v>
      </c>
      <c r="E61" s="32">
        <v>44774</v>
      </c>
      <c r="F61" s="21" t="s">
        <v>85</v>
      </c>
      <c r="G61" s="53">
        <v>104567.31614182114</v>
      </c>
      <c r="H61" s="21">
        <v>160.30000000000001</v>
      </c>
      <c r="I61" s="21">
        <v>206.5</v>
      </c>
      <c r="J61" s="21">
        <v>169.2</v>
      </c>
      <c r="K61" s="21">
        <v>168.1</v>
      </c>
      <c r="L61" s="21">
        <v>192.4</v>
      </c>
      <c r="M61" s="21">
        <v>172.9</v>
      </c>
      <c r="N61" s="21">
        <v>186.7</v>
      </c>
      <c r="O61" s="21">
        <v>167.2</v>
      </c>
      <c r="P61" s="21">
        <v>120.9</v>
      </c>
      <c r="Q61" s="21">
        <v>193.6</v>
      </c>
      <c r="R61" s="21">
        <v>168.8</v>
      </c>
      <c r="S61" s="21">
        <v>186.3</v>
      </c>
      <c r="T61" s="21">
        <v>176.3</v>
      </c>
      <c r="U61" s="21">
        <v>195</v>
      </c>
      <c r="V61" s="21">
        <v>179.5</v>
      </c>
      <c r="W61" s="21">
        <v>172.7</v>
      </c>
      <c r="X61" s="21">
        <v>178.5</v>
      </c>
      <c r="Y61" s="21">
        <v>169</v>
      </c>
      <c r="Z61" s="21">
        <v>178.8</v>
      </c>
      <c r="AA61" s="21">
        <v>168.5</v>
      </c>
      <c r="AB61" s="21">
        <v>176.8</v>
      </c>
      <c r="AC61" s="21">
        <v>161.9</v>
      </c>
      <c r="AD61" s="21">
        <v>166.9</v>
      </c>
      <c r="AE61" s="21">
        <v>172.3</v>
      </c>
      <c r="AF61" s="21">
        <v>171.2</v>
      </c>
      <c r="AG61" s="21">
        <v>169.1</v>
      </c>
      <c r="AH61" s="21">
        <v>174.3</v>
      </c>
      <c r="AI61" s="28">
        <v>4350.8999999999996</v>
      </c>
      <c r="AJ61" s="28">
        <v>679.49999999999989</v>
      </c>
      <c r="AK61" s="28">
        <v>352.2</v>
      </c>
      <c r="AL61" s="28">
        <v>337.5</v>
      </c>
      <c r="AM61" s="28">
        <v>2464.2000000000003</v>
      </c>
      <c r="AN61" s="28">
        <v>169.87499999999997</v>
      </c>
      <c r="AO61" s="28">
        <v>168.75</v>
      </c>
      <c r="AP61" s="22">
        <v>176.01428571428573</v>
      </c>
    </row>
    <row r="62" spans="1:42" hidden="1" x14ac:dyDescent="0.3">
      <c r="A62" s="27" t="s">
        <v>0</v>
      </c>
      <c r="B62" s="20">
        <v>2022</v>
      </c>
      <c r="C62" s="20" t="s">
        <v>11</v>
      </c>
      <c r="D62" s="21" t="s">
        <v>135</v>
      </c>
      <c r="E62" s="33">
        <v>44805</v>
      </c>
      <c r="F62" s="20" t="s">
        <v>85</v>
      </c>
      <c r="G62" s="57"/>
      <c r="H62" s="20">
        <v>162.9</v>
      </c>
      <c r="I62" s="20">
        <v>206.7</v>
      </c>
      <c r="J62" s="20">
        <v>169</v>
      </c>
      <c r="K62" s="20">
        <v>169.5</v>
      </c>
      <c r="L62" s="20">
        <v>194.1</v>
      </c>
      <c r="M62" s="20">
        <v>164.1</v>
      </c>
      <c r="N62" s="20">
        <v>176.9</v>
      </c>
      <c r="O62" s="20">
        <v>169</v>
      </c>
      <c r="P62" s="20">
        <v>120.8</v>
      </c>
      <c r="Q62" s="20">
        <v>199.1</v>
      </c>
      <c r="R62" s="20">
        <v>175.4</v>
      </c>
      <c r="S62" s="20">
        <v>184.8</v>
      </c>
      <c r="T62" s="20">
        <v>175.5</v>
      </c>
      <c r="U62" s="20">
        <v>194.5</v>
      </c>
      <c r="V62" s="20">
        <v>184.7</v>
      </c>
      <c r="W62" s="20">
        <v>183.3</v>
      </c>
      <c r="X62" s="20">
        <v>184.5</v>
      </c>
      <c r="Y62" s="30">
        <v>139.27096774193564</v>
      </c>
      <c r="Z62" s="20">
        <v>179.7</v>
      </c>
      <c r="AA62" s="20">
        <v>173.6</v>
      </c>
      <c r="AB62" s="20">
        <v>180.2</v>
      </c>
      <c r="AC62" s="20">
        <v>166.9</v>
      </c>
      <c r="AD62" s="20">
        <v>170</v>
      </c>
      <c r="AE62" s="20">
        <v>176.2</v>
      </c>
      <c r="AF62" s="20">
        <v>170.8</v>
      </c>
      <c r="AG62" s="20">
        <v>173.1</v>
      </c>
      <c r="AH62" s="20">
        <v>176.4</v>
      </c>
      <c r="AI62" s="28">
        <v>4360.0709677419363</v>
      </c>
      <c r="AJ62" s="28">
        <v>690.09999999999991</v>
      </c>
      <c r="AK62" s="28">
        <v>368</v>
      </c>
      <c r="AL62" s="28">
        <v>312.8709677419356</v>
      </c>
      <c r="AM62" s="28">
        <v>2462.3000000000002</v>
      </c>
      <c r="AN62" s="28">
        <v>172.52499999999998</v>
      </c>
      <c r="AO62" s="28">
        <v>156.4354838709678</v>
      </c>
      <c r="AP62" s="23">
        <v>175.87857142857143</v>
      </c>
    </row>
    <row r="63" spans="1:42" hidden="1" x14ac:dyDescent="0.3">
      <c r="A63" s="26" t="s">
        <v>2</v>
      </c>
      <c r="B63" s="21">
        <v>2022</v>
      </c>
      <c r="C63" s="21" t="s">
        <v>11</v>
      </c>
      <c r="D63" s="21" t="s">
        <v>135</v>
      </c>
      <c r="E63" s="32">
        <v>44805</v>
      </c>
      <c r="F63" s="21" t="s">
        <v>85</v>
      </c>
      <c r="G63" s="54"/>
      <c r="H63" s="21">
        <v>164.9</v>
      </c>
      <c r="I63" s="21">
        <v>213.7</v>
      </c>
      <c r="J63" s="21">
        <v>170.9</v>
      </c>
      <c r="K63" s="21">
        <v>170.1</v>
      </c>
      <c r="L63" s="21">
        <v>179.3</v>
      </c>
      <c r="M63" s="21">
        <v>167.5</v>
      </c>
      <c r="N63" s="21">
        <v>220.8</v>
      </c>
      <c r="O63" s="21">
        <v>169.2</v>
      </c>
      <c r="P63" s="21">
        <v>123.1</v>
      </c>
      <c r="Q63" s="21">
        <v>193.6</v>
      </c>
      <c r="R63" s="21">
        <v>161.1</v>
      </c>
      <c r="S63" s="21">
        <v>190.4</v>
      </c>
      <c r="T63" s="21">
        <v>181.8</v>
      </c>
      <c r="U63" s="21">
        <v>199.7</v>
      </c>
      <c r="V63" s="21">
        <v>175</v>
      </c>
      <c r="W63" s="21">
        <v>161.69999999999999</v>
      </c>
      <c r="X63" s="21">
        <v>173</v>
      </c>
      <c r="Y63" s="21">
        <v>169.5</v>
      </c>
      <c r="Z63" s="21">
        <v>179.2</v>
      </c>
      <c r="AA63" s="21">
        <v>165</v>
      </c>
      <c r="AB63" s="21">
        <v>173.8</v>
      </c>
      <c r="AC63" s="21">
        <v>158.19999999999999</v>
      </c>
      <c r="AD63" s="21">
        <v>165.8</v>
      </c>
      <c r="AE63" s="21">
        <v>170.9</v>
      </c>
      <c r="AF63" s="21">
        <v>171.1</v>
      </c>
      <c r="AG63" s="21">
        <v>166.1</v>
      </c>
      <c r="AH63" s="21">
        <v>174.1</v>
      </c>
      <c r="AI63" s="28">
        <v>4362.3999999999996</v>
      </c>
      <c r="AJ63" s="28">
        <v>673.90000000000009</v>
      </c>
      <c r="AK63" s="28">
        <v>336.7</v>
      </c>
      <c r="AL63" s="28">
        <v>334.5</v>
      </c>
      <c r="AM63" s="28">
        <v>2506.1</v>
      </c>
      <c r="AN63" s="28">
        <v>168.47500000000002</v>
      </c>
      <c r="AO63" s="28">
        <v>167.25</v>
      </c>
      <c r="AP63" s="22">
        <v>179.00714285714284</v>
      </c>
    </row>
    <row r="64" spans="1:42" x14ac:dyDescent="0.3">
      <c r="A64" s="27" t="s">
        <v>3</v>
      </c>
      <c r="B64" s="20">
        <v>2022</v>
      </c>
      <c r="C64" s="20" t="s">
        <v>11</v>
      </c>
      <c r="D64" s="21" t="s">
        <v>135</v>
      </c>
      <c r="E64" s="33">
        <v>44805</v>
      </c>
      <c r="F64" s="20" t="s">
        <v>85</v>
      </c>
      <c r="G64" s="52">
        <v>95157.741525290738</v>
      </c>
      <c r="H64" s="20">
        <v>163.5</v>
      </c>
      <c r="I64" s="20">
        <v>209.2</v>
      </c>
      <c r="J64" s="20">
        <v>169.7</v>
      </c>
      <c r="K64" s="20">
        <v>169.7</v>
      </c>
      <c r="L64" s="20">
        <v>188.7</v>
      </c>
      <c r="M64" s="20">
        <v>165.7</v>
      </c>
      <c r="N64" s="20">
        <v>191.8</v>
      </c>
      <c r="O64" s="20">
        <v>169.1</v>
      </c>
      <c r="P64" s="20">
        <v>121.6</v>
      </c>
      <c r="Q64" s="20">
        <v>197.3</v>
      </c>
      <c r="R64" s="20">
        <v>169.4</v>
      </c>
      <c r="S64" s="20">
        <v>187.4</v>
      </c>
      <c r="T64" s="20">
        <v>177.8</v>
      </c>
      <c r="U64" s="20">
        <v>195.9</v>
      </c>
      <c r="V64" s="20">
        <v>180.9</v>
      </c>
      <c r="W64" s="20">
        <v>174.3</v>
      </c>
      <c r="X64" s="20">
        <v>179.9</v>
      </c>
      <c r="Y64" s="20">
        <v>169.5</v>
      </c>
      <c r="Z64" s="20">
        <v>179.5</v>
      </c>
      <c r="AA64" s="20">
        <v>169.5</v>
      </c>
      <c r="AB64" s="20">
        <v>177.8</v>
      </c>
      <c r="AC64" s="20">
        <v>162.30000000000001</v>
      </c>
      <c r="AD64" s="20">
        <v>167.6</v>
      </c>
      <c r="AE64" s="20">
        <v>173.1</v>
      </c>
      <c r="AF64" s="20">
        <v>170.9</v>
      </c>
      <c r="AG64" s="20">
        <v>169.7</v>
      </c>
      <c r="AH64" s="20">
        <v>175.3</v>
      </c>
      <c r="AI64" s="28">
        <v>4371.8999999999996</v>
      </c>
      <c r="AJ64" s="28">
        <v>681.30000000000007</v>
      </c>
      <c r="AK64" s="28">
        <v>355.20000000000005</v>
      </c>
      <c r="AL64" s="28">
        <v>339</v>
      </c>
      <c r="AM64" s="28">
        <v>2476.8000000000002</v>
      </c>
      <c r="AN64" s="28">
        <v>170.32500000000002</v>
      </c>
      <c r="AO64" s="28">
        <v>169.5</v>
      </c>
      <c r="AP64" s="23">
        <v>176.91428571428574</v>
      </c>
    </row>
    <row r="65" spans="1:42" hidden="1" x14ac:dyDescent="0.3">
      <c r="A65" s="26" t="s">
        <v>0</v>
      </c>
      <c r="B65" s="21">
        <v>2022</v>
      </c>
      <c r="C65" s="21" t="s">
        <v>12</v>
      </c>
      <c r="D65" s="21" t="s">
        <v>137</v>
      </c>
      <c r="E65" s="32">
        <v>44835</v>
      </c>
      <c r="F65" s="21" t="s">
        <v>85</v>
      </c>
      <c r="G65" s="56"/>
      <c r="H65" s="21">
        <v>164.7</v>
      </c>
      <c r="I65" s="21">
        <v>208.8</v>
      </c>
      <c r="J65" s="21">
        <v>170.3</v>
      </c>
      <c r="K65" s="21">
        <v>170.9</v>
      </c>
      <c r="L65" s="21">
        <v>191.6</v>
      </c>
      <c r="M65" s="21">
        <v>162.19999999999999</v>
      </c>
      <c r="N65" s="21">
        <v>184.8</v>
      </c>
      <c r="O65" s="21">
        <v>169.7</v>
      </c>
      <c r="P65" s="21">
        <v>121.1</v>
      </c>
      <c r="Q65" s="21">
        <v>201.6</v>
      </c>
      <c r="R65" s="21">
        <v>175.8</v>
      </c>
      <c r="S65" s="21">
        <v>185.6</v>
      </c>
      <c r="T65" s="21">
        <v>177.4</v>
      </c>
      <c r="U65" s="21">
        <v>194.9</v>
      </c>
      <c r="V65" s="21">
        <v>186.1</v>
      </c>
      <c r="W65" s="21">
        <v>184.4</v>
      </c>
      <c r="X65" s="21">
        <v>185.9</v>
      </c>
      <c r="Y65" s="28">
        <v>139.27096774193564</v>
      </c>
      <c r="Z65" s="21">
        <v>180.8</v>
      </c>
      <c r="AA65" s="21">
        <v>174.4</v>
      </c>
      <c r="AB65" s="21">
        <v>181.2</v>
      </c>
      <c r="AC65" s="21">
        <v>167.4</v>
      </c>
      <c r="AD65" s="21">
        <v>170.6</v>
      </c>
      <c r="AE65" s="21">
        <v>176.5</v>
      </c>
      <c r="AF65" s="21">
        <v>172</v>
      </c>
      <c r="AG65" s="21">
        <v>173.9</v>
      </c>
      <c r="AH65" s="21">
        <v>177.9</v>
      </c>
      <c r="AI65" s="28">
        <v>4385.9709677419351</v>
      </c>
      <c r="AJ65" s="28">
        <v>693</v>
      </c>
      <c r="AK65" s="28">
        <v>370.5</v>
      </c>
      <c r="AL65" s="28">
        <v>313.67096774193567</v>
      </c>
      <c r="AM65" s="28">
        <v>2479.4</v>
      </c>
      <c r="AN65" s="28">
        <v>173.25</v>
      </c>
      <c r="AO65" s="28">
        <v>156.83548387096783</v>
      </c>
      <c r="AP65" s="22">
        <v>177.1</v>
      </c>
    </row>
    <row r="66" spans="1:42" hidden="1" x14ac:dyDescent="0.3">
      <c r="A66" s="27" t="s">
        <v>2</v>
      </c>
      <c r="B66" s="20">
        <v>2022</v>
      </c>
      <c r="C66" s="20" t="s">
        <v>12</v>
      </c>
      <c r="D66" s="21" t="s">
        <v>137</v>
      </c>
      <c r="E66" s="33">
        <v>44835</v>
      </c>
      <c r="F66" s="20" t="s">
        <v>85</v>
      </c>
      <c r="G66" s="55"/>
      <c r="H66" s="20">
        <v>166.4</v>
      </c>
      <c r="I66" s="20">
        <v>214.9</v>
      </c>
      <c r="J66" s="20">
        <v>171.9</v>
      </c>
      <c r="K66" s="20">
        <v>171</v>
      </c>
      <c r="L66" s="20">
        <v>177.7</v>
      </c>
      <c r="M66" s="20">
        <v>165.7</v>
      </c>
      <c r="N66" s="20">
        <v>228.6</v>
      </c>
      <c r="O66" s="20">
        <v>169.9</v>
      </c>
      <c r="P66" s="20">
        <v>123.4</v>
      </c>
      <c r="Q66" s="20">
        <v>196.4</v>
      </c>
      <c r="R66" s="20">
        <v>161.6</v>
      </c>
      <c r="S66" s="20">
        <v>191.5</v>
      </c>
      <c r="T66" s="20">
        <v>183.3</v>
      </c>
      <c r="U66" s="20">
        <v>200.1</v>
      </c>
      <c r="V66" s="20">
        <v>175.5</v>
      </c>
      <c r="W66" s="20">
        <v>162.6</v>
      </c>
      <c r="X66" s="20">
        <v>173.6</v>
      </c>
      <c r="Y66" s="20">
        <v>171.2</v>
      </c>
      <c r="Z66" s="20">
        <v>180</v>
      </c>
      <c r="AA66" s="20">
        <v>166</v>
      </c>
      <c r="AB66" s="20">
        <v>174.7</v>
      </c>
      <c r="AC66" s="20">
        <v>158.80000000000001</v>
      </c>
      <c r="AD66" s="20">
        <v>166.3</v>
      </c>
      <c r="AE66" s="20">
        <v>171.2</v>
      </c>
      <c r="AF66" s="20">
        <v>172.3</v>
      </c>
      <c r="AG66" s="20">
        <v>166.8</v>
      </c>
      <c r="AH66" s="20">
        <v>175.3</v>
      </c>
      <c r="AI66" s="28">
        <v>4387.8</v>
      </c>
      <c r="AJ66" s="28">
        <v>676.6</v>
      </c>
      <c r="AK66" s="28">
        <v>338.1</v>
      </c>
      <c r="AL66" s="28">
        <v>337.2</v>
      </c>
      <c r="AM66" s="28">
        <v>2522.4</v>
      </c>
      <c r="AN66" s="28">
        <v>169.15</v>
      </c>
      <c r="AO66" s="28">
        <v>168.6</v>
      </c>
      <c r="AP66" s="23">
        <v>180.17142857142858</v>
      </c>
    </row>
    <row r="67" spans="1:42" x14ac:dyDescent="0.3">
      <c r="A67" s="26" t="s">
        <v>3</v>
      </c>
      <c r="B67" s="21">
        <v>2022</v>
      </c>
      <c r="C67" s="21" t="s">
        <v>12</v>
      </c>
      <c r="D67" s="21" t="s">
        <v>137</v>
      </c>
      <c r="E67" s="32">
        <v>44835</v>
      </c>
      <c r="F67" s="21" t="s">
        <v>85</v>
      </c>
      <c r="G67" s="53">
        <v>99194.385511237808</v>
      </c>
      <c r="H67" s="21">
        <v>165.2</v>
      </c>
      <c r="I67" s="21">
        <v>210.9</v>
      </c>
      <c r="J67" s="21">
        <v>170.9</v>
      </c>
      <c r="K67" s="21">
        <v>170.9</v>
      </c>
      <c r="L67" s="21">
        <v>186.5</v>
      </c>
      <c r="M67" s="21">
        <v>163.80000000000001</v>
      </c>
      <c r="N67" s="21">
        <v>199.7</v>
      </c>
      <c r="O67" s="21">
        <v>169.8</v>
      </c>
      <c r="P67" s="21">
        <v>121.9</v>
      </c>
      <c r="Q67" s="21">
        <v>199.9</v>
      </c>
      <c r="R67" s="21">
        <v>169.9</v>
      </c>
      <c r="S67" s="21">
        <v>188.3</v>
      </c>
      <c r="T67" s="21">
        <v>179.6</v>
      </c>
      <c r="U67" s="21">
        <v>196.3</v>
      </c>
      <c r="V67" s="21">
        <v>181.9</v>
      </c>
      <c r="W67" s="21">
        <v>175.3</v>
      </c>
      <c r="X67" s="21">
        <v>181</v>
      </c>
      <c r="Y67" s="21">
        <v>171.2</v>
      </c>
      <c r="Z67" s="21">
        <v>180.5</v>
      </c>
      <c r="AA67" s="21">
        <v>170.4</v>
      </c>
      <c r="AB67" s="21">
        <v>178.7</v>
      </c>
      <c r="AC67" s="21">
        <v>162.9</v>
      </c>
      <c r="AD67" s="21">
        <v>168.2</v>
      </c>
      <c r="AE67" s="21">
        <v>173.4</v>
      </c>
      <c r="AF67" s="21">
        <v>172.1</v>
      </c>
      <c r="AG67" s="21">
        <v>170.5</v>
      </c>
      <c r="AH67" s="21">
        <v>176.7</v>
      </c>
      <c r="AI67" s="28">
        <v>4398.7000000000007</v>
      </c>
      <c r="AJ67" s="28">
        <v>684.2</v>
      </c>
      <c r="AK67" s="28">
        <v>357.20000000000005</v>
      </c>
      <c r="AL67" s="28">
        <v>341.6</v>
      </c>
      <c r="AM67" s="28">
        <v>2493.6000000000004</v>
      </c>
      <c r="AN67" s="28">
        <v>171.05</v>
      </c>
      <c r="AO67" s="28">
        <v>170.8</v>
      </c>
      <c r="AP67" s="22">
        <v>178.11428571428573</v>
      </c>
    </row>
    <row r="68" spans="1:42" hidden="1" x14ac:dyDescent="0.3">
      <c r="A68" s="27" t="s">
        <v>0</v>
      </c>
      <c r="B68" s="20">
        <v>2022</v>
      </c>
      <c r="C68" s="20" t="s">
        <v>14</v>
      </c>
      <c r="D68" s="21" t="s">
        <v>139</v>
      </c>
      <c r="E68" s="33">
        <v>44866</v>
      </c>
      <c r="F68" s="20" t="s">
        <v>85</v>
      </c>
      <c r="G68" s="57"/>
      <c r="H68" s="20">
        <v>166.9</v>
      </c>
      <c r="I68" s="20">
        <v>207.2</v>
      </c>
      <c r="J68" s="20">
        <v>180.2</v>
      </c>
      <c r="K68" s="20">
        <v>172.3</v>
      </c>
      <c r="L68" s="20">
        <v>194</v>
      </c>
      <c r="M68" s="20">
        <v>159.1</v>
      </c>
      <c r="N68" s="20">
        <v>171.6</v>
      </c>
      <c r="O68" s="20">
        <v>170.2</v>
      </c>
      <c r="P68" s="20">
        <v>121.5</v>
      </c>
      <c r="Q68" s="20">
        <v>204.8</v>
      </c>
      <c r="R68" s="20">
        <v>176.4</v>
      </c>
      <c r="S68" s="20">
        <v>186.9</v>
      </c>
      <c r="T68" s="20">
        <v>176.6</v>
      </c>
      <c r="U68" s="20">
        <v>195.5</v>
      </c>
      <c r="V68" s="20">
        <v>187.2</v>
      </c>
      <c r="W68" s="20">
        <v>185.2</v>
      </c>
      <c r="X68" s="20">
        <v>186.9</v>
      </c>
      <c r="Y68" s="30">
        <v>139.27096774193564</v>
      </c>
      <c r="Z68" s="20">
        <v>181.9</v>
      </c>
      <c r="AA68" s="20">
        <v>175.5</v>
      </c>
      <c r="AB68" s="20">
        <v>182.3</v>
      </c>
      <c r="AC68" s="20">
        <v>167.5</v>
      </c>
      <c r="AD68" s="20">
        <v>170.8</v>
      </c>
      <c r="AE68" s="20">
        <v>176.9</v>
      </c>
      <c r="AF68" s="20">
        <v>173.4</v>
      </c>
      <c r="AG68" s="20">
        <v>174.6</v>
      </c>
      <c r="AH68" s="20">
        <v>177.8</v>
      </c>
      <c r="AI68" s="28">
        <v>4397.7709677419361</v>
      </c>
      <c r="AJ68" s="28">
        <v>695.7</v>
      </c>
      <c r="AK68" s="28">
        <v>372.4</v>
      </c>
      <c r="AL68" s="28">
        <v>314.77096774193564</v>
      </c>
      <c r="AM68" s="28">
        <v>2483.1999999999998</v>
      </c>
      <c r="AN68" s="28">
        <v>173.92500000000001</v>
      </c>
      <c r="AO68" s="28">
        <v>157.38548387096782</v>
      </c>
      <c r="AP68" s="23">
        <v>177.37142857142857</v>
      </c>
    </row>
    <row r="69" spans="1:42" hidden="1" x14ac:dyDescent="0.3">
      <c r="A69" s="26" t="s">
        <v>2</v>
      </c>
      <c r="B69" s="21">
        <v>2022</v>
      </c>
      <c r="C69" s="21" t="s">
        <v>14</v>
      </c>
      <c r="D69" s="21" t="s">
        <v>139</v>
      </c>
      <c r="E69" s="32">
        <v>44866</v>
      </c>
      <c r="F69" s="21" t="s">
        <v>85</v>
      </c>
      <c r="G69" s="54"/>
      <c r="H69" s="21">
        <v>168.4</v>
      </c>
      <c r="I69" s="21">
        <v>213.4</v>
      </c>
      <c r="J69" s="21">
        <v>183.2</v>
      </c>
      <c r="K69" s="21">
        <v>172.3</v>
      </c>
      <c r="L69" s="21">
        <v>180</v>
      </c>
      <c r="M69" s="21">
        <v>162.6</v>
      </c>
      <c r="N69" s="21">
        <v>205.5</v>
      </c>
      <c r="O69" s="21">
        <v>171</v>
      </c>
      <c r="P69" s="21">
        <v>123.4</v>
      </c>
      <c r="Q69" s="21">
        <v>198.8</v>
      </c>
      <c r="R69" s="21">
        <v>162.1</v>
      </c>
      <c r="S69" s="21">
        <v>192.4</v>
      </c>
      <c r="T69" s="21">
        <v>181.3</v>
      </c>
      <c r="U69" s="21">
        <v>200.6</v>
      </c>
      <c r="V69" s="21">
        <v>176.7</v>
      </c>
      <c r="W69" s="21">
        <v>163.5</v>
      </c>
      <c r="X69" s="21">
        <v>174.7</v>
      </c>
      <c r="Y69" s="21">
        <v>171.8</v>
      </c>
      <c r="Z69" s="21">
        <v>180.3</v>
      </c>
      <c r="AA69" s="21">
        <v>166.9</v>
      </c>
      <c r="AB69" s="21">
        <v>175.8</v>
      </c>
      <c r="AC69" s="21">
        <v>158.9</v>
      </c>
      <c r="AD69" s="21">
        <v>166.7</v>
      </c>
      <c r="AE69" s="21">
        <v>171.5</v>
      </c>
      <c r="AF69" s="21">
        <v>173.8</v>
      </c>
      <c r="AG69" s="21">
        <v>167.4</v>
      </c>
      <c r="AH69" s="21">
        <v>174.1</v>
      </c>
      <c r="AI69" s="28">
        <v>4388.3</v>
      </c>
      <c r="AJ69" s="28">
        <v>679.40000000000009</v>
      </c>
      <c r="AK69" s="28">
        <v>340.2</v>
      </c>
      <c r="AL69" s="28">
        <v>338.70000000000005</v>
      </c>
      <c r="AM69" s="28">
        <v>2515</v>
      </c>
      <c r="AN69" s="28">
        <v>169.85000000000002</v>
      </c>
      <c r="AO69" s="28">
        <v>169.35000000000002</v>
      </c>
      <c r="AP69" s="22">
        <v>179.64285714285714</v>
      </c>
    </row>
    <row r="70" spans="1:42" x14ac:dyDescent="0.3">
      <c r="A70" s="27" t="s">
        <v>3</v>
      </c>
      <c r="B70" s="20">
        <v>2022</v>
      </c>
      <c r="C70" s="20" t="s">
        <v>14</v>
      </c>
      <c r="D70" s="21" t="s">
        <v>139</v>
      </c>
      <c r="E70" s="33">
        <v>44866</v>
      </c>
      <c r="F70" s="20" t="s">
        <v>85</v>
      </c>
      <c r="G70" s="52">
        <v>100258.75918442282</v>
      </c>
      <c r="H70" s="20">
        <v>167.4</v>
      </c>
      <c r="I70" s="20">
        <v>209.4</v>
      </c>
      <c r="J70" s="20">
        <v>181.4</v>
      </c>
      <c r="K70" s="20">
        <v>172.3</v>
      </c>
      <c r="L70" s="20">
        <v>188.9</v>
      </c>
      <c r="M70" s="20">
        <v>160.69999999999999</v>
      </c>
      <c r="N70" s="20">
        <v>183.1</v>
      </c>
      <c r="O70" s="20">
        <v>170.5</v>
      </c>
      <c r="P70" s="20">
        <v>122.1</v>
      </c>
      <c r="Q70" s="20">
        <v>202.8</v>
      </c>
      <c r="R70" s="20">
        <v>170.4</v>
      </c>
      <c r="S70" s="20">
        <v>189.5</v>
      </c>
      <c r="T70" s="20">
        <v>178.3</v>
      </c>
      <c r="U70" s="20">
        <v>196.9</v>
      </c>
      <c r="V70" s="20">
        <v>183.1</v>
      </c>
      <c r="W70" s="20">
        <v>176.2</v>
      </c>
      <c r="X70" s="20">
        <v>182.1</v>
      </c>
      <c r="Y70" s="20">
        <v>171.8</v>
      </c>
      <c r="Z70" s="20">
        <v>181.3</v>
      </c>
      <c r="AA70" s="20">
        <v>171.4</v>
      </c>
      <c r="AB70" s="20">
        <v>179.8</v>
      </c>
      <c r="AC70" s="20">
        <v>163</v>
      </c>
      <c r="AD70" s="20">
        <v>168.5</v>
      </c>
      <c r="AE70" s="20">
        <v>173.7</v>
      </c>
      <c r="AF70" s="20">
        <v>173.6</v>
      </c>
      <c r="AG70" s="20">
        <v>171.1</v>
      </c>
      <c r="AH70" s="20">
        <v>176.5</v>
      </c>
      <c r="AI70" s="28">
        <v>4407.2000000000007</v>
      </c>
      <c r="AJ70" s="28">
        <v>686.9</v>
      </c>
      <c r="AK70" s="28">
        <v>359.29999999999995</v>
      </c>
      <c r="AL70" s="28">
        <v>343.20000000000005</v>
      </c>
      <c r="AM70" s="28">
        <v>2493.7000000000003</v>
      </c>
      <c r="AN70" s="28">
        <v>171.72499999999999</v>
      </c>
      <c r="AO70" s="28">
        <v>171.60000000000002</v>
      </c>
      <c r="AP70" s="23">
        <v>178.12142857142859</v>
      </c>
    </row>
    <row r="71" spans="1:42" hidden="1" x14ac:dyDescent="0.3">
      <c r="A71" s="26" t="s">
        <v>0</v>
      </c>
      <c r="B71" s="21">
        <v>2022</v>
      </c>
      <c r="C71" s="21" t="s">
        <v>15</v>
      </c>
      <c r="D71" s="21" t="s">
        <v>144</v>
      </c>
      <c r="E71" s="32">
        <v>44896</v>
      </c>
      <c r="F71" s="21" t="s">
        <v>85</v>
      </c>
      <c r="G71" s="56"/>
      <c r="H71" s="21">
        <v>168.8</v>
      </c>
      <c r="I71" s="21">
        <v>206.9</v>
      </c>
      <c r="J71" s="21">
        <v>189.1</v>
      </c>
      <c r="K71" s="21">
        <v>173.4</v>
      </c>
      <c r="L71" s="21">
        <v>193.9</v>
      </c>
      <c r="M71" s="21">
        <v>156.69999999999999</v>
      </c>
      <c r="N71" s="21">
        <v>150.19999999999999</v>
      </c>
      <c r="O71" s="21">
        <v>170.5</v>
      </c>
      <c r="P71" s="21">
        <v>121.2</v>
      </c>
      <c r="Q71" s="21">
        <v>207.5</v>
      </c>
      <c r="R71" s="21">
        <v>176.8</v>
      </c>
      <c r="S71" s="21">
        <v>187.7</v>
      </c>
      <c r="T71" s="21">
        <v>174.4</v>
      </c>
      <c r="U71" s="21">
        <v>195.9</v>
      </c>
      <c r="V71" s="21">
        <v>188.1</v>
      </c>
      <c r="W71" s="21">
        <v>185.9</v>
      </c>
      <c r="X71" s="21">
        <v>187.8</v>
      </c>
      <c r="Y71" s="28">
        <v>139.27096774193564</v>
      </c>
      <c r="Z71" s="21">
        <v>182.8</v>
      </c>
      <c r="AA71" s="21">
        <v>176.4</v>
      </c>
      <c r="AB71" s="21">
        <v>183.5</v>
      </c>
      <c r="AC71" s="21">
        <v>167.8</v>
      </c>
      <c r="AD71" s="21">
        <v>171.2</v>
      </c>
      <c r="AE71" s="21">
        <v>177.3</v>
      </c>
      <c r="AF71" s="21">
        <v>175.7</v>
      </c>
      <c r="AG71" s="21">
        <v>175.5</v>
      </c>
      <c r="AH71" s="21">
        <v>177.1</v>
      </c>
      <c r="AI71" s="28">
        <v>4396.4709677419351</v>
      </c>
      <c r="AJ71" s="28">
        <v>699.7</v>
      </c>
      <c r="AK71" s="28">
        <v>374</v>
      </c>
      <c r="AL71" s="28">
        <v>315.67096774193567</v>
      </c>
      <c r="AM71" s="28">
        <v>2473</v>
      </c>
      <c r="AN71" s="28">
        <v>174.92500000000001</v>
      </c>
      <c r="AO71" s="28">
        <v>157.83548387096783</v>
      </c>
      <c r="AP71" s="22">
        <v>176.64285714285714</v>
      </c>
    </row>
    <row r="72" spans="1:42" hidden="1" x14ac:dyDescent="0.3">
      <c r="A72" s="27" t="s">
        <v>2</v>
      </c>
      <c r="B72" s="20">
        <v>2022</v>
      </c>
      <c r="C72" s="20" t="s">
        <v>15</v>
      </c>
      <c r="D72" s="21" t="s">
        <v>144</v>
      </c>
      <c r="E72" s="33">
        <v>44896</v>
      </c>
      <c r="F72" s="20" t="s">
        <v>85</v>
      </c>
      <c r="G72" s="55"/>
      <c r="H72" s="20">
        <v>170.2</v>
      </c>
      <c r="I72" s="20">
        <v>212.9</v>
      </c>
      <c r="J72" s="20">
        <v>191.9</v>
      </c>
      <c r="K72" s="20">
        <v>173.9</v>
      </c>
      <c r="L72" s="20">
        <v>179.1</v>
      </c>
      <c r="M72" s="20">
        <v>159.5</v>
      </c>
      <c r="N72" s="20">
        <v>178.7</v>
      </c>
      <c r="O72" s="20">
        <v>171.3</v>
      </c>
      <c r="P72" s="20">
        <v>123.1</v>
      </c>
      <c r="Q72" s="20">
        <v>200.5</v>
      </c>
      <c r="R72" s="20">
        <v>162.80000000000001</v>
      </c>
      <c r="S72" s="20">
        <v>193.3</v>
      </c>
      <c r="T72" s="20">
        <v>178.6</v>
      </c>
      <c r="U72" s="20">
        <v>201.1</v>
      </c>
      <c r="V72" s="20">
        <v>177.7</v>
      </c>
      <c r="W72" s="20">
        <v>164.5</v>
      </c>
      <c r="X72" s="20">
        <v>175.7</v>
      </c>
      <c r="Y72" s="20">
        <v>170.7</v>
      </c>
      <c r="Z72" s="20">
        <v>180.6</v>
      </c>
      <c r="AA72" s="20">
        <v>167.3</v>
      </c>
      <c r="AB72" s="20">
        <v>177.2</v>
      </c>
      <c r="AC72" s="20">
        <v>159.4</v>
      </c>
      <c r="AD72" s="20">
        <v>167.1</v>
      </c>
      <c r="AE72" s="20">
        <v>171.8</v>
      </c>
      <c r="AF72" s="20">
        <v>176</v>
      </c>
      <c r="AG72" s="20">
        <v>168.2</v>
      </c>
      <c r="AH72" s="20">
        <v>174.1</v>
      </c>
      <c r="AI72" s="28">
        <v>4377.4000000000005</v>
      </c>
      <c r="AJ72" s="28">
        <v>683.1</v>
      </c>
      <c r="AK72" s="28">
        <v>342.2</v>
      </c>
      <c r="AL72" s="28">
        <v>338</v>
      </c>
      <c r="AM72" s="28">
        <v>2496.8999999999996</v>
      </c>
      <c r="AN72" s="28">
        <v>170.77500000000001</v>
      </c>
      <c r="AO72" s="28">
        <v>169</v>
      </c>
      <c r="AP72" s="23">
        <v>178.34999999999997</v>
      </c>
    </row>
    <row r="73" spans="1:42" x14ac:dyDescent="0.3">
      <c r="A73" s="26" t="s">
        <v>3</v>
      </c>
      <c r="B73" s="21">
        <v>2022</v>
      </c>
      <c r="C73" s="21" t="s">
        <v>15</v>
      </c>
      <c r="D73" s="21" t="s">
        <v>144</v>
      </c>
      <c r="E73" s="32">
        <v>44896</v>
      </c>
      <c r="F73" s="21" t="s">
        <v>85</v>
      </c>
      <c r="G73" s="53">
        <v>94253.237400611397</v>
      </c>
      <c r="H73" s="21">
        <v>169.2</v>
      </c>
      <c r="I73" s="21">
        <v>209</v>
      </c>
      <c r="J73" s="21">
        <v>190.2</v>
      </c>
      <c r="K73" s="21">
        <v>173.6</v>
      </c>
      <c r="L73" s="21">
        <v>188.5</v>
      </c>
      <c r="M73" s="21">
        <v>158</v>
      </c>
      <c r="N73" s="21">
        <v>159.9</v>
      </c>
      <c r="O73" s="21">
        <v>170.8</v>
      </c>
      <c r="P73" s="21">
        <v>121.8</v>
      </c>
      <c r="Q73" s="21">
        <v>205.2</v>
      </c>
      <c r="R73" s="21">
        <v>171</v>
      </c>
      <c r="S73" s="21">
        <v>190.3</v>
      </c>
      <c r="T73" s="21">
        <v>175.9</v>
      </c>
      <c r="U73" s="21">
        <v>197.3</v>
      </c>
      <c r="V73" s="21">
        <v>184</v>
      </c>
      <c r="W73" s="21">
        <v>177</v>
      </c>
      <c r="X73" s="21">
        <v>183</v>
      </c>
      <c r="Y73" s="21">
        <v>170.7</v>
      </c>
      <c r="Z73" s="21">
        <v>182</v>
      </c>
      <c r="AA73" s="21">
        <v>172.1</v>
      </c>
      <c r="AB73" s="21">
        <v>181.1</v>
      </c>
      <c r="AC73" s="21">
        <v>163.4</v>
      </c>
      <c r="AD73" s="21">
        <v>168.9</v>
      </c>
      <c r="AE73" s="21">
        <v>174.1</v>
      </c>
      <c r="AF73" s="21">
        <v>175.8</v>
      </c>
      <c r="AG73" s="21">
        <v>172</v>
      </c>
      <c r="AH73" s="21">
        <v>175.7</v>
      </c>
      <c r="AI73" s="28">
        <v>4401.8000000000011</v>
      </c>
      <c r="AJ73" s="28">
        <v>690.8</v>
      </c>
      <c r="AK73" s="28">
        <v>361</v>
      </c>
      <c r="AL73" s="28">
        <v>342.79999999999995</v>
      </c>
      <c r="AM73" s="28">
        <v>2480.7000000000003</v>
      </c>
      <c r="AN73" s="28">
        <v>172.7</v>
      </c>
      <c r="AO73" s="28">
        <v>171.39999999999998</v>
      </c>
      <c r="AP73" s="22">
        <v>177.19285714285715</v>
      </c>
    </row>
    <row r="74" spans="1:42" hidden="1" x14ac:dyDescent="0.3">
      <c r="A74" s="27" t="s">
        <v>0</v>
      </c>
      <c r="B74" s="20">
        <v>2023</v>
      </c>
      <c r="C74" s="20" t="s">
        <v>1</v>
      </c>
      <c r="D74" s="21" t="s">
        <v>112</v>
      </c>
      <c r="E74" s="33">
        <v>44927</v>
      </c>
      <c r="F74" s="20" t="s">
        <v>85</v>
      </c>
      <c r="G74" s="57"/>
      <c r="H74" s="20">
        <v>174</v>
      </c>
      <c r="I74" s="20">
        <v>208.3</v>
      </c>
      <c r="J74" s="20">
        <v>192.9</v>
      </c>
      <c r="K74" s="20">
        <v>174.3</v>
      </c>
      <c r="L74" s="20">
        <v>192.6</v>
      </c>
      <c r="M74" s="20">
        <v>156.30000000000001</v>
      </c>
      <c r="N74" s="20">
        <v>142.9</v>
      </c>
      <c r="O74" s="20">
        <v>170.7</v>
      </c>
      <c r="P74" s="20">
        <v>120.3</v>
      </c>
      <c r="Q74" s="20">
        <v>210.5</v>
      </c>
      <c r="R74" s="20">
        <v>176.9</v>
      </c>
      <c r="S74" s="20">
        <v>188.5</v>
      </c>
      <c r="T74" s="20">
        <v>175</v>
      </c>
      <c r="U74" s="20">
        <v>196.9</v>
      </c>
      <c r="V74" s="20">
        <v>189</v>
      </c>
      <c r="W74" s="20">
        <v>186.3</v>
      </c>
      <c r="X74" s="20">
        <v>188.6</v>
      </c>
      <c r="Y74" s="30">
        <v>139.27096774193564</v>
      </c>
      <c r="Z74" s="20">
        <v>183.2</v>
      </c>
      <c r="AA74" s="20">
        <v>177.2</v>
      </c>
      <c r="AB74" s="20">
        <v>184.7</v>
      </c>
      <c r="AC74" s="20">
        <v>168.2</v>
      </c>
      <c r="AD74" s="20">
        <v>171.8</v>
      </c>
      <c r="AE74" s="20">
        <v>177.8</v>
      </c>
      <c r="AF74" s="20">
        <v>178.4</v>
      </c>
      <c r="AG74" s="20">
        <v>176.5</v>
      </c>
      <c r="AH74" s="20">
        <v>177.8</v>
      </c>
      <c r="AI74" s="28">
        <v>4412.4709677419369</v>
      </c>
      <c r="AJ74" s="28">
        <v>704.5</v>
      </c>
      <c r="AK74" s="28">
        <v>375.3</v>
      </c>
      <c r="AL74" s="28">
        <v>316.47096774193562</v>
      </c>
      <c r="AM74" s="28">
        <v>2480.1000000000004</v>
      </c>
      <c r="AN74" s="28">
        <v>176.125</v>
      </c>
      <c r="AO74" s="28">
        <v>158.23548387096781</v>
      </c>
      <c r="AP74" s="23">
        <v>177.15000000000003</v>
      </c>
    </row>
    <row r="75" spans="1:42" hidden="1" x14ac:dyDescent="0.3">
      <c r="A75" s="26" t="s">
        <v>2</v>
      </c>
      <c r="B75" s="21">
        <v>2023</v>
      </c>
      <c r="C75" s="21" t="s">
        <v>1</v>
      </c>
      <c r="D75" s="21" t="s">
        <v>112</v>
      </c>
      <c r="E75" s="32">
        <v>44927</v>
      </c>
      <c r="F75" s="21" t="s">
        <v>85</v>
      </c>
      <c r="G75" s="54"/>
      <c r="H75" s="21">
        <v>173.3</v>
      </c>
      <c r="I75" s="21">
        <v>215.2</v>
      </c>
      <c r="J75" s="21">
        <v>197</v>
      </c>
      <c r="K75" s="21">
        <v>175.2</v>
      </c>
      <c r="L75" s="21">
        <v>178</v>
      </c>
      <c r="M75" s="21">
        <v>160.5</v>
      </c>
      <c r="N75" s="21">
        <v>175.3</v>
      </c>
      <c r="O75" s="21">
        <v>171.2</v>
      </c>
      <c r="P75" s="21">
        <v>122.7</v>
      </c>
      <c r="Q75" s="21">
        <v>204.3</v>
      </c>
      <c r="R75" s="21">
        <v>163.69999999999999</v>
      </c>
      <c r="S75" s="21">
        <v>194.3</v>
      </c>
      <c r="T75" s="21">
        <v>179.5</v>
      </c>
      <c r="U75" s="21">
        <v>201.6</v>
      </c>
      <c r="V75" s="21">
        <v>178.7</v>
      </c>
      <c r="W75" s="21">
        <v>165.3</v>
      </c>
      <c r="X75" s="21">
        <v>176.6</v>
      </c>
      <c r="Y75" s="21">
        <v>172.1</v>
      </c>
      <c r="Z75" s="21">
        <v>180.1</v>
      </c>
      <c r="AA75" s="21">
        <v>168</v>
      </c>
      <c r="AB75" s="21">
        <v>178.5</v>
      </c>
      <c r="AC75" s="21">
        <v>159.5</v>
      </c>
      <c r="AD75" s="21">
        <v>167.8</v>
      </c>
      <c r="AE75" s="21">
        <v>171.8</v>
      </c>
      <c r="AF75" s="21">
        <v>178.8</v>
      </c>
      <c r="AG75" s="21">
        <v>168.9</v>
      </c>
      <c r="AH75" s="21">
        <v>174.9</v>
      </c>
      <c r="AI75" s="28">
        <v>4401.3</v>
      </c>
      <c r="AJ75" s="28">
        <v>687.3</v>
      </c>
      <c r="AK75" s="28">
        <v>344</v>
      </c>
      <c r="AL75" s="28">
        <v>340.1</v>
      </c>
      <c r="AM75" s="28">
        <v>2511.8000000000002</v>
      </c>
      <c r="AN75" s="28">
        <v>171.82499999999999</v>
      </c>
      <c r="AO75" s="28">
        <v>170.05</v>
      </c>
      <c r="AP75" s="22">
        <v>179.41428571428574</v>
      </c>
    </row>
    <row r="76" spans="1:42" x14ac:dyDescent="0.3">
      <c r="A76" s="27" t="s">
        <v>3</v>
      </c>
      <c r="B76" s="20">
        <v>2023</v>
      </c>
      <c r="C76" s="20" t="s">
        <v>1</v>
      </c>
      <c r="D76" s="21" t="s">
        <v>112</v>
      </c>
      <c r="E76" s="33">
        <v>44927</v>
      </c>
      <c r="F76" s="20" t="s">
        <v>85</v>
      </c>
      <c r="G76" s="60">
        <v>101338</v>
      </c>
      <c r="H76" s="20">
        <v>173.8</v>
      </c>
      <c r="I76" s="20">
        <v>210.7</v>
      </c>
      <c r="J76" s="20">
        <v>194.5</v>
      </c>
      <c r="K76" s="20">
        <v>174.6</v>
      </c>
      <c r="L76" s="20">
        <v>187.2</v>
      </c>
      <c r="M76" s="20">
        <v>158.30000000000001</v>
      </c>
      <c r="N76" s="20">
        <v>153.9</v>
      </c>
      <c r="O76" s="20">
        <v>170.9</v>
      </c>
      <c r="P76" s="20">
        <v>121.1</v>
      </c>
      <c r="Q76" s="20">
        <v>208.4</v>
      </c>
      <c r="R76" s="20">
        <v>171.4</v>
      </c>
      <c r="S76" s="20">
        <v>191.2</v>
      </c>
      <c r="T76" s="20">
        <v>176.7</v>
      </c>
      <c r="U76" s="20">
        <v>198.2</v>
      </c>
      <c r="V76" s="20">
        <v>184.9</v>
      </c>
      <c r="W76" s="20">
        <v>177.6</v>
      </c>
      <c r="X76" s="20">
        <v>183.8</v>
      </c>
      <c r="Y76" s="20">
        <v>172.1</v>
      </c>
      <c r="Z76" s="20">
        <v>182</v>
      </c>
      <c r="AA76" s="20">
        <v>172.9</v>
      </c>
      <c r="AB76" s="20">
        <v>182.3</v>
      </c>
      <c r="AC76" s="20">
        <v>163.6</v>
      </c>
      <c r="AD76" s="20">
        <v>169.5</v>
      </c>
      <c r="AE76" s="20">
        <v>174.3</v>
      </c>
      <c r="AF76" s="20">
        <v>178.6</v>
      </c>
      <c r="AG76" s="20">
        <v>172.8</v>
      </c>
      <c r="AH76" s="20">
        <v>176.5</v>
      </c>
      <c r="AI76" s="28">
        <v>4421.5</v>
      </c>
      <c r="AJ76" s="28">
        <v>695.2</v>
      </c>
      <c r="AK76" s="28">
        <v>362.5</v>
      </c>
      <c r="AL76" s="28">
        <v>345</v>
      </c>
      <c r="AM76" s="28">
        <v>2490.8999999999996</v>
      </c>
      <c r="AN76" s="28">
        <v>173.8</v>
      </c>
      <c r="AO76" s="28">
        <v>172.5</v>
      </c>
      <c r="AP76" s="23">
        <v>177.92142857142855</v>
      </c>
    </row>
    <row r="77" spans="1:42" hidden="1" x14ac:dyDescent="0.3">
      <c r="A77" s="26" t="s">
        <v>0</v>
      </c>
      <c r="B77" s="21">
        <v>2023</v>
      </c>
      <c r="C77" s="21" t="s">
        <v>4</v>
      </c>
      <c r="D77" s="21" t="s">
        <v>115</v>
      </c>
      <c r="E77" s="32">
        <v>44958</v>
      </c>
      <c r="F77" s="21" t="s">
        <v>85</v>
      </c>
      <c r="G77" s="56"/>
      <c r="H77" s="21">
        <v>174.2</v>
      </c>
      <c r="I77" s="21">
        <v>205.2</v>
      </c>
      <c r="J77" s="21">
        <v>173.9</v>
      </c>
      <c r="K77" s="21">
        <v>177</v>
      </c>
      <c r="L77" s="21">
        <v>183.4</v>
      </c>
      <c r="M77" s="21">
        <v>167.2</v>
      </c>
      <c r="N77" s="21">
        <v>140.9</v>
      </c>
      <c r="O77" s="21">
        <v>170.4</v>
      </c>
      <c r="P77" s="21">
        <v>119.1</v>
      </c>
      <c r="Q77" s="21">
        <v>212.1</v>
      </c>
      <c r="R77" s="21">
        <v>177.6</v>
      </c>
      <c r="S77" s="21">
        <v>189.9</v>
      </c>
      <c r="T77" s="21">
        <v>174.8</v>
      </c>
      <c r="U77" s="21">
        <v>198.3</v>
      </c>
      <c r="V77" s="21">
        <v>190</v>
      </c>
      <c r="W77" s="21">
        <v>187</v>
      </c>
      <c r="X77" s="21">
        <v>189.6</v>
      </c>
      <c r="Y77" s="28">
        <v>139.27096774193564</v>
      </c>
      <c r="Z77" s="21">
        <v>181.6</v>
      </c>
      <c r="AA77" s="21">
        <v>178.6</v>
      </c>
      <c r="AB77" s="21">
        <v>186.6</v>
      </c>
      <c r="AC77" s="21">
        <v>169</v>
      </c>
      <c r="AD77" s="21">
        <v>172.8</v>
      </c>
      <c r="AE77" s="21">
        <v>178.5</v>
      </c>
      <c r="AF77" s="21">
        <v>180.7</v>
      </c>
      <c r="AG77" s="21">
        <v>177.9</v>
      </c>
      <c r="AH77" s="21">
        <v>178</v>
      </c>
      <c r="AI77" s="28">
        <v>4405.970967741936</v>
      </c>
      <c r="AJ77" s="28">
        <v>709.90000000000009</v>
      </c>
      <c r="AK77" s="28">
        <v>377</v>
      </c>
      <c r="AL77" s="28">
        <v>317.8709677419356</v>
      </c>
      <c r="AM77" s="28">
        <v>2464</v>
      </c>
      <c r="AN77" s="28">
        <v>177.47500000000002</v>
      </c>
      <c r="AO77" s="28">
        <v>158.9354838709678</v>
      </c>
      <c r="AP77" s="22">
        <v>176</v>
      </c>
    </row>
    <row r="78" spans="1:42" hidden="1" x14ac:dyDescent="0.3">
      <c r="A78" s="27" t="s">
        <v>2</v>
      </c>
      <c r="B78" s="20">
        <v>2023</v>
      </c>
      <c r="C78" s="20" t="s">
        <v>4</v>
      </c>
      <c r="D78" s="21" t="s">
        <v>115</v>
      </c>
      <c r="E78" s="33">
        <v>44958</v>
      </c>
      <c r="F78" s="20" t="s">
        <v>85</v>
      </c>
      <c r="G78" s="55"/>
      <c r="H78" s="20">
        <v>174.7</v>
      </c>
      <c r="I78" s="20">
        <v>212.2</v>
      </c>
      <c r="J78" s="20">
        <v>177.2</v>
      </c>
      <c r="K78" s="20">
        <v>177.9</v>
      </c>
      <c r="L78" s="20">
        <v>172.2</v>
      </c>
      <c r="M78" s="20">
        <v>172.1</v>
      </c>
      <c r="N78" s="20">
        <v>175.8</v>
      </c>
      <c r="O78" s="20">
        <v>172.2</v>
      </c>
      <c r="P78" s="20">
        <v>121.9</v>
      </c>
      <c r="Q78" s="20">
        <v>204.8</v>
      </c>
      <c r="R78" s="20">
        <v>164.9</v>
      </c>
      <c r="S78" s="20">
        <v>196.6</v>
      </c>
      <c r="T78" s="20">
        <v>180.7</v>
      </c>
      <c r="U78" s="20">
        <v>202.7</v>
      </c>
      <c r="V78" s="20">
        <v>180.3</v>
      </c>
      <c r="W78" s="20">
        <v>167</v>
      </c>
      <c r="X78" s="20">
        <v>178.2</v>
      </c>
      <c r="Y78" s="20">
        <v>173.5</v>
      </c>
      <c r="Z78" s="20">
        <v>182.8</v>
      </c>
      <c r="AA78" s="20">
        <v>169.2</v>
      </c>
      <c r="AB78" s="20">
        <v>180.8</v>
      </c>
      <c r="AC78" s="20">
        <v>159.80000000000001</v>
      </c>
      <c r="AD78" s="20">
        <v>168.4</v>
      </c>
      <c r="AE78" s="20">
        <v>172.5</v>
      </c>
      <c r="AF78" s="20">
        <v>181.4</v>
      </c>
      <c r="AG78" s="20">
        <v>170</v>
      </c>
      <c r="AH78" s="20">
        <v>176.3</v>
      </c>
      <c r="AI78" s="28">
        <v>4411.5999999999995</v>
      </c>
      <c r="AJ78" s="28">
        <v>692.3</v>
      </c>
      <c r="AK78" s="28">
        <v>347.3</v>
      </c>
      <c r="AL78" s="28">
        <v>342.7</v>
      </c>
      <c r="AM78" s="28">
        <v>2505.8999999999996</v>
      </c>
      <c r="AN78" s="28">
        <v>173.07499999999999</v>
      </c>
      <c r="AO78" s="28">
        <v>171.35</v>
      </c>
      <c r="AP78" s="23">
        <v>178.9928571428571</v>
      </c>
    </row>
    <row r="79" spans="1:42" ht="15.6" x14ac:dyDescent="0.3">
      <c r="A79" s="26" t="s">
        <v>3</v>
      </c>
      <c r="B79" s="21">
        <v>2023</v>
      </c>
      <c r="C79" s="21" t="s">
        <v>4</v>
      </c>
      <c r="D79" s="21" t="s">
        <v>115</v>
      </c>
      <c r="E79" s="32">
        <v>44958</v>
      </c>
      <c r="F79" s="21" t="s">
        <v>85</v>
      </c>
      <c r="G79" s="61">
        <v>85514</v>
      </c>
      <c r="H79" s="21">
        <v>174.4</v>
      </c>
      <c r="I79" s="21">
        <v>207.7</v>
      </c>
      <c r="J79" s="21">
        <v>175.2</v>
      </c>
      <c r="K79" s="21">
        <v>177.3</v>
      </c>
      <c r="L79" s="21">
        <v>179.3</v>
      </c>
      <c r="M79" s="21">
        <v>169.5</v>
      </c>
      <c r="N79" s="21">
        <v>152.69999999999999</v>
      </c>
      <c r="O79" s="21">
        <v>171</v>
      </c>
      <c r="P79" s="21">
        <v>120</v>
      </c>
      <c r="Q79" s="21">
        <v>209.7</v>
      </c>
      <c r="R79" s="21">
        <v>172.3</v>
      </c>
      <c r="S79" s="21">
        <v>193</v>
      </c>
      <c r="T79" s="21">
        <v>177</v>
      </c>
      <c r="U79" s="21">
        <v>199.5</v>
      </c>
      <c r="V79" s="21">
        <v>186.2</v>
      </c>
      <c r="W79" s="21">
        <v>178.7</v>
      </c>
      <c r="X79" s="21">
        <v>185.1</v>
      </c>
      <c r="Y79" s="21">
        <v>173.5</v>
      </c>
      <c r="Z79" s="21">
        <v>182.1</v>
      </c>
      <c r="AA79" s="21">
        <v>174.2</v>
      </c>
      <c r="AB79" s="21">
        <v>184.4</v>
      </c>
      <c r="AC79" s="21">
        <v>164.2</v>
      </c>
      <c r="AD79" s="21">
        <v>170.3</v>
      </c>
      <c r="AE79" s="21">
        <v>175</v>
      </c>
      <c r="AF79" s="21">
        <v>181</v>
      </c>
      <c r="AG79" s="21">
        <v>174.1</v>
      </c>
      <c r="AH79" s="21">
        <v>177.2</v>
      </c>
      <c r="AI79" s="28">
        <v>4422.3</v>
      </c>
      <c r="AJ79" s="28">
        <v>700.40000000000009</v>
      </c>
      <c r="AK79" s="28">
        <v>364.9</v>
      </c>
      <c r="AL79" s="28">
        <v>347.7</v>
      </c>
      <c r="AM79" s="28">
        <v>2478.6</v>
      </c>
      <c r="AN79" s="28">
        <v>175.10000000000002</v>
      </c>
      <c r="AO79" s="28">
        <v>173.85</v>
      </c>
      <c r="AP79" s="22">
        <v>177.04285714285714</v>
      </c>
    </row>
    <row r="80" spans="1:42" hidden="1" x14ac:dyDescent="0.3">
      <c r="A80" s="27" t="s">
        <v>0</v>
      </c>
      <c r="B80" s="20">
        <v>2023</v>
      </c>
      <c r="C80" s="20" t="s">
        <v>5</v>
      </c>
      <c r="D80" s="21" t="s">
        <v>121</v>
      </c>
      <c r="E80" s="33">
        <v>44986</v>
      </c>
      <c r="F80" s="20" t="s">
        <v>85</v>
      </c>
      <c r="G80" s="57"/>
      <c r="H80" s="20">
        <v>174.3</v>
      </c>
      <c r="I80" s="20">
        <v>205.2</v>
      </c>
      <c r="J80" s="20">
        <v>173.9</v>
      </c>
      <c r="K80" s="20">
        <v>177</v>
      </c>
      <c r="L80" s="20">
        <v>183.3</v>
      </c>
      <c r="M80" s="20">
        <v>167.2</v>
      </c>
      <c r="N80" s="20">
        <v>140.9</v>
      </c>
      <c r="O80" s="20">
        <v>170.5</v>
      </c>
      <c r="P80" s="20">
        <v>119.1</v>
      </c>
      <c r="Q80" s="20">
        <v>212.1</v>
      </c>
      <c r="R80" s="20">
        <v>177.6</v>
      </c>
      <c r="S80" s="20">
        <v>189.9</v>
      </c>
      <c r="T80" s="20">
        <v>174.8</v>
      </c>
      <c r="U80" s="20">
        <v>198.4</v>
      </c>
      <c r="V80" s="20">
        <v>190</v>
      </c>
      <c r="W80" s="20">
        <v>187</v>
      </c>
      <c r="X80" s="20">
        <v>189.6</v>
      </c>
      <c r="Y80" s="30">
        <v>139.27096774193564</v>
      </c>
      <c r="Z80" s="20">
        <v>181.4</v>
      </c>
      <c r="AA80" s="20">
        <v>178.6</v>
      </c>
      <c r="AB80" s="20">
        <v>186.6</v>
      </c>
      <c r="AC80" s="20">
        <v>169</v>
      </c>
      <c r="AD80" s="20">
        <v>172.8</v>
      </c>
      <c r="AE80" s="20">
        <v>178.5</v>
      </c>
      <c r="AF80" s="20">
        <v>180.7</v>
      </c>
      <c r="AG80" s="20">
        <v>177.9</v>
      </c>
      <c r="AH80" s="20">
        <v>178</v>
      </c>
      <c r="AI80" s="28">
        <v>4405.970967741936</v>
      </c>
      <c r="AJ80" s="28">
        <v>709.90000000000009</v>
      </c>
      <c r="AK80" s="28">
        <v>377</v>
      </c>
      <c r="AL80" s="28">
        <v>317.8709677419356</v>
      </c>
      <c r="AM80" s="28">
        <v>2464.2000000000003</v>
      </c>
      <c r="AN80" s="28">
        <v>177.47500000000002</v>
      </c>
      <c r="AO80" s="28">
        <v>158.9354838709678</v>
      </c>
      <c r="AP80" s="23">
        <v>176.01428571428573</v>
      </c>
    </row>
    <row r="81" spans="1:42" hidden="1" x14ac:dyDescent="0.3">
      <c r="A81" s="26" t="s">
        <v>2</v>
      </c>
      <c r="B81" s="21">
        <v>2023</v>
      </c>
      <c r="C81" s="21" t="s">
        <v>5</v>
      </c>
      <c r="D81" s="21" t="s">
        <v>121</v>
      </c>
      <c r="E81" s="32">
        <v>44986</v>
      </c>
      <c r="F81" s="21" t="s">
        <v>85</v>
      </c>
      <c r="G81" s="54"/>
      <c r="H81" s="21">
        <v>174.7</v>
      </c>
      <c r="I81" s="21">
        <v>212.2</v>
      </c>
      <c r="J81" s="21">
        <v>177.2</v>
      </c>
      <c r="K81" s="21">
        <v>177.9</v>
      </c>
      <c r="L81" s="21">
        <v>172.2</v>
      </c>
      <c r="M81" s="21">
        <v>172.1</v>
      </c>
      <c r="N81" s="21">
        <v>175.9</v>
      </c>
      <c r="O81" s="21">
        <v>172.2</v>
      </c>
      <c r="P81" s="21">
        <v>121.9</v>
      </c>
      <c r="Q81" s="21">
        <v>204.8</v>
      </c>
      <c r="R81" s="21">
        <v>164.9</v>
      </c>
      <c r="S81" s="21">
        <v>196.6</v>
      </c>
      <c r="T81" s="21">
        <v>180.8</v>
      </c>
      <c r="U81" s="21">
        <v>202.7</v>
      </c>
      <c r="V81" s="21">
        <v>180.2</v>
      </c>
      <c r="W81" s="21">
        <v>167</v>
      </c>
      <c r="X81" s="21">
        <v>178.2</v>
      </c>
      <c r="Y81" s="21">
        <v>173.5</v>
      </c>
      <c r="Z81" s="21">
        <v>182.6</v>
      </c>
      <c r="AA81" s="21">
        <v>169.2</v>
      </c>
      <c r="AB81" s="21">
        <v>180.8</v>
      </c>
      <c r="AC81" s="21">
        <v>159.80000000000001</v>
      </c>
      <c r="AD81" s="21">
        <v>168.4</v>
      </c>
      <c r="AE81" s="21">
        <v>172.5</v>
      </c>
      <c r="AF81" s="21">
        <v>181.5</v>
      </c>
      <c r="AG81" s="21">
        <v>170</v>
      </c>
      <c r="AH81" s="21">
        <v>176.3</v>
      </c>
      <c r="AI81" s="28">
        <v>4411.6000000000004</v>
      </c>
      <c r="AJ81" s="28">
        <v>692.4</v>
      </c>
      <c r="AK81" s="28">
        <v>347.2</v>
      </c>
      <c r="AL81" s="28">
        <v>342.7</v>
      </c>
      <c r="AM81" s="28">
        <v>2506.1</v>
      </c>
      <c r="AN81" s="28">
        <v>173.1</v>
      </c>
      <c r="AO81" s="28">
        <v>171.35</v>
      </c>
      <c r="AP81" s="22">
        <v>179.00714285714284</v>
      </c>
    </row>
    <row r="82" spans="1:42" ht="15.6" x14ac:dyDescent="0.3">
      <c r="A82" s="27" t="s">
        <v>3</v>
      </c>
      <c r="B82" s="20">
        <v>2023</v>
      </c>
      <c r="C82" s="20" t="s">
        <v>5</v>
      </c>
      <c r="D82" s="21" t="s">
        <v>121</v>
      </c>
      <c r="E82" s="33">
        <v>44986</v>
      </c>
      <c r="F82" s="20" t="s">
        <v>85</v>
      </c>
      <c r="G82" s="61">
        <v>101032</v>
      </c>
      <c r="H82" s="20">
        <v>174.4</v>
      </c>
      <c r="I82" s="20">
        <v>207.7</v>
      </c>
      <c r="J82" s="20">
        <v>175.2</v>
      </c>
      <c r="K82" s="20">
        <v>177.3</v>
      </c>
      <c r="L82" s="20">
        <v>179.2</v>
      </c>
      <c r="M82" s="20">
        <v>169.5</v>
      </c>
      <c r="N82" s="20">
        <v>152.80000000000001</v>
      </c>
      <c r="O82" s="20">
        <v>171.1</v>
      </c>
      <c r="P82" s="20">
        <v>120</v>
      </c>
      <c r="Q82" s="20">
        <v>209.7</v>
      </c>
      <c r="R82" s="20">
        <v>172.3</v>
      </c>
      <c r="S82" s="20">
        <v>193</v>
      </c>
      <c r="T82" s="20">
        <v>177</v>
      </c>
      <c r="U82" s="20">
        <v>199.5</v>
      </c>
      <c r="V82" s="20">
        <v>186.1</v>
      </c>
      <c r="W82" s="20">
        <v>178.7</v>
      </c>
      <c r="X82" s="20">
        <v>185.1</v>
      </c>
      <c r="Y82" s="20">
        <v>173.5</v>
      </c>
      <c r="Z82" s="20">
        <v>181.9</v>
      </c>
      <c r="AA82" s="20">
        <v>174.2</v>
      </c>
      <c r="AB82" s="20">
        <v>184.4</v>
      </c>
      <c r="AC82" s="20">
        <v>164.2</v>
      </c>
      <c r="AD82" s="20">
        <v>170.3</v>
      </c>
      <c r="AE82" s="20">
        <v>175</v>
      </c>
      <c r="AF82" s="20">
        <v>181</v>
      </c>
      <c r="AG82" s="20">
        <v>174.1</v>
      </c>
      <c r="AH82" s="20">
        <v>177.2</v>
      </c>
      <c r="AI82" s="28">
        <v>4422.0999999999995</v>
      </c>
      <c r="AJ82" s="28">
        <v>700.40000000000009</v>
      </c>
      <c r="AK82" s="28">
        <v>364.79999999999995</v>
      </c>
      <c r="AL82" s="28">
        <v>347.7</v>
      </c>
      <c r="AM82" s="28">
        <v>2478.6999999999998</v>
      </c>
      <c r="AN82" s="28">
        <v>175.10000000000002</v>
      </c>
      <c r="AO82" s="28">
        <v>173.85</v>
      </c>
      <c r="AP82" s="23">
        <v>177.04999999999998</v>
      </c>
    </row>
    <row r="83" spans="1:42" hidden="1" x14ac:dyDescent="0.3">
      <c r="A83" s="26" t="s">
        <v>0</v>
      </c>
      <c r="B83" s="21">
        <v>2023</v>
      </c>
      <c r="C83" s="21" t="s">
        <v>6</v>
      </c>
      <c r="D83" s="21" t="s">
        <v>124</v>
      </c>
      <c r="E83" s="32">
        <v>45017</v>
      </c>
      <c r="F83" s="21" t="s">
        <v>85</v>
      </c>
      <c r="G83" s="56"/>
      <c r="H83" s="21">
        <v>173.3</v>
      </c>
      <c r="I83" s="21">
        <v>206.9</v>
      </c>
      <c r="J83" s="21">
        <v>167.9</v>
      </c>
      <c r="K83" s="21">
        <v>178.2</v>
      </c>
      <c r="L83" s="21">
        <v>178.5</v>
      </c>
      <c r="M83" s="21">
        <v>173.7</v>
      </c>
      <c r="N83" s="21">
        <v>142.80000000000001</v>
      </c>
      <c r="O83" s="21">
        <v>172.8</v>
      </c>
      <c r="P83" s="21">
        <v>120.4</v>
      </c>
      <c r="Q83" s="21">
        <v>215.5</v>
      </c>
      <c r="R83" s="21">
        <v>178.2</v>
      </c>
      <c r="S83" s="21">
        <v>190.5</v>
      </c>
      <c r="T83" s="21">
        <v>175.5</v>
      </c>
      <c r="U83" s="21">
        <v>199.5</v>
      </c>
      <c r="V83" s="21">
        <v>190.7</v>
      </c>
      <c r="W83" s="21">
        <v>187.3</v>
      </c>
      <c r="X83" s="21">
        <v>190.2</v>
      </c>
      <c r="Y83" s="28">
        <v>139.27096774193564</v>
      </c>
      <c r="Z83" s="21">
        <v>181.5</v>
      </c>
      <c r="AA83" s="21">
        <v>179.1</v>
      </c>
      <c r="AB83" s="21">
        <v>187.2</v>
      </c>
      <c r="AC83" s="21">
        <v>169.4</v>
      </c>
      <c r="AD83" s="21">
        <v>173.2</v>
      </c>
      <c r="AE83" s="21">
        <v>179.4</v>
      </c>
      <c r="AF83" s="21">
        <v>183.8</v>
      </c>
      <c r="AG83" s="21">
        <v>178.9</v>
      </c>
      <c r="AH83" s="21">
        <v>178.8</v>
      </c>
      <c r="AI83" s="28">
        <v>4423.470967741936</v>
      </c>
      <c r="AJ83" s="28">
        <v>715.3</v>
      </c>
      <c r="AK83" s="28">
        <v>378</v>
      </c>
      <c r="AL83" s="28">
        <v>318.3709677419356</v>
      </c>
      <c r="AM83" s="28">
        <v>2473.6999999999998</v>
      </c>
      <c r="AN83" s="28">
        <v>178.82499999999999</v>
      </c>
      <c r="AO83" s="28">
        <v>159.1854838709678</v>
      </c>
      <c r="AP83" s="22">
        <v>176.69285714285712</v>
      </c>
    </row>
    <row r="84" spans="1:42" hidden="1" x14ac:dyDescent="0.3">
      <c r="A84" s="27" t="s">
        <v>2</v>
      </c>
      <c r="B84" s="20">
        <v>2023</v>
      </c>
      <c r="C84" s="20" t="s">
        <v>6</v>
      </c>
      <c r="D84" s="21" t="s">
        <v>124</v>
      </c>
      <c r="E84" s="33">
        <v>45017</v>
      </c>
      <c r="F84" s="20" t="s">
        <v>85</v>
      </c>
      <c r="G84" s="55"/>
      <c r="H84" s="20">
        <v>174.8</v>
      </c>
      <c r="I84" s="20">
        <v>213.7</v>
      </c>
      <c r="J84" s="20">
        <v>172.4</v>
      </c>
      <c r="K84" s="20">
        <v>178.8</v>
      </c>
      <c r="L84" s="20">
        <v>168.7</v>
      </c>
      <c r="M84" s="20">
        <v>179.2</v>
      </c>
      <c r="N84" s="20">
        <v>179.9</v>
      </c>
      <c r="O84" s="20">
        <v>174.7</v>
      </c>
      <c r="P84" s="20">
        <v>123.1</v>
      </c>
      <c r="Q84" s="20">
        <v>207.8</v>
      </c>
      <c r="R84" s="20">
        <v>165.5</v>
      </c>
      <c r="S84" s="20">
        <v>197</v>
      </c>
      <c r="T84" s="20">
        <v>182.1</v>
      </c>
      <c r="U84" s="20">
        <v>203.5</v>
      </c>
      <c r="V84" s="20">
        <v>181</v>
      </c>
      <c r="W84" s="20">
        <v>167.7</v>
      </c>
      <c r="X84" s="20">
        <v>178.9</v>
      </c>
      <c r="Y84" s="20">
        <v>175.2</v>
      </c>
      <c r="Z84" s="20">
        <v>182.1</v>
      </c>
      <c r="AA84" s="20">
        <v>169.6</v>
      </c>
      <c r="AB84" s="20">
        <v>181.5</v>
      </c>
      <c r="AC84" s="20">
        <v>160.1</v>
      </c>
      <c r="AD84" s="20">
        <v>168.8</v>
      </c>
      <c r="AE84" s="20">
        <v>174.2</v>
      </c>
      <c r="AF84" s="20">
        <v>184.4</v>
      </c>
      <c r="AG84" s="20">
        <v>170.9</v>
      </c>
      <c r="AH84" s="20">
        <v>177.4</v>
      </c>
      <c r="AI84" s="28">
        <v>4436.7</v>
      </c>
      <c r="AJ84" s="28">
        <v>698.3</v>
      </c>
      <c r="AK84" s="28">
        <v>348.7</v>
      </c>
      <c r="AL84" s="28">
        <v>344.79999999999995</v>
      </c>
      <c r="AM84" s="28">
        <v>2521.2000000000003</v>
      </c>
      <c r="AN84" s="28">
        <v>174.57499999999999</v>
      </c>
      <c r="AO84" s="28">
        <v>172.39999999999998</v>
      </c>
      <c r="AP84" s="23">
        <v>180.08571428571432</v>
      </c>
    </row>
    <row r="85" spans="1:42" ht="15.6" x14ac:dyDescent="0.3">
      <c r="A85" s="26" t="s">
        <v>3</v>
      </c>
      <c r="B85" s="21">
        <v>2023</v>
      </c>
      <c r="C85" s="21" t="s">
        <v>6</v>
      </c>
      <c r="D85" s="21" t="s">
        <v>124</v>
      </c>
      <c r="E85" s="32">
        <v>45017</v>
      </c>
      <c r="F85" s="21" t="s">
        <v>85</v>
      </c>
      <c r="G85" s="61">
        <v>89036</v>
      </c>
      <c r="H85" s="21">
        <v>173.8</v>
      </c>
      <c r="I85" s="21">
        <v>209.3</v>
      </c>
      <c r="J85" s="21">
        <v>169.6</v>
      </c>
      <c r="K85" s="21">
        <v>178.4</v>
      </c>
      <c r="L85" s="21">
        <v>174.9</v>
      </c>
      <c r="M85" s="21">
        <v>176.3</v>
      </c>
      <c r="N85" s="21">
        <v>155.4</v>
      </c>
      <c r="O85" s="21">
        <v>173.4</v>
      </c>
      <c r="P85" s="21">
        <v>121.3</v>
      </c>
      <c r="Q85" s="21">
        <v>212.9</v>
      </c>
      <c r="R85" s="21">
        <v>172.9</v>
      </c>
      <c r="S85" s="21">
        <v>193.5</v>
      </c>
      <c r="T85" s="21">
        <v>177.9</v>
      </c>
      <c r="U85" s="21">
        <v>200.6</v>
      </c>
      <c r="V85" s="21">
        <v>186.9</v>
      </c>
      <c r="W85" s="21">
        <v>179.2</v>
      </c>
      <c r="X85" s="21">
        <v>185.7</v>
      </c>
      <c r="Y85" s="21">
        <v>175.2</v>
      </c>
      <c r="Z85" s="21">
        <v>181.7</v>
      </c>
      <c r="AA85" s="21">
        <v>174.6</v>
      </c>
      <c r="AB85" s="21">
        <v>185</v>
      </c>
      <c r="AC85" s="21">
        <v>164.5</v>
      </c>
      <c r="AD85" s="21">
        <v>170.7</v>
      </c>
      <c r="AE85" s="21">
        <v>176.4</v>
      </c>
      <c r="AF85" s="21">
        <v>184</v>
      </c>
      <c r="AG85" s="21">
        <v>175</v>
      </c>
      <c r="AH85" s="21">
        <v>178.1</v>
      </c>
      <c r="AI85" s="28">
        <v>4443.4000000000005</v>
      </c>
      <c r="AJ85" s="28">
        <v>706.09999999999991</v>
      </c>
      <c r="AK85" s="28">
        <v>366.1</v>
      </c>
      <c r="AL85" s="28">
        <v>349.79999999999995</v>
      </c>
      <c r="AM85" s="28">
        <v>2490.2000000000003</v>
      </c>
      <c r="AN85" s="28">
        <v>176.52499999999998</v>
      </c>
      <c r="AO85" s="28">
        <v>174.89999999999998</v>
      </c>
      <c r="AP85" s="22">
        <v>177.87142857142859</v>
      </c>
    </row>
    <row r="86" spans="1:42" hidden="1" x14ac:dyDescent="0.3">
      <c r="A86" s="27" t="s">
        <v>0</v>
      </c>
      <c r="B86" s="20">
        <v>2023</v>
      </c>
      <c r="C86" s="20" t="s">
        <v>7</v>
      </c>
      <c r="D86" s="21" t="s">
        <v>127</v>
      </c>
      <c r="E86" s="33">
        <v>45047</v>
      </c>
      <c r="F86" s="20" t="s">
        <v>85</v>
      </c>
      <c r="G86" s="57"/>
      <c r="H86" s="20">
        <v>173.2</v>
      </c>
      <c r="I86" s="20">
        <v>211.5</v>
      </c>
      <c r="J86" s="20">
        <v>171</v>
      </c>
      <c r="K86" s="20">
        <v>179.6</v>
      </c>
      <c r="L86" s="20">
        <v>173.3</v>
      </c>
      <c r="M86" s="20">
        <v>169</v>
      </c>
      <c r="N86" s="20">
        <v>148.69999999999999</v>
      </c>
      <c r="O86" s="20">
        <v>174.9</v>
      </c>
      <c r="P86" s="20">
        <v>121.9</v>
      </c>
      <c r="Q86" s="20">
        <v>221</v>
      </c>
      <c r="R86" s="20">
        <v>178.7</v>
      </c>
      <c r="S86" s="20">
        <v>191.1</v>
      </c>
      <c r="T86" s="20">
        <v>176.8</v>
      </c>
      <c r="U86" s="20">
        <v>199.9</v>
      </c>
      <c r="V86" s="20">
        <v>191.2</v>
      </c>
      <c r="W86" s="20">
        <v>187.9</v>
      </c>
      <c r="X86" s="20">
        <v>190.8</v>
      </c>
      <c r="Y86" s="30">
        <v>139.27096774193564</v>
      </c>
      <c r="Z86" s="20">
        <v>182.5</v>
      </c>
      <c r="AA86" s="20">
        <v>179.8</v>
      </c>
      <c r="AB86" s="20">
        <v>187.8</v>
      </c>
      <c r="AC86" s="20">
        <v>169.7</v>
      </c>
      <c r="AD86" s="20">
        <v>173.8</v>
      </c>
      <c r="AE86" s="20">
        <v>180.3</v>
      </c>
      <c r="AF86" s="20">
        <v>184.9</v>
      </c>
      <c r="AG86" s="20">
        <v>179.5</v>
      </c>
      <c r="AH86" s="20">
        <v>179.8</v>
      </c>
      <c r="AI86" s="28">
        <v>4447.2709677419352</v>
      </c>
      <c r="AJ86" s="28">
        <v>718.5</v>
      </c>
      <c r="AK86" s="28">
        <v>379.1</v>
      </c>
      <c r="AL86" s="28">
        <v>319.07096774193565</v>
      </c>
      <c r="AM86" s="28">
        <v>2490.6000000000008</v>
      </c>
      <c r="AN86" s="28">
        <v>179.625</v>
      </c>
      <c r="AO86" s="28">
        <v>159.53548387096782</v>
      </c>
      <c r="AP86" s="23">
        <v>177.90000000000006</v>
      </c>
    </row>
    <row r="87" spans="1:42" hidden="1" x14ac:dyDescent="0.3">
      <c r="A87" s="26" t="s">
        <v>2</v>
      </c>
      <c r="B87" s="21">
        <v>2023</v>
      </c>
      <c r="C87" s="21" t="s">
        <v>7</v>
      </c>
      <c r="D87" s="21" t="s">
        <v>127</v>
      </c>
      <c r="E87" s="32">
        <v>45047</v>
      </c>
      <c r="F87" s="21" t="s">
        <v>85</v>
      </c>
      <c r="G87" s="54"/>
      <c r="H87" s="21">
        <v>174.7</v>
      </c>
      <c r="I87" s="21">
        <v>219.4</v>
      </c>
      <c r="J87" s="21">
        <v>176.7</v>
      </c>
      <c r="K87" s="21">
        <v>179.4</v>
      </c>
      <c r="L87" s="21">
        <v>164.4</v>
      </c>
      <c r="M87" s="21">
        <v>175.8</v>
      </c>
      <c r="N87" s="21">
        <v>185</v>
      </c>
      <c r="O87" s="21">
        <v>176.9</v>
      </c>
      <c r="P87" s="21">
        <v>124.2</v>
      </c>
      <c r="Q87" s="21">
        <v>211.9</v>
      </c>
      <c r="R87" s="21">
        <v>165.9</v>
      </c>
      <c r="S87" s="21">
        <v>197.7</v>
      </c>
      <c r="T87" s="21">
        <v>183.1</v>
      </c>
      <c r="U87" s="21">
        <v>204.2</v>
      </c>
      <c r="V87" s="21">
        <v>181.3</v>
      </c>
      <c r="W87" s="21">
        <v>168.1</v>
      </c>
      <c r="X87" s="21">
        <v>179.3</v>
      </c>
      <c r="Y87" s="21">
        <v>175.6</v>
      </c>
      <c r="Z87" s="21">
        <v>183.4</v>
      </c>
      <c r="AA87" s="21">
        <v>170.1</v>
      </c>
      <c r="AB87" s="21">
        <v>182.2</v>
      </c>
      <c r="AC87" s="21">
        <v>160.4</v>
      </c>
      <c r="AD87" s="21">
        <v>169.2</v>
      </c>
      <c r="AE87" s="21">
        <v>174.8</v>
      </c>
      <c r="AF87" s="21">
        <v>185.6</v>
      </c>
      <c r="AG87" s="21">
        <v>171.6</v>
      </c>
      <c r="AH87" s="21">
        <v>178.2</v>
      </c>
      <c r="AI87" s="28">
        <v>4461.6000000000004</v>
      </c>
      <c r="AJ87" s="28">
        <v>701.2</v>
      </c>
      <c r="AK87" s="28">
        <v>349.4</v>
      </c>
      <c r="AL87" s="28">
        <v>345.7</v>
      </c>
      <c r="AM87" s="28">
        <v>2539.2999999999997</v>
      </c>
      <c r="AN87" s="28">
        <v>175.3</v>
      </c>
      <c r="AO87" s="28">
        <v>172.85</v>
      </c>
      <c r="AP87" s="22">
        <v>181.37857142857141</v>
      </c>
    </row>
    <row r="88" spans="1:42" ht="15.6" x14ac:dyDescent="0.3">
      <c r="A88" s="27" t="s">
        <v>3</v>
      </c>
      <c r="B88" s="20">
        <v>2023</v>
      </c>
      <c r="C88" s="20" t="s">
        <v>7</v>
      </c>
      <c r="D88" s="21" t="s">
        <v>127</v>
      </c>
      <c r="E88" s="33">
        <v>45047</v>
      </c>
      <c r="F88" s="20" t="s">
        <v>85</v>
      </c>
      <c r="G88" s="61">
        <v>87955</v>
      </c>
      <c r="H88" s="20">
        <v>173.7</v>
      </c>
      <c r="I88" s="20">
        <v>214.3</v>
      </c>
      <c r="J88" s="20">
        <v>173.2</v>
      </c>
      <c r="K88" s="20">
        <v>179.5</v>
      </c>
      <c r="L88" s="20">
        <v>170</v>
      </c>
      <c r="M88" s="20">
        <v>172.2</v>
      </c>
      <c r="N88" s="20">
        <v>161</v>
      </c>
      <c r="O88" s="20">
        <v>175.6</v>
      </c>
      <c r="P88" s="20">
        <v>122.7</v>
      </c>
      <c r="Q88" s="20">
        <v>218</v>
      </c>
      <c r="R88" s="20">
        <v>173.4</v>
      </c>
      <c r="S88" s="20">
        <v>194.2</v>
      </c>
      <c r="T88" s="20">
        <v>179.1</v>
      </c>
      <c r="U88" s="20">
        <v>201</v>
      </c>
      <c r="V88" s="20">
        <v>187.3</v>
      </c>
      <c r="W88" s="20">
        <v>179.7</v>
      </c>
      <c r="X88" s="20">
        <v>186.2</v>
      </c>
      <c r="Y88" s="20">
        <v>175.6</v>
      </c>
      <c r="Z88" s="20">
        <v>182.8</v>
      </c>
      <c r="AA88" s="20">
        <v>175.2</v>
      </c>
      <c r="AB88" s="20">
        <v>185.7</v>
      </c>
      <c r="AC88" s="20">
        <v>164.8</v>
      </c>
      <c r="AD88" s="20">
        <v>171.2</v>
      </c>
      <c r="AE88" s="20">
        <v>177.1</v>
      </c>
      <c r="AF88" s="20">
        <v>185.2</v>
      </c>
      <c r="AG88" s="20">
        <v>175.7</v>
      </c>
      <c r="AH88" s="20">
        <v>179.1</v>
      </c>
      <c r="AI88" s="28">
        <v>4468.1999999999989</v>
      </c>
      <c r="AJ88" s="28">
        <v>709.2</v>
      </c>
      <c r="AK88" s="28">
        <v>367</v>
      </c>
      <c r="AL88" s="28">
        <v>350.79999999999995</v>
      </c>
      <c r="AM88" s="28">
        <v>2507.9</v>
      </c>
      <c r="AN88" s="28">
        <v>177.3</v>
      </c>
      <c r="AO88" s="28">
        <v>175.39999999999998</v>
      </c>
      <c r="AP88" s="23">
        <v>179.1357142857143</v>
      </c>
    </row>
    <row r="89" spans="1:42" x14ac:dyDescent="0.3">
      <c r="H89" s="37"/>
    </row>
    <row r="90" spans="1:42" x14ac:dyDescent="0.3">
      <c r="G90" t="s">
        <v>184</v>
      </c>
      <c r="H90" s="25">
        <f>CORREL($G$4:$G$88,H4:H88)</f>
        <v>0.34629904940413564</v>
      </c>
      <c r="I90" s="25">
        <f t="shared" ref="I90:AG90" si="0">CORREL($G$4:$G$88,I4:I88)</f>
        <v>0.4436629926624453</v>
      </c>
      <c r="J90" s="25">
        <f t="shared" si="0"/>
        <v>-0.17764306806360058</v>
      </c>
      <c r="K90" s="25">
        <f t="shared" si="0"/>
        <v>0.3944380989800455</v>
      </c>
      <c r="L90" s="25">
        <f t="shared" si="0"/>
        <v>0.34788423178769573</v>
      </c>
      <c r="M90" s="25">
        <f>CORREL($G$4:$G$88,M4:M88)</f>
        <v>0.3537118985020174</v>
      </c>
      <c r="N90" s="25">
        <f t="shared" si="0"/>
        <v>0.25696274242831996</v>
      </c>
      <c r="O90" s="25">
        <f t="shared" si="0"/>
        <v>8.6277005373423088E-2</v>
      </c>
      <c r="P90" s="25">
        <f t="shared" si="0"/>
        <v>0.28584207138706269</v>
      </c>
      <c r="Q90" s="25">
        <f t="shared" si="0"/>
        <v>0.40416177545512005</v>
      </c>
      <c r="R90" s="25">
        <f t="shared" si="0"/>
        <v>0.40638064923046785</v>
      </c>
      <c r="S90" s="25">
        <f t="shared" si="0"/>
        <v>0.44927047059489755</v>
      </c>
      <c r="T90" s="25">
        <f t="shared" si="0"/>
        <v>0.48687951717359945</v>
      </c>
      <c r="U90" s="25">
        <f t="shared" si="0"/>
        <v>0.28864452009195413</v>
      </c>
      <c r="V90" s="25">
        <f t="shared" si="0"/>
        <v>0.4710113548931234</v>
      </c>
      <c r="W90" s="25">
        <f t="shared" si="0"/>
        <v>0.50131874139574772</v>
      </c>
      <c r="X90" s="25">
        <f t="shared" si="0"/>
        <v>0.47614847826980888</v>
      </c>
      <c r="Y90" s="25">
        <f t="shared" si="0"/>
        <v>0.41047736852435679</v>
      </c>
      <c r="Z90" s="25">
        <f>CORREL($G$4:$G$88,Z4:Z88)</f>
        <v>0.50500922925704073</v>
      </c>
      <c r="AA90" s="25">
        <f t="shared" si="0"/>
        <v>0.45100201171286158</v>
      </c>
      <c r="AB90" s="25">
        <f t="shared" si="0"/>
        <v>0.39578036651701398</v>
      </c>
      <c r="AC90" s="25">
        <f t="shared" si="0"/>
        <v>0.50054044917424212</v>
      </c>
      <c r="AD90" s="25">
        <f t="shared" si="0"/>
        <v>0.49225735515271235</v>
      </c>
      <c r="AE90" s="25">
        <f>CORREL($G$4:$G$88,AE4:AE88)</f>
        <v>0.43076844378330603</v>
      </c>
      <c r="AF90" s="25">
        <f t="shared" si="0"/>
        <v>0.39181972085386041</v>
      </c>
      <c r="AG90" s="25">
        <f t="shared" si="0"/>
        <v>0.45351390829784477</v>
      </c>
    </row>
    <row r="98" spans="4:6" x14ac:dyDescent="0.3">
      <c r="D98" s="11" t="s">
        <v>37</v>
      </c>
      <c r="E98" s="24">
        <f>CORREL($G$4:$G$88,H4:H88)</f>
        <v>0.34629904940413564</v>
      </c>
      <c r="F98" s="62">
        <f>E98*100</f>
        <v>34.629904940413567</v>
      </c>
    </row>
    <row r="99" spans="4:6" x14ac:dyDescent="0.3">
      <c r="D99" s="11" t="s">
        <v>38</v>
      </c>
      <c r="E99" s="24">
        <f>CORREL($G$4:$G$88,I4:I88)</f>
        <v>0.4436629926624453</v>
      </c>
    </row>
    <row r="100" spans="4:6" x14ac:dyDescent="0.3">
      <c r="D100" s="11" t="s">
        <v>39</v>
      </c>
      <c r="E100" s="24">
        <f>CORREL($G$4:$G$88,J4:J88)</f>
        <v>-0.17764306806360058</v>
      </c>
    </row>
    <row r="101" spans="4:6" x14ac:dyDescent="0.3">
      <c r="D101" s="11" t="s">
        <v>40</v>
      </c>
      <c r="E101" s="24">
        <f>CORREL($G$4:$G$88,K4:K88)</f>
        <v>0.3944380989800455</v>
      </c>
    </row>
    <row r="102" spans="4:6" x14ac:dyDescent="0.3">
      <c r="D102" s="11" t="s">
        <v>41</v>
      </c>
      <c r="E102" s="24">
        <f>CORREL($G$4:$G$88,L4:L88)</f>
        <v>0.34788423178769573</v>
      </c>
    </row>
    <row r="103" spans="4:6" x14ac:dyDescent="0.3">
      <c r="D103" s="11" t="s">
        <v>42</v>
      </c>
      <c r="E103" s="24">
        <f>CORREL($G$4:$G$88,M4:M88)</f>
        <v>0.3537118985020174</v>
      </c>
    </row>
    <row r="104" spans="4:6" x14ac:dyDescent="0.3">
      <c r="D104" s="11" t="s">
        <v>43</v>
      </c>
      <c r="E104" s="24">
        <f>CORREL($G$4:$G$88,N4:N88)</f>
        <v>0.25696274242831996</v>
      </c>
    </row>
    <row r="105" spans="4:6" x14ac:dyDescent="0.3">
      <c r="D105" s="11" t="s">
        <v>44</v>
      </c>
      <c r="E105" s="24">
        <f>CORREL($G$4:$G$88,O4:O88)</f>
        <v>8.6277005373423088E-2</v>
      </c>
    </row>
    <row r="106" spans="4:6" x14ac:dyDescent="0.3">
      <c r="D106" s="11" t="s">
        <v>45</v>
      </c>
      <c r="E106" s="24">
        <f>CORREL($G$4:$G$88,P4:P88)</f>
        <v>0.28584207138706269</v>
      </c>
    </row>
    <row r="107" spans="4:6" x14ac:dyDescent="0.3">
      <c r="D107" s="11" t="s">
        <v>46</v>
      </c>
      <c r="E107" s="24">
        <f>CORREL($G$4:$G$88,Q4:Q88)</f>
        <v>0.40416177545512005</v>
      </c>
    </row>
    <row r="108" spans="4:6" x14ac:dyDescent="0.3">
      <c r="D108" s="11" t="s">
        <v>47</v>
      </c>
      <c r="E108" s="24">
        <f>CORREL($G$4:$G$88,R4:R88)</f>
        <v>0.40638064923046785</v>
      </c>
    </row>
    <row r="109" spans="4:6" x14ac:dyDescent="0.3">
      <c r="D109" s="11" t="s">
        <v>48</v>
      </c>
      <c r="E109" s="24">
        <f>CORREL($G$4:$G$88,S4:S88)</f>
        <v>0.44927047059489755</v>
      </c>
    </row>
    <row r="110" spans="4:6" x14ac:dyDescent="0.3">
      <c r="D110" s="11" t="s">
        <v>49</v>
      </c>
      <c r="E110" s="24">
        <f>CORREL($G$4:$G$88,T4:T88)</f>
        <v>0.48687951717359945</v>
      </c>
    </row>
    <row r="111" spans="4:6" x14ac:dyDescent="0.3">
      <c r="D111" s="11" t="s">
        <v>50</v>
      </c>
      <c r="E111" s="24">
        <f>CORREL($G$4:$G$88,U4:U88)</f>
        <v>0.28864452009195413</v>
      </c>
    </row>
    <row r="112" spans="4:6" x14ac:dyDescent="0.3">
      <c r="D112" s="11" t="s">
        <v>51</v>
      </c>
      <c r="E112" s="24">
        <f>CORREL($G$4:$G$88,V4:V88)</f>
        <v>0.4710113548931234</v>
      </c>
    </row>
    <row r="113" spans="4:5" x14ac:dyDescent="0.3">
      <c r="D113" s="11" t="s">
        <v>52</v>
      </c>
      <c r="E113" s="24">
        <f>CORREL($G$4:$G$88,W4:W88)</f>
        <v>0.50131874139574772</v>
      </c>
    </row>
    <row r="114" spans="4:5" x14ac:dyDescent="0.3">
      <c r="D114" s="11" t="s">
        <v>53</v>
      </c>
      <c r="E114" s="24">
        <f>CORREL($G$4:$G$88,X4:X88)</f>
        <v>0.47614847826980888</v>
      </c>
    </row>
    <row r="115" spans="4:5" x14ac:dyDescent="0.3">
      <c r="D115" s="11" t="s">
        <v>54</v>
      </c>
      <c r="E115" s="24">
        <f>CORREL($G$4:$G$88,Y4:Y88)</f>
        <v>0.41047736852435679</v>
      </c>
    </row>
    <row r="116" spans="4:5" x14ac:dyDescent="0.3">
      <c r="D116" s="11" t="s">
        <v>55</v>
      </c>
      <c r="E116" s="24">
        <f>CORREL($G$4:$G$88,Z4:Z88)</f>
        <v>0.50500922925704073</v>
      </c>
    </row>
    <row r="117" spans="4:5" x14ac:dyDescent="0.3">
      <c r="D117" s="11" t="s">
        <v>56</v>
      </c>
      <c r="E117" s="24">
        <f>CORREL($G$4:$G$88,AA4:AA88)</f>
        <v>0.45100201171286158</v>
      </c>
    </row>
    <row r="118" spans="4:5" x14ac:dyDescent="0.3">
      <c r="D118" s="11" t="s">
        <v>57</v>
      </c>
      <c r="E118" s="24">
        <f>CORREL($G$4:$G$88,AB4:AB88)</f>
        <v>0.39578036651701398</v>
      </c>
    </row>
    <row r="119" spans="4:5" x14ac:dyDescent="0.3">
      <c r="D119" s="11" t="s">
        <v>58</v>
      </c>
      <c r="E119" s="24">
        <f>CORREL($G$4:$G$88,AC4:AC88)</f>
        <v>0.50054044917424212</v>
      </c>
    </row>
    <row r="120" spans="4:5" x14ac:dyDescent="0.3">
      <c r="D120" s="11" t="s">
        <v>59</v>
      </c>
      <c r="E120" s="24">
        <f>CORREL($G$4:$G$88,AD4:AD88)</f>
        <v>0.49225735515271235</v>
      </c>
    </row>
    <row r="121" spans="4:5" x14ac:dyDescent="0.3">
      <c r="D121" s="11" t="s">
        <v>60</v>
      </c>
      <c r="E121" s="24">
        <f>CORREL($G$4:$G$88,AE4:AE88)</f>
        <v>0.43076844378330603</v>
      </c>
    </row>
    <row r="122" spans="4:5" x14ac:dyDescent="0.3">
      <c r="D122" s="11" t="s">
        <v>61</v>
      </c>
      <c r="E122" s="24">
        <f>CORREL($G$4:$G$88,AF4:AF88)</f>
        <v>0.39181972085386041</v>
      </c>
    </row>
    <row r="123" spans="4:5" x14ac:dyDescent="0.3">
      <c r="D123" s="11" t="s">
        <v>62</v>
      </c>
      <c r="E123" s="24">
        <f>CORREL($G$4:$G$88,AG4:AG88)</f>
        <v>0.45351390829784477</v>
      </c>
    </row>
  </sheetData>
  <autoFilter ref="A1:AP88" xr:uid="{B48D4DD6-0859-4C79-B241-E382CD3FCF61}">
    <filterColumn colId="0">
      <filters>
        <filter val="Rural+Urban"/>
      </filters>
    </filterColumn>
  </autoFilter>
  <pageMargins left="0.7" right="0.7" top="0.75" bottom="0.75" header="0.3" footer="0.3"/>
  <ignoredErrors>
    <ignoredError sqref="H90:L90 N90:AG90 E98:E123" formulaRange="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BC2A93-AA96-47DA-AB21-4137BCDE28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Cpi data </vt:lpstr>
      <vt:lpstr>Problem statement </vt:lpstr>
      <vt:lpstr>Data Dictionary </vt:lpstr>
      <vt:lpstr>Handle missing value sheet only</vt:lpstr>
      <vt:lpstr>Solution 1</vt:lpstr>
      <vt:lpstr>Solution 2 </vt:lpstr>
      <vt:lpstr>solution 3 </vt:lpstr>
      <vt:lpstr>solution 4 </vt:lpstr>
      <vt:lpstr>solution 5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Shrivastava</dc:creator>
  <cp:lastModifiedBy>Krishna Shrivastava</cp:lastModifiedBy>
  <dcterms:created xsi:type="dcterms:W3CDTF">2025-11-02T08:20:08Z</dcterms:created>
  <dcterms:modified xsi:type="dcterms:W3CDTF">2025-12-20T13:20:52Z</dcterms:modified>
</cp:coreProperties>
</file>